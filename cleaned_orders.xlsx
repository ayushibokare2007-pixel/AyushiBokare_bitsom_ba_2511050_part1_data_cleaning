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0D42AB6F-FE73-4AC1-96BB-794ADBCAB1C3}" xr6:coauthVersionLast="47" xr6:coauthVersionMax="47" xr10:uidLastSave="{00000000-0000-0000-0000-000000000000}"/>
  <bookViews>
    <workbookView xWindow="-103" yWindow="-103" windowWidth="16663" windowHeight="8743" activeTab="1" xr2:uid="{00000000-000D-0000-FFFF-FFFF00000000}"/>
  </bookViews>
  <sheets>
    <sheet name="raw_orders" sheetId="1" r:id="rId1"/>
    <sheet name="Sheet1" sheetId="3" r:id="rId2"/>
    <sheet name="business_rules" sheetId="2" r:id="rId3"/>
  </sheets>
  <definedNames>
    <definedName name="_xlnm._FilterDatabase" localSheetId="0" hidden="1">raw_orders!$Y$1:$Y$902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9" i="1" l="1"/>
  <c r="B92" i="1"/>
  <c r="U933" i="3"/>
  <c r="S933" i="3"/>
  <c r="Q933" i="3"/>
  <c r="O933" i="3"/>
  <c r="M933" i="3"/>
  <c r="K933" i="3"/>
  <c r="I933" i="3"/>
  <c r="E933" i="3"/>
  <c r="B933" i="3"/>
  <c r="C933" i="3" s="1"/>
  <c r="U932" i="3"/>
  <c r="S932" i="3"/>
  <c r="Q932" i="3"/>
  <c r="O932" i="3"/>
  <c r="M932" i="3"/>
  <c r="K932" i="3"/>
  <c r="I932" i="3"/>
  <c r="E932" i="3"/>
  <c r="B932" i="3"/>
  <c r="C932" i="3" s="1"/>
  <c r="U931" i="3"/>
  <c r="S931" i="3"/>
  <c r="Q931" i="3"/>
  <c r="O931" i="3"/>
  <c r="M931" i="3"/>
  <c r="K931" i="3"/>
  <c r="I931" i="3"/>
  <c r="E931" i="3"/>
  <c r="B931" i="3"/>
  <c r="C931" i="3" s="1"/>
  <c r="U930" i="3"/>
  <c r="S930" i="3"/>
  <c r="Q930" i="3"/>
  <c r="O930" i="3"/>
  <c r="M930" i="3"/>
  <c r="K930" i="3"/>
  <c r="I930" i="3"/>
  <c r="E930" i="3"/>
  <c r="B930" i="3"/>
  <c r="C930" i="3" s="1"/>
  <c r="U929" i="3"/>
  <c r="S929" i="3"/>
  <c r="Q929" i="3"/>
  <c r="O929" i="3"/>
  <c r="M929" i="3"/>
  <c r="K929" i="3"/>
  <c r="I929" i="3"/>
  <c r="E929" i="3"/>
  <c r="B929" i="3"/>
  <c r="C929" i="3" s="1"/>
  <c r="U928" i="3"/>
  <c r="S928" i="3"/>
  <c r="Q928" i="3"/>
  <c r="O928" i="3"/>
  <c r="M928" i="3"/>
  <c r="K928" i="3"/>
  <c r="I928" i="3"/>
  <c r="E928" i="3"/>
  <c r="B928" i="3"/>
  <c r="C928" i="3" s="1"/>
  <c r="U927" i="3"/>
  <c r="S927" i="3"/>
  <c r="Q927" i="3"/>
  <c r="O927" i="3"/>
  <c r="M927" i="3"/>
  <c r="K927" i="3"/>
  <c r="I927" i="3"/>
  <c r="E927" i="3"/>
  <c r="B927" i="3"/>
  <c r="C927" i="3" s="1"/>
  <c r="U926" i="3"/>
  <c r="S926" i="3"/>
  <c r="Q926" i="3"/>
  <c r="O926" i="3"/>
  <c r="M926" i="3"/>
  <c r="K926" i="3"/>
  <c r="I926" i="3"/>
  <c r="E926" i="3"/>
  <c r="B926" i="3"/>
  <c r="C926" i="3" s="1"/>
  <c r="U925" i="3"/>
  <c r="S925" i="3"/>
  <c r="Q925" i="3"/>
  <c r="O925" i="3"/>
  <c r="M925" i="3"/>
  <c r="K925" i="3"/>
  <c r="I925" i="3"/>
  <c r="E925" i="3"/>
  <c r="B925" i="3"/>
  <c r="C925" i="3" s="1"/>
  <c r="U924" i="3"/>
  <c r="S924" i="3"/>
  <c r="Q924" i="3"/>
  <c r="O924" i="3"/>
  <c r="M924" i="3"/>
  <c r="K924" i="3"/>
  <c r="I924" i="3"/>
  <c r="E924" i="3"/>
  <c r="B924" i="3"/>
  <c r="C924" i="3" s="1"/>
  <c r="U923" i="3"/>
  <c r="S923" i="3"/>
  <c r="Q923" i="3"/>
  <c r="O923" i="3"/>
  <c r="M923" i="3"/>
  <c r="K923" i="3"/>
  <c r="I923" i="3"/>
  <c r="E923" i="3"/>
  <c r="B923" i="3"/>
  <c r="C923" i="3" s="1"/>
  <c r="U922" i="3"/>
  <c r="S922" i="3"/>
  <c r="Q922" i="3"/>
  <c r="O922" i="3"/>
  <c r="M922" i="3"/>
  <c r="K922" i="3"/>
  <c r="I922" i="3"/>
  <c r="E922" i="3"/>
  <c r="C922" i="3"/>
  <c r="B922" i="3"/>
  <c r="U921" i="3"/>
  <c r="S921" i="3"/>
  <c r="Q921" i="3"/>
  <c r="O921" i="3"/>
  <c r="M921" i="3"/>
  <c r="K921" i="3"/>
  <c r="I921" i="3"/>
  <c r="E921" i="3"/>
  <c r="B921" i="3"/>
  <c r="C921" i="3" s="1"/>
  <c r="U920" i="3"/>
  <c r="S920" i="3"/>
  <c r="Q920" i="3"/>
  <c r="O920" i="3"/>
  <c r="M920" i="3"/>
  <c r="K920" i="3"/>
  <c r="I920" i="3"/>
  <c r="E920" i="3"/>
  <c r="B920" i="3"/>
  <c r="C920" i="3" s="1"/>
  <c r="U919" i="3"/>
  <c r="S919" i="3"/>
  <c r="Q919" i="3"/>
  <c r="O919" i="3"/>
  <c r="M919" i="3"/>
  <c r="K919" i="3"/>
  <c r="I919" i="3"/>
  <c r="E919" i="3"/>
  <c r="B919" i="3"/>
  <c r="C919" i="3" s="1"/>
  <c r="U918" i="3"/>
  <c r="S918" i="3"/>
  <c r="Q918" i="3"/>
  <c r="O918" i="3"/>
  <c r="M918" i="3"/>
  <c r="K918" i="3"/>
  <c r="I918" i="3"/>
  <c r="E918" i="3"/>
  <c r="B918" i="3"/>
  <c r="C918" i="3" s="1"/>
  <c r="U917" i="3"/>
  <c r="S917" i="3"/>
  <c r="Q917" i="3"/>
  <c r="O917" i="3"/>
  <c r="M917" i="3"/>
  <c r="K917" i="3"/>
  <c r="I917" i="3"/>
  <c r="E917" i="3"/>
  <c r="B917" i="3"/>
  <c r="C917" i="3" s="1"/>
  <c r="U916" i="3"/>
  <c r="S916" i="3"/>
  <c r="Q916" i="3"/>
  <c r="O916" i="3"/>
  <c r="M916" i="3"/>
  <c r="K916" i="3"/>
  <c r="I916" i="3"/>
  <c r="E916" i="3"/>
  <c r="B916" i="3"/>
  <c r="C916" i="3" s="1"/>
  <c r="U915" i="3"/>
  <c r="S915" i="3"/>
  <c r="Q915" i="3"/>
  <c r="O915" i="3"/>
  <c r="M915" i="3"/>
  <c r="K915" i="3"/>
  <c r="I915" i="3"/>
  <c r="E915" i="3"/>
  <c r="B915" i="3"/>
  <c r="C915" i="3" s="1"/>
  <c r="U914" i="3"/>
  <c r="S914" i="3"/>
  <c r="Q914" i="3"/>
  <c r="O914" i="3"/>
  <c r="M914" i="3"/>
  <c r="K914" i="3"/>
  <c r="I914" i="3"/>
  <c r="E914" i="3"/>
  <c r="B914" i="3"/>
  <c r="C914" i="3" s="1"/>
  <c r="U913" i="3"/>
  <c r="S913" i="3"/>
  <c r="Q913" i="3"/>
  <c r="O913" i="3"/>
  <c r="M913" i="3"/>
  <c r="K913" i="3"/>
  <c r="I913" i="3"/>
  <c r="E913" i="3"/>
  <c r="B913" i="3"/>
  <c r="C913" i="3" s="1"/>
  <c r="U912" i="3"/>
  <c r="S912" i="3"/>
  <c r="Q912" i="3"/>
  <c r="O912" i="3"/>
  <c r="M912" i="3"/>
  <c r="K912" i="3"/>
  <c r="I912" i="3"/>
  <c r="E912" i="3"/>
  <c r="B912" i="3"/>
  <c r="C912" i="3" s="1"/>
  <c r="U911" i="3"/>
  <c r="S911" i="3"/>
  <c r="Q911" i="3"/>
  <c r="O911" i="3"/>
  <c r="M911" i="3"/>
  <c r="K911" i="3"/>
  <c r="I911" i="3"/>
  <c r="E911" i="3"/>
  <c r="B911" i="3"/>
  <c r="C911" i="3" s="1"/>
  <c r="U910" i="3"/>
  <c r="S910" i="3"/>
  <c r="Q910" i="3"/>
  <c r="O910" i="3"/>
  <c r="M910" i="3"/>
  <c r="K910" i="3"/>
  <c r="I910" i="3"/>
  <c r="E910" i="3"/>
  <c r="B910" i="3"/>
  <c r="C910" i="3" s="1"/>
  <c r="U909" i="3"/>
  <c r="S909" i="3"/>
  <c r="Q909" i="3"/>
  <c r="O909" i="3"/>
  <c r="M909" i="3"/>
  <c r="K909" i="3"/>
  <c r="I909" i="3"/>
  <c r="E909" i="3"/>
  <c r="B909" i="3"/>
  <c r="C909" i="3" s="1"/>
  <c r="U908" i="3"/>
  <c r="S908" i="3"/>
  <c r="Q908" i="3"/>
  <c r="O908" i="3"/>
  <c r="M908" i="3"/>
  <c r="K908" i="3"/>
  <c r="I908" i="3"/>
  <c r="E908" i="3"/>
  <c r="C908" i="3"/>
  <c r="B908" i="3"/>
  <c r="U907" i="3"/>
  <c r="S907" i="3"/>
  <c r="Q907" i="3"/>
  <c r="O907" i="3"/>
  <c r="M907" i="3"/>
  <c r="K907" i="3"/>
  <c r="I907" i="3"/>
  <c r="E907" i="3"/>
  <c r="B907" i="3"/>
  <c r="C907" i="3" s="1"/>
  <c r="U906" i="3"/>
  <c r="S906" i="3"/>
  <c r="Q906" i="3"/>
  <c r="O906" i="3"/>
  <c r="M906" i="3"/>
  <c r="K906" i="3"/>
  <c r="I906" i="3"/>
  <c r="E906" i="3"/>
  <c r="B906" i="3"/>
  <c r="C906" i="3" s="1"/>
  <c r="U905" i="3"/>
  <c r="S905" i="3"/>
  <c r="Q905" i="3"/>
  <c r="O905" i="3"/>
  <c r="M905" i="3"/>
  <c r="K905" i="3"/>
  <c r="I905" i="3"/>
  <c r="E905" i="3"/>
  <c r="B905" i="3"/>
  <c r="C905" i="3" s="1"/>
  <c r="U904" i="3"/>
  <c r="S904" i="3"/>
  <c r="Q904" i="3"/>
  <c r="O904" i="3"/>
  <c r="M904" i="3"/>
  <c r="K904" i="3"/>
  <c r="I904" i="3"/>
  <c r="E904" i="3"/>
  <c r="B904" i="3"/>
  <c r="C904" i="3" s="1"/>
  <c r="U903" i="3"/>
  <c r="S903" i="3"/>
  <c r="Q903" i="3"/>
  <c r="O903" i="3"/>
  <c r="M903" i="3"/>
  <c r="K903" i="3"/>
  <c r="I903" i="3"/>
  <c r="E903" i="3"/>
  <c r="B903" i="3"/>
  <c r="C903" i="3" s="1"/>
  <c r="U902" i="3"/>
  <c r="S902" i="3"/>
  <c r="Q902" i="3"/>
  <c r="O902" i="3"/>
  <c r="M902" i="3"/>
  <c r="K902" i="3"/>
  <c r="I902" i="3"/>
  <c r="E902" i="3"/>
  <c r="B902" i="3"/>
  <c r="C902" i="3" s="1"/>
  <c r="U901" i="3"/>
  <c r="S901" i="3"/>
  <c r="Q901" i="3"/>
  <c r="O901" i="3"/>
  <c r="M901" i="3"/>
  <c r="K901" i="3"/>
  <c r="I901" i="3"/>
  <c r="E901" i="3"/>
  <c r="B901" i="3"/>
  <c r="C901" i="3" s="1"/>
  <c r="U900" i="3"/>
  <c r="S900" i="3"/>
  <c r="Q900" i="3"/>
  <c r="O900" i="3"/>
  <c r="M900" i="3"/>
  <c r="K900" i="3"/>
  <c r="I900" i="3"/>
  <c r="E900" i="3"/>
  <c r="B900" i="3"/>
  <c r="C900" i="3" s="1"/>
  <c r="U899" i="3"/>
  <c r="S899" i="3"/>
  <c r="Q899" i="3"/>
  <c r="O899" i="3"/>
  <c r="M899" i="3"/>
  <c r="K899" i="3"/>
  <c r="I899" i="3"/>
  <c r="E899" i="3"/>
  <c r="B899" i="3"/>
  <c r="C899" i="3" s="1"/>
  <c r="U898" i="3"/>
  <c r="S898" i="3"/>
  <c r="Q898" i="3"/>
  <c r="O898" i="3"/>
  <c r="M898" i="3"/>
  <c r="K898" i="3"/>
  <c r="I898" i="3"/>
  <c r="E898" i="3"/>
  <c r="C898" i="3"/>
  <c r="B898" i="3"/>
  <c r="U897" i="3"/>
  <c r="S897" i="3"/>
  <c r="Q897" i="3"/>
  <c r="O897" i="3"/>
  <c r="M897" i="3"/>
  <c r="K897" i="3"/>
  <c r="I897" i="3"/>
  <c r="E897" i="3"/>
  <c r="B897" i="3"/>
  <c r="C897" i="3" s="1"/>
  <c r="U896" i="3"/>
  <c r="S896" i="3"/>
  <c r="Q896" i="3"/>
  <c r="O896" i="3"/>
  <c r="M896" i="3"/>
  <c r="K896" i="3"/>
  <c r="I896" i="3"/>
  <c r="E896" i="3"/>
  <c r="B896" i="3"/>
  <c r="C896" i="3" s="1"/>
  <c r="U895" i="3"/>
  <c r="S895" i="3"/>
  <c r="Q895" i="3"/>
  <c r="O895" i="3"/>
  <c r="M895" i="3"/>
  <c r="K895" i="3"/>
  <c r="I895" i="3"/>
  <c r="E895" i="3"/>
  <c r="B895" i="3"/>
  <c r="C895" i="3" s="1"/>
  <c r="U894" i="3"/>
  <c r="S894" i="3"/>
  <c r="Q894" i="3"/>
  <c r="O894" i="3"/>
  <c r="M894" i="3"/>
  <c r="K894" i="3"/>
  <c r="I894" i="3"/>
  <c r="E894" i="3"/>
  <c r="B894" i="3"/>
  <c r="C894" i="3" s="1"/>
  <c r="U893" i="3"/>
  <c r="S893" i="3"/>
  <c r="Q893" i="3"/>
  <c r="O893" i="3"/>
  <c r="M893" i="3"/>
  <c r="K893" i="3"/>
  <c r="I893" i="3"/>
  <c r="E893" i="3"/>
  <c r="B893" i="3"/>
  <c r="C893" i="3" s="1"/>
  <c r="U892" i="3"/>
  <c r="S892" i="3"/>
  <c r="Q892" i="3"/>
  <c r="O892" i="3"/>
  <c r="M892" i="3"/>
  <c r="K892" i="3"/>
  <c r="I892" i="3"/>
  <c r="E892" i="3"/>
  <c r="B892" i="3"/>
  <c r="C892" i="3" s="1"/>
  <c r="U891" i="3"/>
  <c r="S891" i="3"/>
  <c r="Q891" i="3"/>
  <c r="O891" i="3"/>
  <c r="M891" i="3"/>
  <c r="K891" i="3"/>
  <c r="I891" i="3"/>
  <c r="E891" i="3"/>
  <c r="B891" i="3"/>
  <c r="C891" i="3" s="1"/>
  <c r="U890" i="3"/>
  <c r="S890" i="3"/>
  <c r="Q890" i="3"/>
  <c r="O890" i="3"/>
  <c r="M890" i="3"/>
  <c r="K890" i="3"/>
  <c r="I890" i="3"/>
  <c r="E890" i="3"/>
  <c r="B890" i="3"/>
  <c r="C890" i="3" s="1"/>
  <c r="U889" i="3"/>
  <c r="S889" i="3"/>
  <c r="Q889" i="3"/>
  <c r="O889" i="3"/>
  <c r="M889" i="3"/>
  <c r="K889" i="3"/>
  <c r="I889" i="3"/>
  <c r="E889" i="3"/>
  <c r="B889" i="3"/>
  <c r="C889" i="3" s="1"/>
  <c r="U888" i="3"/>
  <c r="S888" i="3"/>
  <c r="Q888" i="3"/>
  <c r="O888" i="3"/>
  <c r="M888" i="3"/>
  <c r="K888" i="3"/>
  <c r="I888" i="3"/>
  <c r="E888" i="3"/>
  <c r="B888" i="3"/>
  <c r="C888" i="3" s="1"/>
  <c r="U887" i="3"/>
  <c r="S887" i="3"/>
  <c r="Q887" i="3"/>
  <c r="O887" i="3"/>
  <c r="M887" i="3"/>
  <c r="K887" i="3"/>
  <c r="I887" i="3"/>
  <c r="E887" i="3"/>
  <c r="B887" i="3"/>
  <c r="C887" i="3" s="1"/>
  <c r="U886" i="3"/>
  <c r="S886" i="3"/>
  <c r="Q886" i="3"/>
  <c r="O886" i="3"/>
  <c r="M886" i="3"/>
  <c r="K886" i="3"/>
  <c r="I886" i="3"/>
  <c r="E886" i="3"/>
  <c r="C886" i="3"/>
  <c r="B886" i="3"/>
  <c r="U885" i="3"/>
  <c r="S885" i="3"/>
  <c r="Q885" i="3"/>
  <c r="O885" i="3"/>
  <c r="M885" i="3"/>
  <c r="K885" i="3"/>
  <c r="I885" i="3"/>
  <c r="E885" i="3"/>
  <c r="B885" i="3"/>
  <c r="C885" i="3" s="1"/>
  <c r="U884" i="3"/>
  <c r="S884" i="3"/>
  <c r="Q884" i="3"/>
  <c r="O884" i="3"/>
  <c r="M884" i="3"/>
  <c r="K884" i="3"/>
  <c r="I884" i="3"/>
  <c r="E884" i="3"/>
  <c r="B884" i="3"/>
  <c r="C884" i="3" s="1"/>
  <c r="U883" i="3"/>
  <c r="S883" i="3"/>
  <c r="Q883" i="3"/>
  <c r="O883" i="3"/>
  <c r="M883" i="3"/>
  <c r="K883" i="3"/>
  <c r="I883" i="3"/>
  <c r="E883" i="3"/>
  <c r="B883" i="3"/>
  <c r="C883" i="3" s="1"/>
  <c r="U882" i="3"/>
  <c r="S882" i="3"/>
  <c r="Q882" i="3"/>
  <c r="O882" i="3"/>
  <c r="M882" i="3"/>
  <c r="K882" i="3"/>
  <c r="I882" i="3"/>
  <c r="E882" i="3"/>
  <c r="B882" i="3"/>
  <c r="C882" i="3" s="1"/>
  <c r="U881" i="3"/>
  <c r="S881" i="3"/>
  <c r="Q881" i="3"/>
  <c r="O881" i="3"/>
  <c r="M881" i="3"/>
  <c r="K881" i="3"/>
  <c r="I881" i="3"/>
  <c r="E881" i="3"/>
  <c r="B881" i="3"/>
  <c r="C881" i="3" s="1"/>
  <c r="U880" i="3"/>
  <c r="S880" i="3"/>
  <c r="Q880" i="3"/>
  <c r="O880" i="3"/>
  <c r="M880" i="3"/>
  <c r="K880" i="3"/>
  <c r="I880" i="3"/>
  <c r="E880" i="3"/>
  <c r="B880" i="3"/>
  <c r="C880" i="3" s="1"/>
  <c r="U879" i="3"/>
  <c r="S879" i="3"/>
  <c r="Q879" i="3"/>
  <c r="O879" i="3"/>
  <c r="M879" i="3"/>
  <c r="K879" i="3"/>
  <c r="I879" i="3"/>
  <c r="E879" i="3"/>
  <c r="B879" i="3"/>
  <c r="C879" i="3" s="1"/>
  <c r="U878" i="3"/>
  <c r="S878" i="3"/>
  <c r="Q878" i="3"/>
  <c r="O878" i="3"/>
  <c r="M878" i="3"/>
  <c r="K878" i="3"/>
  <c r="I878" i="3"/>
  <c r="E878" i="3"/>
  <c r="B878" i="3"/>
  <c r="C878" i="3" s="1"/>
  <c r="U877" i="3"/>
  <c r="S877" i="3"/>
  <c r="Q877" i="3"/>
  <c r="O877" i="3"/>
  <c r="M877" i="3"/>
  <c r="K877" i="3"/>
  <c r="I877" i="3"/>
  <c r="E877" i="3"/>
  <c r="B877" i="3"/>
  <c r="C877" i="3" s="1"/>
  <c r="U876" i="3"/>
  <c r="S876" i="3"/>
  <c r="Q876" i="3"/>
  <c r="O876" i="3"/>
  <c r="M876" i="3"/>
  <c r="K876" i="3"/>
  <c r="I876" i="3"/>
  <c r="E876" i="3"/>
  <c r="B876" i="3"/>
  <c r="C876" i="3" s="1"/>
  <c r="U875" i="3"/>
  <c r="S875" i="3"/>
  <c r="Q875" i="3"/>
  <c r="O875" i="3"/>
  <c r="M875" i="3"/>
  <c r="K875" i="3"/>
  <c r="I875" i="3"/>
  <c r="E875" i="3"/>
  <c r="B875" i="3"/>
  <c r="C875" i="3" s="1"/>
  <c r="U874" i="3"/>
  <c r="S874" i="3"/>
  <c r="Q874" i="3"/>
  <c r="O874" i="3"/>
  <c r="M874" i="3"/>
  <c r="K874" i="3"/>
  <c r="I874" i="3"/>
  <c r="E874" i="3"/>
  <c r="B874" i="3"/>
  <c r="C874" i="3" s="1"/>
  <c r="U873" i="3"/>
  <c r="S873" i="3"/>
  <c r="Q873" i="3"/>
  <c r="O873" i="3"/>
  <c r="M873" i="3"/>
  <c r="K873" i="3"/>
  <c r="I873" i="3"/>
  <c r="E873" i="3"/>
  <c r="B873" i="3"/>
  <c r="C873" i="3" s="1"/>
  <c r="U872" i="3"/>
  <c r="S872" i="3"/>
  <c r="Q872" i="3"/>
  <c r="O872" i="3"/>
  <c r="M872" i="3"/>
  <c r="K872" i="3"/>
  <c r="I872" i="3"/>
  <c r="E872" i="3"/>
  <c r="C872" i="3"/>
  <c r="B872" i="3"/>
  <c r="U871" i="3"/>
  <c r="S871" i="3"/>
  <c r="Q871" i="3"/>
  <c r="O871" i="3"/>
  <c r="M871" i="3"/>
  <c r="K871" i="3"/>
  <c r="I871" i="3"/>
  <c r="E871" i="3"/>
  <c r="B871" i="3"/>
  <c r="C871" i="3" s="1"/>
  <c r="U870" i="3"/>
  <c r="S870" i="3"/>
  <c r="Q870" i="3"/>
  <c r="O870" i="3"/>
  <c r="M870" i="3"/>
  <c r="K870" i="3"/>
  <c r="I870" i="3"/>
  <c r="E870" i="3"/>
  <c r="B870" i="3"/>
  <c r="C870" i="3" s="1"/>
  <c r="U869" i="3"/>
  <c r="S869" i="3"/>
  <c r="Q869" i="3"/>
  <c r="O869" i="3"/>
  <c r="M869" i="3"/>
  <c r="K869" i="3"/>
  <c r="I869" i="3"/>
  <c r="E869" i="3"/>
  <c r="B869" i="3"/>
  <c r="C869" i="3" s="1"/>
  <c r="U868" i="3"/>
  <c r="S868" i="3"/>
  <c r="Q868" i="3"/>
  <c r="O868" i="3"/>
  <c r="M868" i="3"/>
  <c r="K868" i="3"/>
  <c r="I868" i="3"/>
  <c r="E868" i="3"/>
  <c r="B868" i="3"/>
  <c r="C868" i="3" s="1"/>
  <c r="U867" i="3"/>
  <c r="S867" i="3"/>
  <c r="Q867" i="3"/>
  <c r="O867" i="3"/>
  <c r="M867" i="3"/>
  <c r="K867" i="3"/>
  <c r="I867" i="3"/>
  <c r="E867" i="3"/>
  <c r="B867" i="3"/>
  <c r="C867" i="3" s="1"/>
  <c r="U866" i="3"/>
  <c r="S866" i="3"/>
  <c r="Q866" i="3"/>
  <c r="O866" i="3"/>
  <c r="M866" i="3"/>
  <c r="K866" i="3"/>
  <c r="I866" i="3"/>
  <c r="E866" i="3"/>
  <c r="B866" i="3"/>
  <c r="C866" i="3" s="1"/>
  <c r="U865" i="3"/>
  <c r="S865" i="3"/>
  <c r="Q865" i="3"/>
  <c r="O865" i="3"/>
  <c r="M865" i="3"/>
  <c r="K865" i="3"/>
  <c r="I865" i="3"/>
  <c r="E865" i="3"/>
  <c r="B865" i="3"/>
  <c r="C865" i="3" s="1"/>
  <c r="U864" i="3"/>
  <c r="S864" i="3"/>
  <c r="Q864" i="3"/>
  <c r="O864" i="3"/>
  <c r="M864" i="3"/>
  <c r="K864" i="3"/>
  <c r="I864" i="3"/>
  <c r="E864" i="3"/>
  <c r="B864" i="3"/>
  <c r="C864" i="3" s="1"/>
  <c r="U863" i="3"/>
  <c r="S863" i="3"/>
  <c r="Q863" i="3"/>
  <c r="O863" i="3"/>
  <c r="M863" i="3"/>
  <c r="K863" i="3"/>
  <c r="I863" i="3"/>
  <c r="E863" i="3"/>
  <c r="B863" i="3"/>
  <c r="C863" i="3" s="1"/>
  <c r="U862" i="3"/>
  <c r="S862" i="3"/>
  <c r="Q862" i="3"/>
  <c r="O862" i="3"/>
  <c r="M862" i="3"/>
  <c r="K862" i="3"/>
  <c r="I862" i="3"/>
  <c r="E862" i="3"/>
  <c r="B862" i="3"/>
  <c r="C862" i="3" s="1"/>
  <c r="U861" i="3"/>
  <c r="S861" i="3"/>
  <c r="Q861" i="3"/>
  <c r="O861" i="3"/>
  <c r="M861" i="3"/>
  <c r="K861" i="3"/>
  <c r="I861" i="3"/>
  <c r="E861" i="3"/>
  <c r="B861" i="3"/>
  <c r="C861" i="3" s="1"/>
  <c r="U860" i="3"/>
  <c r="S860" i="3"/>
  <c r="Q860" i="3"/>
  <c r="O860" i="3"/>
  <c r="M860" i="3"/>
  <c r="K860" i="3"/>
  <c r="I860" i="3"/>
  <c r="E860" i="3"/>
  <c r="B860" i="3"/>
  <c r="C860" i="3" s="1"/>
  <c r="U859" i="3"/>
  <c r="S859" i="3"/>
  <c r="Q859" i="3"/>
  <c r="O859" i="3"/>
  <c r="M859" i="3"/>
  <c r="K859" i="3"/>
  <c r="I859" i="3"/>
  <c r="E859" i="3"/>
  <c r="B859" i="3"/>
  <c r="C859" i="3" s="1"/>
  <c r="U858" i="3"/>
  <c r="S858" i="3"/>
  <c r="Q858" i="3"/>
  <c r="O858" i="3"/>
  <c r="M858" i="3"/>
  <c r="K858" i="3"/>
  <c r="I858" i="3"/>
  <c r="E858" i="3"/>
  <c r="B858" i="3"/>
  <c r="C858" i="3" s="1"/>
  <c r="U857" i="3"/>
  <c r="S857" i="3"/>
  <c r="Q857" i="3"/>
  <c r="O857" i="3"/>
  <c r="M857" i="3"/>
  <c r="K857" i="3"/>
  <c r="I857" i="3"/>
  <c r="E857" i="3"/>
  <c r="B857" i="3"/>
  <c r="C857" i="3" s="1"/>
  <c r="U856" i="3"/>
  <c r="S856" i="3"/>
  <c r="Q856" i="3"/>
  <c r="O856" i="3"/>
  <c r="M856" i="3"/>
  <c r="K856" i="3"/>
  <c r="I856" i="3"/>
  <c r="E856" i="3"/>
  <c r="B856" i="3"/>
  <c r="C856" i="3" s="1"/>
  <c r="U855" i="3"/>
  <c r="S855" i="3"/>
  <c r="Q855" i="3"/>
  <c r="O855" i="3"/>
  <c r="M855" i="3"/>
  <c r="K855" i="3"/>
  <c r="I855" i="3"/>
  <c r="E855" i="3"/>
  <c r="B855" i="3"/>
  <c r="C855" i="3" s="1"/>
  <c r="U854" i="3"/>
  <c r="S854" i="3"/>
  <c r="Q854" i="3"/>
  <c r="O854" i="3"/>
  <c r="M854" i="3"/>
  <c r="K854" i="3"/>
  <c r="I854" i="3"/>
  <c r="E854" i="3"/>
  <c r="B854" i="3"/>
  <c r="C854" i="3" s="1"/>
  <c r="U853" i="3"/>
  <c r="S853" i="3"/>
  <c r="Q853" i="3"/>
  <c r="O853" i="3"/>
  <c r="M853" i="3"/>
  <c r="K853" i="3"/>
  <c r="I853" i="3"/>
  <c r="E853" i="3"/>
  <c r="B853" i="3"/>
  <c r="C853" i="3" s="1"/>
  <c r="U852" i="3"/>
  <c r="S852" i="3"/>
  <c r="Q852" i="3"/>
  <c r="O852" i="3"/>
  <c r="M852" i="3"/>
  <c r="K852" i="3"/>
  <c r="I852" i="3"/>
  <c r="E852" i="3"/>
  <c r="B852" i="3"/>
  <c r="C852" i="3" s="1"/>
  <c r="U851" i="3"/>
  <c r="S851" i="3"/>
  <c r="Q851" i="3"/>
  <c r="O851" i="3"/>
  <c r="M851" i="3"/>
  <c r="K851" i="3"/>
  <c r="I851" i="3"/>
  <c r="E851" i="3"/>
  <c r="B851" i="3"/>
  <c r="C851" i="3" s="1"/>
  <c r="U850" i="3"/>
  <c r="S850" i="3"/>
  <c r="Q850" i="3"/>
  <c r="O850" i="3"/>
  <c r="M850" i="3"/>
  <c r="K850" i="3"/>
  <c r="I850" i="3"/>
  <c r="E850" i="3"/>
  <c r="C850" i="3"/>
  <c r="B850" i="3"/>
  <c r="U849" i="3"/>
  <c r="S849" i="3"/>
  <c r="Q849" i="3"/>
  <c r="O849" i="3"/>
  <c r="M849" i="3"/>
  <c r="K849" i="3"/>
  <c r="I849" i="3"/>
  <c r="E849" i="3"/>
  <c r="B849" i="3"/>
  <c r="C849" i="3" s="1"/>
  <c r="U848" i="3"/>
  <c r="S848" i="3"/>
  <c r="Q848" i="3"/>
  <c r="O848" i="3"/>
  <c r="M848" i="3"/>
  <c r="K848" i="3"/>
  <c r="I848" i="3"/>
  <c r="E848" i="3"/>
  <c r="B848" i="3"/>
  <c r="C848" i="3" s="1"/>
  <c r="U847" i="3"/>
  <c r="S847" i="3"/>
  <c r="Q847" i="3"/>
  <c r="O847" i="3"/>
  <c r="M847" i="3"/>
  <c r="K847" i="3"/>
  <c r="I847" i="3"/>
  <c r="E847" i="3"/>
  <c r="B847" i="3"/>
  <c r="C847" i="3" s="1"/>
  <c r="U846" i="3"/>
  <c r="S846" i="3"/>
  <c r="Q846" i="3"/>
  <c r="O846" i="3"/>
  <c r="M846" i="3"/>
  <c r="K846" i="3"/>
  <c r="I846" i="3"/>
  <c r="E846" i="3"/>
  <c r="B846" i="3"/>
  <c r="C846" i="3" s="1"/>
  <c r="U845" i="3"/>
  <c r="S845" i="3"/>
  <c r="Q845" i="3"/>
  <c r="O845" i="3"/>
  <c r="M845" i="3"/>
  <c r="K845" i="3"/>
  <c r="I845" i="3"/>
  <c r="E845" i="3"/>
  <c r="B845" i="3"/>
  <c r="C845" i="3" s="1"/>
  <c r="U844" i="3"/>
  <c r="S844" i="3"/>
  <c r="Q844" i="3"/>
  <c r="O844" i="3"/>
  <c r="M844" i="3"/>
  <c r="K844" i="3"/>
  <c r="I844" i="3"/>
  <c r="E844" i="3"/>
  <c r="B844" i="3"/>
  <c r="C844" i="3" s="1"/>
  <c r="U843" i="3"/>
  <c r="S843" i="3"/>
  <c r="Q843" i="3"/>
  <c r="O843" i="3"/>
  <c r="M843" i="3"/>
  <c r="K843" i="3"/>
  <c r="I843" i="3"/>
  <c r="E843" i="3"/>
  <c r="B843" i="3"/>
  <c r="C843" i="3" s="1"/>
  <c r="U842" i="3"/>
  <c r="S842" i="3"/>
  <c r="Q842" i="3"/>
  <c r="O842" i="3"/>
  <c r="M842" i="3"/>
  <c r="K842" i="3"/>
  <c r="I842" i="3"/>
  <c r="E842" i="3"/>
  <c r="B842" i="3"/>
  <c r="C842" i="3" s="1"/>
  <c r="U841" i="3"/>
  <c r="S841" i="3"/>
  <c r="Q841" i="3"/>
  <c r="O841" i="3"/>
  <c r="M841" i="3"/>
  <c r="K841" i="3"/>
  <c r="I841" i="3"/>
  <c r="E841" i="3"/>
  <c r="B841" i="3"/>
  <c r="C841" i="3" s="1"/>
  <c r="U840" i="3"/>
  <c r="S840" i="3"/>
  <c r="Q840" i="3"/>
  <c r="O840" i="3"/>
  <c r="M840" i="3"/>
  <c r="K840" i="3"/>
  <c r="I840" i="3"/>
  <c r="E840" i="3"/>
  <c r="B840" i="3"/>
  <c r="C840" i="3" s="1"/>
  <c r="U839" i="3"/>
  <c r="S839" i="3"/>
  <c r="Q839" i="3"/>
  <c r="O839" i="3"/>
  <c r="M839" i="3"/>
  <c r="K839" i="3"/>
  <c r="I839" i="3"/>
  <c r="E839" i="3"/>
  <c r="B839" i="3"/>
  <c r="C839" i="3" s="1"/>
  <c r="U838" i="3"/>
  <c r="S838" i="3"/>
  <c r="Q838" i="3"/>
  <c r="O838" i="3"/>
  <c r="M838" i="3"/>
  <c r="K838" i="3"/>
  <c r="I838" i="3"/>
  <c r="E838" i="3"/>
  <c r="B838" i="3"/>
  <c r="C838" i="3" s="1"/>
  <c r="U837" i="3"/>
  <c r="S837" i="3"/>
  <c r="Q837" i="3"/>
  <c r="O837" i="3"/>
  <c r="M837" i="3"/>
  <c r="K837" i="3"/>
  <c r="I837" i="3"/>
  <c r="E837" i="3"/>
  <c r="B837" i="3"/>
  <c r="C837" i="3" s="1"/>
  <c r="U836" i="3"/>
  <c r="S836" i="3"/>
  <c r="Q836" i="3"/>
  <c r="O836" i="3"/>
  <c r="M836" i="3"/>
  <c r="K836" i="3"/>
  <c r="I836" i="3"/>
  <c r="E836" i="3"/>
  <c r="C836" i="3"/>
  <c r="B836" i="3"/>
  <c r="U835" i="3"/>
  <c r="S835" i="3"/>
  <c r="Q835" i="3"/>
  <c r="O835" i="3"/>
  <c r="M835" i="3"/>
  <c r="K835" i="3"/>
  <c r="I835" i="3"/>
  <c r="E835" i="3"/>
  <c r="B835" i="3"/>
  <c r="C835" i="3" s="1"/>
  <c r="U834" i="3"/>
  <c r="S834" i="3"/>
  <c r="Q834" i="3"/>
  <c r="O834" i="3"/>
  <c r="M834" i="3"/>
  <c r="K834" i="3"/>
  <c r="I834" i="3"/>
  <c r="E834" i="3"/>
  <c r="B834" i="3"/>
  <c r="C834" i="3" s="1"/>
  <c r="U833" i="3"/>
  <c r="S833" i="3"/>
  <c r="Q833" i="3"/>
  <c r="O833" i="3"/>
  <c r="M833" i="3"/>
  <c r="K833" i="3"/>
  <c r="I833" i="3"/>
  <c r="E833" i="3"/>
  <c r="B833" i="3"/>
  <c r="C833" i="3" s="1"/>
  <c r="U832" i="3"/>
  <c r="S832" i="3"/>
  <c r="Q832" i="3"/>
  <c r="O832" i="3"/>
  <c r="M832" i="3"/>
  <c r="K832" i="3"/>
  <c r="I832" i="3"/>
  <c r="E832" i="3"/>
  <c r="B832" i="3"/>
  <c r="C832" i="3" s="1"/>
  <c r="U831" i="3"/>
  <c r="S831" i="3"/>
  <c r="Q831" i="3"/>
  <c r="O831" i="3"/>
  <c r="M831" i="3"/>
  <c r="K831" i="3"/>
  <c r="I831" i="3"/>
  <c r="E831" i="3"/>
  <c r="C831" i="3"/>
  <c r="B831" i="3"/>
  <c r="U830" i="3"/>
  <c r="S830" i="3"/>
  <c r="Q830" i="3"/>
  <c r="O830" i="3"/>
  <c r="M830" i="3"/>
  <c r="K830" i="3"/>
  <c r="I830" i="3"/>
  <c r="E830" i="3"/>
  <c r="B830" i="3"/>
  <c r="C830" i="3" s="1"/>
  <c r="U829" i="3"/>
  <c r="S829" i="3"/>
  <c r="Q829" i="3"/>
  <c r="O829" i="3"/>
  <c r="M829" i="3"/>
  <c r="K829" i="3"/>
  <c r="I829" i="3"/>
  <c r="E829" i="3"/>
  <c r="B829" i="3"/>
  <c r="C829" i="3" s="1"/>
  <c r="U828" i="3"/>
  <c r="S828" i="3"/>
  <c r="Q828" i="3"/>
  <c r="O828" i="3"/>
  <c r="M828" i="3"/>
  <c r="K828" i="3"/>
  <c r="I828" i="3"/>
  <c r="E828" i="3"/>
  <c r="B828" i="3"/>
  <c r="C828" i="3" s="1"/>
  <c r="U827" i="3"/>
  <c r="S827" i="3"/>
  <c r="Q827" i="3"/>
  <c r="O827" i="3"/>
  <c r="M827" i="3"/>
  <c r="K827" i="3"/>
  <c r="I827" i="3"/>
  <c r="E827" i="3"/>
  <c r="B827" i="3"/>
  <c r="C827" i="3" s="1"/>
  <c r="U826" i="3"/>
  <c r="S826" i="3"/>
  <c r="Q826" i="3"/>
  <c r="O826" i="3"/>
  <c r="M826" i="3"/>
  <c r="K826" i="3"/>
  <c r="I826" i="3"/>
  <c r="E826" i="3"/>
  <c r="B826" i="3"/>
  <c r="C826" i="3" s="1"/>
  <c r="U825" i="3"/>
  <c r="S825" i="3"/>
  <c r="Q825" i="3"/>
  <c r="O825" i="3"/>
  <c r="M825" i="3"/>
  <c r="K825" i="3"/>
  <c r="I825" i="3"/>
  <c r="E825" i="3"/>
  <c r="B825" i="3"/>
  <c r="C825" i="3" s="1"/>
  <c r="U824" i="3"/>
  <c r="S824" i="3"/>
  <c r="Q824" i="3"/>
  <c r="O824" i="3"/>
  <c r="M824" i="3"/>
  <c r="K824" i="3"/>
  <c r="I824" i="3"/>
  <c r="E824" i="3"/>
  <c r="B824" i="3"/>
  <c r="C824" i="3" s="1"/>
  <c r="U823" i="3"/>
  <c r="S823" i="3"/>
  <c r="Q823" i="3"/>
  <c r="O823" i="3"/>
  <c r="M823" i="3"/>
  <c r="K823" i="3"/>
  <c r="I823" i="3"/>
  <c r="E823" i="3"/>
  <c r="B823" i="3"/>
  <c r="C823" i="3" s="1"/>
  <c r="U822" i="3"/>
  <c r="S822" i="3"/>
  <c r="Q822" i="3"/>
  <c r="O822" i="3"/>
  <c r="M822" i="3"/>
  <c r="K822" i="3"/>
  <c r="I822" i="3"/>
  <c r="E822" i="3"/>
  <c r="B822" i="3"/>
  <c r="C822" i="3" s="1"/>
  <c r="U821" i="3"/>
  <c r="S821" i="3"/>
  <c r="Q821" i="3"/>
  <c r="O821" i="3"/>
  <c r="M821" i="3"/>
  <c r="K821" i="3"/>
  <c r="I821" i="3"/>
  <c r="E821" i="3"/>
  <c r="B821" i="3"/>
  <c r="C821" i="3" s="1"/>
  <c r="U820" i="3"/>
  <c r="S820" i="3"/>
  <c r="Q820" i="3"/>
  <c r="O820" i="3"/>
  <c r="M820" i="3"/>
  <c r="K820" i="3"/>
  <c r="I820" i="3"/>
  <c r="E820" i="3"/>
  <c r="B820" i="3"/>
  <c r="C820" i="3" s="1"/>
  <c r="U819" i="3"/>
  <c r="S819" i="3"/>
  <c r="Q819" i="3"/>
  <c r="O819" i="3"/>
  <c r="M819" i="3"/>
  <c r="K819" i="3"/>
  <c r="I819" i="3"/>
  <c r="E819" i="3"/>
  <c r="B819" i="3"/>
  <c r="C819" i="3" s="1"/>
  <c r="U818" i="3"/>
  <c r="S818" i="3"/>
  <c r="Q818" i="3"/>
  <c r="O818" i="3"/>
  <c r="M818" i="3"/>
  <c r="K818" i="3"/>
  <c r="I818" i="3"/>
  <c r="E818" i="3"/>
  <c r="B818" i="3"/>
  <c r="C818" i="3" s="1"/>
  <c r="U817" i="3"/>
  <c r="S817" i="3"/>
  <c r="Q817" i="3"/>
  <c r="O817" i="3"/>
  <c r="M817" i="3"/>
  <c r="K817" i="3"/>
  <c r="I817" i="3"/>
  <c r="E817" i="3"/>
  <c r="B817" i="3"/>
  <c r="C817" i="3" s="1"/>
  <c r="U816" i="3"/>
  <c r="S816" i="3"/>
  <c r="Q816" i="3"/>
  <c r="O816" i="3"/>
  <c r="M816" i="3"/>
  <c r="K816" i="3"/>
  <c r="I816" i="3"/>
  <c r="E816" i="3"/>
  <c r="B816" i="3"/>
  <c r="C816" i="3" s="1"/>
  <c r="U815" i="3"/>
  <c r="S815" i="3"/>
  <c r="Q815" i="3"/>
  <c r="O815" i="3"/>
  <c r="M815" i="3"/>
  <c r="K815" i="3"/>
  <c r="I815" i="3"/>
  <c r="E815" i="3"/>
  <c r="B815" i="3"/>
  <c r="C815" i="3" s="1"/>
  <c r="U814" i="3"/>
  <c r="S814" i="3"/>
  <c r="Q814" i="3"/>
  <c r="O814" i="3"/>
  <c r="M814" i="3"/>
  <c r="K814" i="3"/>
  <c r="I814" i="3"/>
  <c r="E814" i="3"/>
  <c r="C814" i="3"/>
  <c r="B814" i="3"/>
  <c r="U813" i="3"/>
  <c r="S813" i="3"/>
  <c r="Q813" i="3"/>
  <c r="O813" i="3"/>
  <c r="M813" i="3"/>
  <c r="K813" i="3"/>
  <c r="I813" i="3"/>
  <c r="E813" i="3"/>
  <c r="B813" i="3"/>
  <c r="C813" i="3" s="1"/>
  <c r="U812" i="3"/>
  <c r="S812" i="3"/>
  <c r="Q812" i="3"/>
  <c r="O812" i="3"/>
  <c r="M812" i="3"/>
  <c r="K812" i="3"/>
  <c r="I812" i="3"/>
  <c r="E812" i="3"/>
  <c r="B812" i="3"/>
  <c r="C812" i="3" s="1"/>
  <c r="U811" i="3"/>
  <c r="S811" i="3"/>
  <c r="Q811" i="3"/>
  <c r="O811" i="3"/>
  <c r="M811" i="3"/>
  <c r="K811" i="3"/>
  <c r="I811" i="3"/>
  <c r="E811" i="3"/>
  <c r="B811" i="3"/>
  <c r="C811" i="3" s="1"/>
  <c r="U810" i="3"/>
  <c r="S810" i="3"/>
  <c r="Q810" i="3"/>
  <c r="O810" i="3"/>
  <c r="M810" i="3"/>
  <c r="K810" i="3"/>
  <c r="I810" i="3"/>
  <c r="E810" i="3"/>
  <c r="B810" i="3"/>
  <c r="C810" i="3" s="1"/>
  <c r="U809" i="3"/>
  <c r="S809" i="3"/>
  <c r="Q809" i="3"/>
  <c r="O809" i="3"/>
  <c r="M809" i="3"/>
  <c r="K809" i="3"/>
  <c r="I809" i="3"/>
  <c r="E809" i="3"/>
  <c r="B809" i="3"/>
  <c r="C809" i="3" s="1"/>
  <c r="U808" i="3"/>
  <c r="S808" i="3"/>
  <c r="Q808" i="3"/>
  <c r="O808" i="3"/>
  <c r="M808" i="3"/>
  <c r="K808" i="3"/>
  <c r="I808" i="3"/>
  <c r="E808" i="3"/>
  <c r="B808" i="3"/>
  <c r="C808" i="3" s="1"/>
  <c r="U807" i="3"/>
  <c r="S807" i="3"/>
  <c r="Q807" i="3"/>
  <c r="O807" i="3"/>
  <c r="M807" i="3"/>
  <c r="K807" i="3"/>
  <c r="I807" i="3"/>
  <c r="E807" i="3"/>
  <c r="B807" i="3"/>
  <c r="C807" i="3" s="1"/>
  <c r="U806" i="3"/>
  <c r="S806" i="3"/>
  <c r="Q806" i="3"/>
  <c r="O806" i="3"/>
  <c r="M806" i="3"/>
  <c r="K806" i="3"/>
  <c r="I806" i="3"/>
  <c r="E806" i="3"/>
  <c r="B806" i="3"/>
  <c r="C806" i="3" s="1"/>
  <c r="U805" i="3"/>
  <c r="S805" i="3"/>
  <c r="Q805" i="3"/>
  <c r="O805" i="3"/>
  <c r="M805" i="3"/>
  <c r="K805" i="3"/>
  <c r="I805" i="3"/>
  <c r="E805" i="3"/>
  <c r="B805" i="3"/>
  <c r="C805" i="3" s="1"/>
  <c r="U804" i="3"/>
  <c r="S804" i="3"/>
  <c r="Q804" i="3"/>
  <c r="O804" i="3"/>
  <c r="M804" i="3"/>
  <c r="K804" i="3"/>
  <c r="I804" i="3"/>
  <c r="E804" i="3"/>
  <c r="B804" i="3"/>
  <c r="C804" i="3" s="1"/>
  <c r="U803" i="3"/>
  <c r="S803" i="3"/>
  <c r="Q803" i="3"/>
  <c r="O803" i="3"/>
  <c r="M803" i="3"/>
  <c r="K803" i="3"/>
  <c r="I803" i="3"/>
  <c r="E803" i="3"/>
  <c r="B803" i="3"/>
  <c r="C803" i="3" s="1"/>
  <c r="U802" i="3"/>
  <c r="S802" i="3"/>
  <c r="Q802" i="3"/>
  <c r="O802" i="3"/>
  <c r="M802" i="3"/>
  <c r="K802" i="3"/>
  <c r="I802" i="3"/>
  <c r="E802" i="3"/>
  <c r="B802" i="3"/>
  <c r="C802" i="3" s="1"/>
  <c r="U801" i="3"/>
  <c r="S801" i="3"/>
  <c r="Q801" i="3"/>
  <c r="O801" i="3"/>
  <c r="M801" i="3"/>
  <c r="K801" i="3"/>
  <c r="I801" i="3"/>
  <c r="E801" i="3"/>
  <c r="B801" i="3"/>
  <c r="C801" i="3" s="1"/>
  <c r="U800" i="3"/>
  <c r="S800" i="3"/>
  <c r="Q800" i="3"/>
  <c r="O800" i="3"/>
  <c r="M800" i="3"/>
  <c r="K800" i="3"/>
  <c r="I800" i="3"/>
  <c r="E800" i="3"/>
  <c r="C800" i="3"/>
  <c r="B800" i="3"/>
  <c r="U799" i="3"/>
  <c r="S799" i="3"/>
  <c r="Q799" i="3"/>
  <c r="O799" i="3"/>
  <c r="M799" i="3"/>
  <c r="K799" i="3"/>
  <c r="I799" i="3"/>
  <c r="E799" i="3"/>
  <c r="B799" i="3"/>
  <c r="C799" i="3" s="1"/>
  <c r="U798" i="3"/>
  <c r="S798" i="3"/>
  <c r="Q798" i="3"/>
  <c r="O798" i="3"/>
  <c r="M798" i="3"/>
  <c r="K798" i="3"/>
  <c r="I798" i="3"/>
  <c r="E798" i="3"/>
  <c r="B798" i="3"/>
  <c r="C798" i="3" s="1"/>
  <c r="U797" i="3"/>
  <c r="S797" i="3"/>
  <c r="Q797" i="3"/>
  <c r="O797" i="3"/>
  <c r="M797" i="3"/>
  <c r="K797" i="3"/>
  <c r="I797" i="3"/>
  <c r="E797" i="3"/>
  <c r="B797" i="3"/>
  <c r="C797" i="3" s="1"/>
  <c r="U796" i="3"/>
  <c r="S796" i="3"/>
  <c r="Q796" i="3"/>
  <c r="O796" i="3"/>
  <c r="M796" i="3"/>
  <c r="K796" i="3"/>
  <c r="I796" i="3"/>
  <c r="E796" i="3"/>
  <c r="B796" i="3"/>
  <c r="C796" i="3" s="1"/>
  <c r="U795" i="3"/>
  <c r="S795" i="3"/>
  <c r="Q795" i="3"/>
  <c r="O795" i="3"/>
  <c r="M795" i="3"/>
  <c r="K795" i="3"/>
  <c r="I795" i="3"/>
  <c r="E795" i="3"/>
  <c r="B795" i="3"/>
  <c r="C795" i="3" s="1"/>
  <c r="U794" i="3"/>
  <c r="S794" i="3"/>
  <c r="Q794" i="3"/>
  <c r="O794" i="3"/>
  <c r="M794" i="3"/>
  <c r="K794" i="3"/>
  <c r="I794" i="3"/>
  <c r="E794" i="3"/>
  <c r="B794" i="3"/>
  <c r="C794" i="3" s="1"/>
  <c r="U793" i="3"/>
  <c r="S793" i="3"/>
  <c r="Q793" i="3"/>
  <c r="O793" i="3"/>
  <c r="M793" i="3"/>
  <c r="K793" i="3"/>
  <c r="I793" i="3"/>
  <c r="E793" i="3"/>
  <c r="B793" i="3"/>
  <c r="C793" i="3" s="1"/>
  <c r="U792" i="3"/>
  <c r="S792" i="3"/>
  <c r="Q792" i="3"/>
  <c r="O792" i="3"/>
  <c r="M792" i="3"/>
  <c r="K792" i="3"/>
  <c r="I792" i="3"/>
  <c r="E792" i="3"/>
  <c r="B792" i="3"/>
  <c r="C792" i="3" s="1"/>
  <c r="U791" i="3"/>
  <c r="S791" i="3"/>
  <c r="Q791" i="3"/>
  <c r="O791" i="3"/>
  <c r="M791" i="3"/>
  <c r="K791" i="3"/>
  <c r="I791" i="3"/>
  <c r="E791" i="3"/>
  <c r="B791" i="3"/>
  <c r="C791" i="3" s="1"/>
  <c r="U790" i="3"/>
  <c r="S790" i="3"/>
  <c r="Q790" i="3"/>
  <c r="O790" i="3"/>
  <c r="M790" i="3"/>
  <c r="K790" i="3"/>
  <c r="I790" i="3"/>
  <c r="E790" i="3"/>
  <c r="B790" i="3"/>
  <c r="C790" i="3" s="1"/>
  <c r="U789" i="3"/>
  <c r="S789" i="3"/>
  <c r="Q789" i="3"/>
  <c r="O789" i="3"/>
  <c r="M789" i="3"/>
  <c r="K789" i="3"/>
  <c r="I789" i="3"/>
  <c r="E789" i="3"/>
  <c r="B789" i="3"/>
  <c r="C789" i="3" s="1"/>
  <c r="U788" i="3"/>
  <c r="S788" i="3"/>
  <c r="Q788" i="3"/>
  <c r="O788" i="3"/>
  <c r="M788" i="3"/>
  <c r="K788" i="3"/>
  <c r="I788" i="3"/>
  <c r="E788" i="3"/>
  <c r="B788" i="3"/>
  <c r="C788" i="3" s="1"/>
  <c r="U787" i="3"/>
  <c r="S787" i="3"/>
  <c r="Q787" i="3"/>
  <c r="O787" i="3"/>
  <c r="M787" i="3"/>
  <c r="K787" i="3"/>
  <c r="I787" i="3"/>
  <c r="E787" i="3"/>
  <c r="B787" i="3"/>
  <c r="C787" i="3" s="1"/>
  <c r="U786" i="3"/>
  <c r="S786" i="3"/>
  <c r="Q786" i="3"/>
  <c r="O786" i="3"/>
  <c r="M786" i="3"/>
  <c r="K786" i="3"/>
  <c r="I786" i="3"/>
  <c r="E786" i="3"/>
  <c r="B786" i="3"/>
  <c r="C786" i="3" s="1"/>
  <c r="U785" i="3"/>
  <c r="S785" i="3"/>
  <c r="Q785" i="3"/>
  <c r="O785" i="3"/>
  <c r="M785" i="3"/>
  <c r="K785" i="3"/>
  <c r="I785" i="3"/>
  <c r="E785" i="3"/>
  <c r="B785" i="3"/>
  <c r="C785" i="3" s="1"/>
  <c r="U784" i="3"/>
  <c r="S784" i="3"/>
  <c r="Q784" i="3"/>
  <c r="O784" i="3"/>
  <c r="M784" i="3"/>
  <c r="K784" i="3"/>
  <c r="I784" i="3"/>
  <c r="E784" i="3"/>
  <c r="B784" i="3"/>
  <c r="C784" i="3" s="1"/>
  <c r="U783" i="3"/>
  <c r="S783" i="3"/>
  <c r="Q783" i="3"/>
  <c r="O783" i="3"/>
  <c r="M783" i="3"/>
  <c r="K783" i="3"/>
  <c r="I783" i="3"/>
  <c r="E783" i="3"/>
  <c r="B783" i="3"/>
  <c r="C783" i="3" s="1"/>
  <c r="U782" i="3"/>
  <c r="S782" i="3"/>
  <c r="Q782" i="3"/>
  <c r="O782" i="3"/>
  <c r="M782" i="3"/>
  <c r="K782" i="3"/>
  <c r="I782" i="3"/>
  <c r="E782" i="3"/>
  <c r="B782" i="3"/>
  <c r="C782" i="3" s="1"/>
  <c r="U781" i="3"/>
  <c r="S781" i="3"/>
  <c r="Q781" i="3"/>
  <c r="O781" i="3"/>
  <c r="M781" i="3"/>
  <c r="K781" i="3"/>
  <c r="I781" i="3"/>
  <c r="E781" i="3"/>
  <c r="B781" i="3"/>
  <c r="C781" i="3" s="1"/>
  <c r="U780" i="3"/>
  <c r="S780" i="3"/>
  <c r="Q780" i="3"/>
  <c r="O780" i="3"/>
  <c r="M780" i="3"/>
  <c r="K780" i="3"/>
  <c r="I780" i="3"/>
  <c r="E780" i="3"/>
  <c r="B780" i="3"/>
  <c r="C780" i="3" s="1"/>
  <c r="U779" i="3"/>
  <c r="S779" i="3"/>
  <c r="Q779" i="3"/>
  <c r="O779" i="3"/>
  <c r="M779" i="3"/>
  <c r="K779" i="3"/>
  <c r="I779" i="3"/>
  <c r="E779" i="3"/>
  <c r="B779" i="3"/>
  <c r="C779" i="3" s="1"/>
  <c r="U778" i="3"/>
  <c r="S778" i="3"/>
  <c r="Q778" i="3"/>
  <c r="O778" i="3"/>
  <c r="M778" i="3"/>
  <c r="K778" i="3"/>
  <c r="I778" i="3"/>
  <c r="E778" i="3"/>
  <c r="C778" i="3"/>
  <c r="B778" i="3"/>
  <c r="U777" i="3"/>
  <c r="S777" i="3"/>
  <c r="Q777" i="3"/>
  <c r="O777" i="3"/>
  <c r="M777" i="3"/>
  <c r="K777" i="3"/>
  <c r="I777" i="3"/>
  <c r="E777" i="3"/>
  <c r="B777" i="3"/>
  <c r="C777" i="3" s="1"/>
  <c r="U776" i="3"/>
  <c r="S776" i="3"/>
  <c r="Q776" i="3"/>
  <c r="O776" i="3"/>
  <c r="M776" i="3"/>
  <c r="K776" i="3"/>
  <c r="I776" i="3"/>
  <c r="E776" i="3"/>
  <c r="B776" i="3"/>
  <c r="C776" i="3" s="1"/>
  <c r="U775" i="3"/>
  <c r="S775" i="3"/>
  <c r="Q775" i="3"/>
  <c r="O775" i="3"/>
  <c r="M775" i="3"/>
  <c r="K775" i="3"/>
  <c r="I775" i="3"/>
  <c r="E775" i="3"/>
  <c r="B775" i="3"/>
  <c r="C775" i="3" s="1"/>
  <c r="U774" i="3"/>
  <c r="S774" i="3"/>
  <c r="Q774" i="3"/>
  <c r="O774" i="3"/>
  <c r="M774" i="3"/>
  <c r="K774" i="3"/>
  <c r="I774" i="3"/>
  <c r="E774" i="3"/>
  <c r="B774" i="3"/>
  <c r="C774" i="3" s="1"/>
  <c r="U773" i="3"/>
  <c r="S773" i="3"/>
  <c r="Q773" i="3"/>
  <c r="O773" i="3"/>
  <c r="M773" i="3"/>
  <c r="K773" i="3"/>
  <c r="I773" i="3"/>
  <c r="E773" i="3"/>
  <c r="B773" i="3"/>
  <c r="C773" i="3" s="1"/>
  <c r="U772" i="3"/>
  <c r="S772" i="3"/>
  <c r="Q772" i="3"/>
  <c r="O772" i="3"/>
  <c r="M772" i="3"/>
  <c r="K772" i="3"/>
  <c r="I772" i="3"/>
  <c r="E772" i="3"/>
  <c r="B772" i="3"/>
  <c r="C772" i="3" s="1"/>
  <c r="U771" i="3"/>
  <c r="S771" i="3"/>
  <c r="Q771" i="3"/>
  <c r="O771" i="3"/>
  <c r="M771" i="3"/>
  <c r="K771" i="3"/>
  <c r="I771" i="3"/>
  <c r="E771" i="3"/>
  <c r="B771" i="3"/>
  <c r="C771" i="3" s="1"/>
  <c r="U770" i="3"/>
  <c r="S770" i="3"/>
  <c r="Q770" i="3"/>
  <c r="O770" i="3"/>
  <c r="M770" i="3"/>
  <c r="K770" i="3"/>
  <c r="I770" i="3"/>
  <c r="E770" i="3"/>
  <c r="B770" i="3"/>
  <c r="C770" i="3" s="1"/>
  <c r="U769" i="3"/>
  <c r="S769" i="3"/>
  <c r="Q769" i="3"/>
  <c r="O769" i="3"/>
  <c r="M769" i="3"/>
  <c r="K769" i="3"/>
  <c r="I769" i="3"/>
  <c r="E769" i="3"/>
  <c r="B769" i="3"/>
  <c r="C769" i="3" s="1"/>
  <c r="U768" i="3"/>
  <c r="S768" i="3"/>
  <c r="Q768" i="3"/>
  <c r="O768" i="3"/>
  <c r="M768" i="3"/>
  <c r="K768" i="3"/>
  <c r="I768" i="3"/>
  <c r="E768" i="3"/>
  <c r="B768" i="3"/>
  <c r="C768" i="3" s="1"/>
  <c r="U767" i="3"/>
  <c r="S767" i="3"/>
  <c r="Q767" i="3"/>
  <c r="O767" i="3"/>
  <c r="M767" i="3"/>
  <c r="K767" i="3"/>
  <c r="I767" i="3"/>
  <c r="E767" i="3"/>
  <c r="B767" i="3"/>
  <c r="C767" i="3" s="1"/>
  <c r="U766" i="3"/>
  <c r="S766" i="3"/>
  <c r="Q766" i="3"/>
  <c r="O766" i="3"/>
  <c r="M766" i="3"/>
  <c r="K766" i="3"/>
  <c r="I766" i="3"/>
  <c r="E766" i="3"/>
  <c r="B766" i="3"/>
  <c r="C766" i="3" s="1"/>
  <c r="U765" i="3"/>
  <c r="S765" i="3"/>
  <c r="Q765" i="3"/>
  <c r="O765" i="3"/>
  <c r="M765" i="3"/>
  <c r="K765" i="3"/>
  <c r="I765" i="3"/>
  <c r="E765" i="3"/>
  <c r="B765" i="3"/>
  <c r="C765" i="3" s="1"/>
  <c r="U764" i="3"/>
  <c r="S764" i="3"/>
  <c r="Q764" i="3"/>
  <c r="O764" i="3"/>
  <c r="M764" i="3"/>
  <c r="K764" i="3"/>
  <c r="I764" i="3"/>
  <c r="E764" i="3"/>
  <c r="B764" i="3"/>
  <c r="C764" i="3" s="1"/>
  <c r="U763" i="3"/>
  <c r="S763" i="3"/>
  <c r="Q763" i="3"/>
  <c r="O763" i="3"/>
  <c r="M763" i="3"/>
  <c r="K763" i="3"/>
  <c r="I763" i="3"/>
  <c r="E763" i="3"/>
  <c r="B763" i="3"/>
  <c r="C763" i="3" s="1"/>
  <c r="U762" i="3"/>
  <c r="S762" i="3"/>
  <c r="Q762" i="3"/>
  <c r="O762" i="3"/>
  <c r="M762" i="3"/>
  <c r="K762" i="3"/>
  <c r="I762" i="3"/>
  <c r="E762" i="3"/>
  <c r="B762" i="3"/>
  <c r="C762" i="3" s="1"/>
  <c r="U761" i="3"/>
  <c r="S761" i="3"/>
  <c r="Q761" i="3"/>
  <c r="O761" i="3"/>
  <c r="M761" i="3"/>
  <c r="K761" i="3"/>
  <c r="I761" i="3"/>
  <c r="E761" i="3"/>
  <c r="B761" i="3"/>
  <c r="C761" i="3" s="1"/>
  <c r="U760" i="3"/>
  <c r="S760" i="3"/>
  <c r="Q760" i="3"/>
  <c r="O760" i="3"/>
  <c r="M760" i="3"/>
  <c r="K760" i="3"/>
  <c r="I760" i="3"/>
  <c r="E760" i="3"/>
  <c r="B760" i="3"/>
  <c r="C760" i="3" s="1"/>
  <c r="U759" i="3"/>
  <c r="S759" i="3"/>
  <c r="Q759" i="3"/>
  <c r="O759" i="3"/>
  <c r="M759" i="3"/>
  <c r="K759" i="3"/>
  <c r="I759" i="3"/>
  <c r="E759" i="3"/>
  <c r="C759" i="3"/>
  <c r="B759" i="3"/>
  <c r="U758" i="3"/>
  <c r="S758" i="3"/>
  <c r="Q758" i="3"/>
  <c r="O758" i="3"/>
  <c r="M758" i="3"/>
  <c r="K758" i="3"/>
  <c r="I758" i="3"/>
  <c r="E758" i="3"/>
  <c r="C758" i="3"/>
  <c r="B758" i="3"/>
  <c r="U757" i="3"/>
  <c r="S757" i="3"/>
  <c r="Q757" i="3"/>
  <c r="O757" i="3"/>
  <c r="M757" i="3"/>
  <c r="K757" i="3"/>
  <c r="I757" i="3"/>
  <c r="E757" i="3"/>
  <c r="B757" i="3"/>
  <c r="C757" i="3" s="1"/>
  <c r="U756" i="3"/>
  <c r="S756" i="3"/>
  <c r="Q756" i="3"/>
  <c r="O756" i="3"/>
  <c r="M756" i="3"/>
  <c r="K756" i="3"/>
  <c r="I756" i="3"/>
  <c r="E756" i="3"/>
  <c r="B756" i="3"/>
  <c r="C756" i="3" s="1"/>
  <c r="U755" i="3"/>
  <c r="S755" i="3"/>
  <c r="Q755" i="3"/>
  <c r="O755" i="3"/>
  <c r="M755" i="3"/>
  <c r="K755" i="3"/>
  <c r="I755" i="3"/>
  <c r="E755" i="3"/>
  <c r="B755" i="3"/>
  <c r="C755" i="3" s="1"/>
  <c r="U754" i="3"/>
  <c r="S754" i="3"/>
  <c r="Q754" i="3"/>
  <c r="O754" i="3"/>
  <c r="M754" i="3"/>
  <c r="K754" i="3"/>
  <c r="I754" i="3"/>
  <c r="E754" i="3"/>
  <c r="C754" i="3"/>
  <c r="B754" i="3"/>
  <c r="U753" i="3"/>
  <c r="S753" i="3"/>
  <c r="Q753" i="3"/>
  <c r="O753" i="3"/>
  <c r="M753" i="3"/>
  <c r="K753" i="3"/>
  <c r="I753" i="3"/>
  <c r="E753" i="3"/>
  <c r="B753" i="3"/>
  <c r="C753" i="3" s="1"/>
  <c r="U752" i="3"/>
  <c r="S752" i="3"/>
  <c r="Q752" i="3"/>
  <c r="O752" i="3"/>
  <c r="M752" i="3"/>
  <c r="K752" i="3"/>
  <c r="I752" i="3"/>
  <c r="E752" i="3"/>
  <c r="B752" i="3"/>
  <c r="C752" i="3" s="1"/>
  <c r="U751" i="3"/>
  <c r="S751" i="3"/>
  <c r="Q751" i="3"/>
  <c r="O751" i="3"/>
  <c r="M751" i="3"/>
  <c r="K751" i="3"/>
  <c r="I751" i="3"/>
  <c r="E751" i="3"/>
  <c r="B751" i="3"/>
  <c r="C751" i="3" s="1"/>
  <c r="U750" i="3"/>
  <c r="S750" i="3"/>
  <c r="Q750" i="3"/>
  <c r="O750" i="3"/>
  <c r="M750" i="3"/>
  <c r="K750" i="3"/>
  <c r="I750" i="3"/>
  <c r="E750" i="3"/>
  <c r="B750" i="3"/>
  <c r="C750" i="3" s="1"/>
  <c r="U749" i="3"/>
  <c r="S749" i="3"/>
  <c r="Q749" i="3"/>
  <c r="O749" i="3"/>
  <c r="M749" i="3"/>
  <c r="K749" i="3"/>
  <c r="I749" i="3"/>
  <c r="E749" i="3"/>
  <c r="B749" i="3"/>
  <c r="C749" i="3" s="1"/>
  <c r="U748" i="3"/>
  <c r="S748" i="3"/>
  <c r="Q748" i="3"/>
  <c r="O748" i="3"/>
  <c r="M748" i="3"/>
  <c r="K748" i="3"/>
  <c r="I748" i="3"/>
  <c r="E748" i="3"/>
  <c r="B748" i="3"/>
  <c r="C748" i="3" s="1"/>
  <c r="U747" i="3"/>
  <c r="S747" i="3"/>
  <c r="Q747" i="3"/>
  <c r="O747" i="3"/>
  <c r="M747" i="3"/>
  <c r="K747" i="3"/>
  <c r="I747" i="3"/>
  <c r="E747" i="3"/>
  <c r="B747" i="3"/>
  <c r="C747" i="3" s="1"/>
  <c r="U746" i="3"/>
  <c r="S746" i="3"/>
  <c r="Q746" i="3"/>
  <c r="O746" i="3"/>
  <c r="M746" i="3"/>
  <c r="K746" i="3"/>
  <c r="I746" i="3"/>
  <c r="E746" i="3"/>
  <c r="B746" i="3"/>
  <c r="C746" i="3" s="1"/>
  <c r="U745" i="3"/>
  <c r="S745" i="3"/>
  <c r="Q745" i="3"/>
  <c r="O745" i="3"/>
  <c r="M745" i="3"/>
  <c r="K745" i="3"/>
  <c r="I745" i="3"/>
  <c r="E745" i="3"/>
  <c r="B745" i="3"/>
  <c r="C745" i="3" s="1"/>
  <c r="U744" i="3"/>
  <c r="S744" i="3"/>
  <c r="Q744" i="3"/>
  <c r="O744" i="3"/>
  <c r="M744" i="3"/>
  <c r="K744" i="3"/>
  <c r="I744" i="3"/>
  <c r="E744" i="3"/>
  <c r="B744" i="3"/>
  <c r="C744" i="3" s="1"/>
  <c r="U743" i="3"/>
  <c r="S743" i="3"/>
  <c r="Q743" i="3"/>
  <c r="O743" i="3"/>
  <c r="M743" i="3"/>
  <c r="K743" i="3"/>
  <c r="I743" i="3"/>
  <c r="E743" i="3"/>
  <c r="B743" i="3"/>
  <c r="C743" i="3" s="1"/>
  <c r="U742" i="3"/>
  <c r="S742" i="3"/>
  <c r="Q742" i="3"/>
  <c r="O742" i="3"/>
  <c r="M742" i="3"/>
  <c r="K742" i="3"/>
  <c r="I742" i="3"/>
  <c r="E742" i="3"/>
  <c r="B742" i="3"/>
  <c r="C742" i="3" s="1"/>
  <c r="U741" i="3"/>
  <c r="S741" i="3"/>
  <c r="Q741" i="3"/>
  <c r="O741" i="3"/>
  <c r="M741" i="3"/>
  <c r="K741" i="3"/>
  <c r="I741" i="3"/>
  <c r="E741" i="3"/>
  <c r="B741" i="3"/>
  <c r="C741" i="3" s="1"/>
  <c r="U740" i="3"/>
  <c r="S740" i="3"/>
  <c r="Q740" i="3"/>
  <c r="O740" i="3"/>
  <c r="M740" i="3"/>
  <c r="K740" i="3"/>
  <c r="I740" i="3"/>
  <c r="E740" i="3"/>
  <c r="B740" i="3"/>
  <c r="C740" i="3" s="1"/>
  <c r="U739" i="3"/>
  <c r="S739" i="3"/>
  <c r="Q739" i="3"/>
  <c r="O739" i="3"/>
  <c r="M739" i="3"/>
  <c r="K739" i="3"/>
  <c r="I739" i="3"/>
  <c r="E739" i="3"/>
  <c r="B739" i="3"/>
  <c r="C739" i="3" s="1"/>
  <c r="U738" i="3"/>
  <c r="S738" i="3"/>
  <c r="Q738" i="3"/>
  <c r="O738" i="3"/>
  <c r="M738" i="3"/>
  <c r="K738" i="3"/>
  <c r="I738" i="3"/>
  <c r="E738" i="3"/>
  <c r="B738" i="3"/>
  <c r="C738" i="3" s="1"/>
  <c r="U737" i="3"/>
  <c r="S737" i="3"/>
  <c r="Q737" i="3"/>
  <c r="O737" i="3"/>
  <c r="M737" i="3"/>
  <c r="K737" i="3"/>
  <c r="I737" i="3"/>
  <c r="E737" i="3"/>
  <c r="B737" i="3"/>
  <c r="C737" i="3" s="1"/>
  <c r="U736" i="3"/>
  <c r="S736" i="3"/>
  <c r="Q736" i="3"/>
  <c r="O736" i="3"/>
  <c r="M736" i="3"/>
  <c r="K736" i="3"/>
  <c r="I736" i="3"/>
  <c r="E736" i="3"/>
  <c r="B736" i="3"/>
  <c r="C736" i="3" s="1"/>
  <c r="U735" i="3"/>
  <c r="S735" i="3"/>
  <c r="Q735" i="3"/>
  <c r="O735" i="3"/>
  <c r="M735" i="3"/>
  <c r="K735" i="3"/>
  <c r="I735" i="3"/>
  <c r="E735" i="3"/>
  <c r="B735" i="3"/>
  <c r="C735" i="3" s="1"/>
  <c r="U734" i="3"/>
  <c r="S734" i="3"/>
  <c r="Q734" i="3"/>
  <c r="O734" i="3"/>
  <c r="M734" i="3"/>
  <c r="K734" i="3"/>
  <c r="I734" i="3"/>
  <c r="E734" i="3"/>
  <c r="B734" i="3"/>
  <c r="C734" i="3" s="1"/>
  <c r="U733" i="3"/>
  <c r="S733" i="3"/>
  <c r="Q733" i="3"/>
  <c r="O733" i="3"/>
  <c r="M733" i="3"/>
  <c r="K733" i="3"/>
  <c r="I733" i="3"/>
  <c r="E733" i="3"/>
  <c r="B733" i="3"/>
  <c r="C733" i="3" s="1"/>
  <c r="U732" i="3"/>
  <c r="S732" i="3"/>
  <c r="Q732" i="3"/>
  <c r="O732" i="3"/>
  <c r="M732" i="3"/>
  <c r="K732" i="3"/>
  <c r="I732" i="3"/>
  <c r="E732" i="3"/>
  <c r="B732" i="3"/>
  <c r="C732" i="3" s="1"/>
  <c r="U731" i="3"/>
  <c r="S731" i="3"/>
  <c r="Q731" i="3"/>
  <c r="O731" i="3"/>
  <c r="M731" i="3"/>
  <c r="K731" i="3"/>
  <c r="I731" i="3"/>
  <c r="E731" i="3"/>
  <c r="B731" i="3"/>
  <c r="C731" i="3" s="1"/>
  <c r="U730" i="3"/>
  <c r="S730" i="3"/>
  <c r="Q730" i="3"/>
  <c r="O730" i="3"/>
  <c r="M730" i="3"/>
  <c r="K730" i="3"/>
  <c r="I730" i="3"/>
  <c r="E730" i="3"/>
  <c r="B730" i="3"/>
  <c r="C730" i="3" s="1"/>
  <c r="U729" i="3"/>
  <c r="S729" i="3"/>
  <c r="Q729" i="3"/>
  <c r="O729" i="3"/>
  <c r="M729" i="3"/>
  <c r="K729" i="3"/>
  <c r="I729" i="3"/>
  <c r="E729" i="3"/>
  <c r="B729" i="3"/>
  <c r="C729" i="3" s="1"/>
  <c r="U728" i="3"/>
  <c r="S728" i="3"/>
  <c r="Q728" i="3"/>
  <c r="O728" i="3"/>
  <c r="M728" i="3"/>
  <c r="K728" i="3"/>
  <c r="I728" i="3"/>
  <c r="E728" i="3"/>
  <c r="B728" i="3"/>
  <c r="C728" i="3" s="1"/>
  <c r="U727" i="3"/>
  <c r="S727" i="3"/>
  <c r="Q727" i="3"/>
  <c r="O727" i="3"/>
  <c r="M727" i="3"/>
  <c r="K727" i="3"/>
  <c r="I727" i="3"/>
  <c r="E727" i="3"/>
  <c r="B727" i="3"/>
  <c r="C727" i="3" s="1"/>
  <c r="U726" i="3"/>
  <c r="S726" i="3"/>
  <c r="Q726" i="3"/>
  <c r="O726" i="3"/>
  <c r="M726" i="3"/>
  <c r="K726" i="3"/>
  <c r="I726" i="3"/>
  <c r="E726" i="3"/>
  <c r="B726" i="3"/>
  <c r="C726" i="3" s="1"/>
  <c r="U725" i="3"/>
  <c r="S725" i="3"/>
  <c r="Q725" i="3"/>
  <c r="O725" i="3"/>
  <c r="M725" i="3"/>
  <c r="K725" i="3"/>
  <c r="I725" i="3"/>
  <c r="E725" i="3"/>
  <c r="B725" i="3"/>
  <c r="C725" i="3" s="1"/>
  <c r="U724" i="3"/>
  <c r="S724" i="3"/>
  <c r="Q724" i="3"/>
  <c r="O724" i="3"/>
  <c r="M724" i="3"/>
  <c r="K724" i="3"/>
  <c r="I724" i="3"/>
  <c r="E724" i="3"/>
  <c r="B724" i="3"/>
  <c r="C724" i="3" s="1"/>
  <c r="U723" i="3"/>
  <c r="S723" i="3"/>
  <c r="Q723" i="3"/>
  <c r="O723" i="3"/>
  <c r="M723" i="3"/>
  <c r="K723" i="3"/>
  <c r="I723" i="3"/>
  <c r="E723" i="3"/>
  <c r="C723" i="3"/>
  <c r="B723" i="3"/>
  <c r="U722" i="3"/>
  <c r="S722" i="3"/>
  <c r="Q722" i="3"/>
  <c r="O722" i="3"/>
  <c r="M722" i="3"/>
  <c r="K722" i="3"/>
  <c r="I722" i="3"/>
  <c r="E722" i="3"/>
  <c r="B722" i="3"/>
  <c r="C722" i="3" s="1"/>
  <c r="U721" i="3"/>
  <c r="S721" i="3"/>
  <c r="Q721" i="3"/>
  <c r="O721" i="3"/>
  <c r="M721" i="3"/>
  <c r="K721" i="3"/>
  <c r="I721" i="3"/>
  <c r="E721" i="3"/>
  <c r="C721" i="3"/>
  <c r="B721" i="3"/>
  <c r="U720" i="3"/>
  <c r="S720" i="3"/>
  <c r="Q720" i="3"/>
  <c r="O720" i="3"/>
  <c r="M720" i="3"/>
  <c r="K720" i="3"/>
  <c r="I720" i="3"/>
  <c r="E720" i="3"/>
  <c r="B720" i="3"/>
  <c r="C720" i="3" s="1"/>
  <c r="U719" i="3"/>
  <c r="S719" i="3"/>
  <c r="Q719" i="3"/>
  <c r="O719" i="3"/>
  <c r="M719" i="3"/>
  <c r="K719" i="3"/>
  <c r="I719" i="3"/>
  <c r="E719" i="3"/>
  <c r="B719" i="3"/>
  <c r="C719" i="3" s="1"/>
  <c r="U718" i="3"/>
  <c r="S718" i="3"/>
  <c r="Q718" i="3"/>
  <c r="O718" i="3"/>
  <c r="M718" i="3"/>
  <c r="K718" i="3"/>
  <c r="I718" i="3"/>
  <c r="E718" i="3"/>
  <c r="C718" i="3"/>
  <c r="B718" i="3"/>
  <c r="U717" i="3"/>
  <c r="S717" i="3"/>
  <c r="Q717" i="3"/>
  <c r="O717" i="3"/>
  <c r="M717" i="3"/>
  <c r="K717" i="3"/>
  <c r="I717" i="3"/>
  <c r="E717" i="3"/>
  <c r="B717" i="3"/>
  <c r="C717" i="3" s="1"/>
  <c r="U716" i="3"/>
  <c r="S716" i="3"/>
  <c r="Q716" i="3"/>
  <c r="O716" i="3"/>
  <c r="M716" i="3"/>
  <c r="K716" i="3"/>
  <c r="I716" i="3"/>
  <c r="E716" i="3"/>
  <c r="C716" i="3"/>
  <c r="B716" i="3"/>
  <c r="U715" i="3"/>
  <c r="S715" i="3"/>
  <c r="Q715" i="3"/>
  <c r="O715" i="3"/>
  <c r="M715" i="3"/>
  <c r="K715" i="3"/>
  <c r="I715" i="3"/>
  <c r="E715" i="3"/>
  <c r="B715" i="3"/>
  <c r="C715" i="3" s="1"/>
  <c r="U714" i="3"/>
  <c r="S714" i="3"/>
  <c r="Q714" i="3"/>
  <c r="O714" i="3"/>
  <c r="M714" i="3"/>
  <c r="K714" i="3"/>
  <c r="I714" i="3"/>
  <c r="E714" i="3"/>
  <c r="B714" i="3"/>
  <c r="C714" i="3" s="1"/>
  <c r="U713" i="3"/>
  <c r="S713" i="3"/>
  <c r="Q713" i="3"/>
  <c r="O713" i="3"/>
  <c r="M713" i="3"/>
  <c r="K713" i="3"/>
  <c r="I713" i="3"/>
  <c r="E713" i="3"/>
  <c r="B713" i="3"/>
  <c r="C713" i="3" s="1"/>
  <c r="U712" i="3"/>
  <c r="S712" i="3"/>
  <c r="Q712" i="3"/>
  <c r="O712" i="3"/>
  <c r="M712" i="3"/>
  <c r="K712" i="3"/>
  <c r="I712" i="3"/>
  <c r="E712" i="3"/>
  <c r="B712" i="3"/>
  <c r="C712" i="3" s="1"/>
  <c r="U711" i="3"/>
  <c r="S711" i="3"/>
  <c r="Q711" i="3"/>
  <c r="O711" i="3"/>
  <c r="M711" i="3"/>
  <c r="K711" i="3"/>
  <c r="I711" i="3"/>
  <c r="E711" i="3"/>
  <c r="C711" i="3"/>
  <c r="B711" i="3"/>
  <c r="U710" i="3"/>
  <c r="S710" i="3"/>
  <c r="Q710" i="3"/>
  <c r="O710" i="3"/>
  <c r="M710" i="3"/>
  <c r="K710" i="3"/>
  <c r="I710" i="3"/>
  <c r="E710" i="3"/>
  <c r="B710" i="3"/>
  <c r="C710" i="3" s="1"/>
  <c r="U709" i="3"/>
  <c r="S709" i="3"/>
  <c r="Q709" i="3"/>
  <c r="O709" i="3"/>
  <c r="M709" i="3"/>
  <c r="K709" i="3"/>
  <c r="I709" i="3"/>
  <c r="E709" i="3"/>
  <c r="B709" i="3"/>
  <c r="C709" i="3" s="1"/>
  <c r="U708" i="3"/>
  <c r="S708" i="3"/>
  <c r="Q708" i="3"/>
  <c r="O708" i="3"/>
  <c r="M708" i="3"/>
  <c r="K708" i="3"/>
  <c r="I708" i="3"/>
  <c r="E708" i="3"/>
  <c r="B708" i="3"/>
  <c r="C708" i="3" s="1"/>
  <c r="U707" i="3"/>
  <c r="S707" i="3"/>
  <c r="Q707" i="3"/>
  <c r="O707" i="3"/>
  <c r="M707" i="3"/>
  <c r="K707" i="3"/>
  <c r="I707" i="3"/>
  <c r="E707" i="3"/>
  <c r="B707" i="3"/>
  <c r="C707" i="3" s="1"/>
  <c r="U706" i="3"/>
  <c r="S706" i="3"/>
  <c r="Q706" i="3"/>
  <c r="O706" i="3"/>
  <c r="M706" i="3"/>
  <c r="K706" i="3"/>
  <c r="I706" i="3"/>
  <c r="E706" i="3"/>
  <c r="B706" i="3"/>
  <c r="C706" i="3" s="1"/>
  <c r="U705" i="3"/>
  <c r="S705" i="3"/>
  <c r="Q705" i="3"/>
  <c r="O705" i="3"/>
  <c r="M705" i="3"/>
  <c r="K705" i="3"/>
  <c r="I705" i="3"/>
  <c r="E705" i="3"/>
  <c r="B705" i="3"/>
  <c r="C705" i="3" s="1"/>
  <c r="U704" i="3"/>
  <c r="S704" i="3"/>
  <c r="Q704" i="3"/>
  <c r="O704" i="3"/>
  <c r="M704" i="3"/>
  <c r="K704" i="3"/>
  <c r="I704" i="3"/>
  <c r="E704" i="3"/>
  <c r="B704" i="3"/>
  <c r="C704" i="3" s="1"/>
  <c r="U703" i="3"/>
  <c r="S703" i="3"/>
  <c r="Q703" i="3"/>
  <c r="O703" i="3"/>
  <c r="M703" i="3"/>
  <c r="K703" i="3"/>
  <c r="I703" i="3"/>
  <c r="E703" i="3"/>
  <c r="B703" i="3"/>
  <c r="C703" i="3" s="1"/>
  <c r="U702" i="3"/>
  <c r="S702" i="3"/>
  <c r="Q702" i="3"/>
  <c r="O702" i="3"/>
  <c r="M702" i="3"/>
  <c r="K702" i="3"/>
  <c r="I702" i="3"/>
  <c r="E702" i="3"/>
  <c r="B702" i="3"/>
  <c r="C702" i="3" s="1"/>
  <c r="U701" i="3"/>
  <c r="S701" i="3"/>
  <c r="Q701" i="3"/>
  <c r="O701" i="3"/>
  <c r="M701" i="3"/>
  <c r="K701" i="3"/>
  <c r="I701" i="3"/>
  <c r="E701" i="3"/>
  <c r="B701" i="3"/>
  <c r="C701" i="3" s="1"/>
  <c r="U700" i="3"/>
  <c r="S700" i="3"/>
  <c r="Q700" i="3"/>
  <c r="O700" i="3"/>
  <c r="M700" i="3"/>
  <c r="K700" i="3"/>
  <c r="I700" i="3"/>
  <c r="E700" i="3"/>
  <c r="B700" i="3"/>
  <c r="C700" i="3" s="1"/>
  <c r="U699" i="3"/>
  <c r="S699" i="3"/>
  <c r="Q699" i="3"/>
  <c r="O699" i="3"/>
  <c r="M699" i="3"/>
  <c r="K699" i="3"/>
  <c r="I699" i="3"/>
  <c r="E699" i="3"/>
  <c r="B699" i="3"/>
  <c r="C699" i="3" s="1"/>
  <c r="U698" i="3"/>
  <c r="S698" i="3"/>
  <c r="Q698" i="3"/>
  <c r="O698" i="3"/>
  <c r="M698" i="3"/>
  <c r="K698" i="3"/>
  <c r="I698" i="3"/>
  <c r="E698" i="3"/>
  <c r="B698" i="3"/>
  <c r="C698" i="3" s="1"/>
  <c r="U697" i="3"/>
  <c r="S697" i="3"/>
  <c r="Q697" i="3"/>
  <c r="O697" i="3"/>
  <c r="M697" i="3"/>
  <c r="K697" i="3"/>
  <c r="I697" i="3"/>
  <c r="E697" i="3"/>
  <c r="B697" i="3"/>
  <c r="C697" i="3" s="1"/>
  <c r="U696" i="3"/>
  <c r="S696" i="3"/>
  <c r="Q696" i="3"/>
  <c r="O696" i="3"/>
  <c r="M696" i="3"/>
  <c r="K696" i="3"/>
  <c r="I696" i="3"/>
  <c r="E696" i="3"/>
  <c r="B696" i="3"/>
  <c r="C696" i="3" s="1"/>
  <c r="U695" i="3"/>
  <c r="S695" i="3"/>
  <c r="Q695" i="3"/>
  <c r="O695" i="3"/>
  <c r="M695" i="3"/>
  <c r="K695" i="3"/>
  <c r="I695" i="3"/>
  <c r="E695" i="3"/>
  <c r="B695" i="3"/>
  <c r="C695" i="3" s="1"/>
  <c r="U694" i="3"/>
  <c r="S694" i="3"/>
  <c r="Q694" i="3"/>
  <c r="O694" i="3"/>
  <c r="M694" i="3"/>
  <c r="K694" i="3"/>
  <c r="I694" i="3"/>
  <c r="E694" i="3"/>
  <c r="B694" i="3"/>
  <c r="C694" i="3" s="1"/>
  <c r="U693" i="3"/>
  <c r="S693" i="3"/>
  <c r="Q693" i="3"/>
  <c r="O693" i="3"/>
  <c r="M693" i="3"/>
  <c r="K693" i="3"/>
  <c r="I693" i="3"/>
  <c r="E693" i="3"/>
  <c r="B693" i="3"/>
  <c r="C693" i="3" s="1"/>
  <c r="U692" i="3"/>
  <c r="S692" i="3"/>
  <c r="Q692" i="3"/>
  <c r="O692" i="3"/>
  <c r="M692" i="3"/>
  <c r="K692" i="3"/>
  <c r="I692" i="3"/>
  <c r="E692" i="3"/>
  <c r="C692" i="3"/>
  <c r="B692" i="3"/>
  <c r="U691" i="3"/>
  <c r="S691" i="3"/>
  <c r="Q691" i="3"/>
  <c r="O691" i="3"/>
  <c r="M691" i="3"/>
  <c r="K691" i="3"/>
  <c r="I691" i="3"/>
  <c r="E691" i="3"/>
  <c r="B691" i="3"/>
  <c r="C691" i="3" s="1"/>
  <c r="U690" i="3"/>
  <c r="S690" i="3"/>
  <c r="Q690" i="3"/>
  <c r="O690" i="3"/>
  <c r="M690" i="3"/>
  <c r="K690" i="3"/>
  <c r="I690" i="3"/>
  <c r="E690" i="3"/>
  <c r="B690" i="3"/>
  <c r="C690" i="3" s="1"/>
  <c r="U689" i="3"/>
  <c r="S689" i="3"/>
  <c r="Q689" i="3"/>
  <c r="O689" i="3"/>
  <c r="M689" i="3"/>
  <c r="K689" i="3"/>
  <c r="I689" i="3"/>
  <c r="E689" i="3"/>
  <c r="B689" i="3"/>
  <c r="C689" i="3" s="1"/>
  <c r="U688" i="3"/>
  <c r="S688" i="3"/>
  <c r="Q688" i="3"/>
  <c r="O688" i="3"/>
  <c r="M688" i="3"/>
  <c r="K688" i="3"/>
  <c r="I688" i="3"/>
  <c r="E688" i="3"/>
  <c r="B688" i="3"/>
  <c r="C688" i="3" s="1"/>
  <c r="U687" i="3"/>
  <c r="S687" i="3"/>
  <c r="Q687" i="3"/>
  <c r="O687" i="3"/>
  <c r="M687" i="3"/>
  <c r="K687" i="3"/>
  <c r="I687" i="3"/>
  <c r="E687" i="3"/>
  <c r="B687" i="3"/>
  <c r="C687" i="3" s="1"/>
  <c r="U686" i="3"/>
  <c r="S686" i="3"/>
  <c r="Q686" i="3"/>
  <c r="O686" i="3"/>
  <c r="M686" i="3"/>
  <c r="K686" i="3"/>
  <c r="I686" i="3"/>
  <c r="E686" i="3"/>
  <c r="B686" i="3"/>
  <c r="C686" i="3" s="1"/>
  <c r="U685" i="3"/>
  <c r="S685" i="3"/>
  <c r="Q685" i="3"/>
  <c r="O685" i="3"/>
  <c r="M685" i="3"/>
  <c r="K685" i="3"/>
  <c r="I685" i="3"/>
  <c r="E685" i="3"/>
  <c r="C685" i="3"/>
  <c r="B685" i="3"/>
  <c r="U684" i="3"/>
  <c r="S684" i="3"/>
  <c r="Q684" i="3"/>
  <c r="O684" i="3"/>
  <c r="M684" i="3"/>
  <c r="K684" i="3"/>
  <c r="I684" i="3"/>
  <c r="E684" i="3"/>
  <c r="B684" i="3"/>
  <c r="C684" i="3" s="1"/>
  <c r="U683" i="3"/>
  <c r="S683" i="3"/>
  <c r="Q683" i="3"/>
  <c r="O683" i="3"/>
  <c r="M683" i="3"/>
  <c r="K683" i="3"/>
  <c r="I683" i="3"/>
  <c r="E683" i="3"/>
  <c r="B683" i="3"/>
  <c r="C683" i="3" s="1"/>
  <c r="U682" i="3"/>
  <c r="S682" i="3"/>
  <c r="Q682" i="3"/>
  <c r="O682" i="3"/>
  <c r="M682" i="3"/>
  <c r="K682" i="3"/>
  <c r="I682" i="3"/>
  <c r="E682" i="3"/>
  <c r="B682" i="3"/>
  <c r="C682" i="3" s="1"/>
  <c r="U681" i="3"/>
  <c r="S681" i="3"/>
  <c r="Q681" i="3"/>
  <c r="O681" i="3"/>
  <c r="M681" i="3"/>
  <c r="K681" i="3"/>
  <c r="I681" i="3"/>
  <c r="E681" i="3"/>
  <c r="B681" i="3"/>
  <c r="C681" i="3" s="1"/>
  <c r="U680" i="3"/>
  <c r="S680" i="3"/>
  <c r="Q680" i="3"/>
  <c r="O680" i="3"/>
  <c r="M680" i="3"/>
  <c r="K680" i="3"/>
  <c r="I680" i="3"/>
  <c r="E680" i="3"/>
  <c r="C680" i="3"/>
  <c r="B680" i="3"/>
  <c r="U679" i="3"/>
  <c r="S679" i="3"/>
  <c r="Q679" i="3"/>
  <c r="O679" i="3"/>
  <c r="M679" i="3"/>
  <c r="K679" i="3"/>
  <c r="I679" i="3"/>
  <c r="E679" i="3"/>
  <c r="B679" i="3"/>
  <c r="C679" i="3" s="1"/>
  <c r="U678" i="3"/>
  <c r="S678" i="3"/>
  <c r="Q678" i="3"/>
  <c r="O678" i="3"/>
  <c r="M678" i="3"/>
  <c r="K678" i="3"/>
  <c r="I678" i="3"/>
  <c r="E678" i="3"/>
  <c r="B678" i="3"/>
  <c r="C678" i="3" s="1"/>
  <c r="U677" i="3"/>
  <c r="S677" i="3"/>
  <c r="Q677" i="3"/>
  <c r="O677" i="3"/>
  <c r="M677" i="3"/>
  <c r="K677" i="3"/>
  <c r="I677" i="3"/>
  <c r="E677" i="3"/>
  <c r="B677" i="3"/>
  <c r="C677" i="3" s="1"/>
  <c r="U676" i="3"/>
  <c r="S676" i="3"/>
  <c r="Q676" i="3"/>
  <c r="O676" i="3"/>
  <c r="M676" i="3"/>
  <c r="K676" i="3"/>
  <c r="I676" i="3"/>
  <c r="E676" i="3"/>
  <c r="B676" i="3"/>
  <c r="C676" i="3" s="1"/>
  <c r="U675" i="3"/>
  <c r="S675" i="3"/>
  <c r="Q675" i="3"/>
  <c r="O675" i="3"/>
  <c r="M675" i="3"/>
  <c r="K675" i="3"/>
  <c r="I675" i="3"/>
  <c r="E675" i="3"/>
  <c r="C675" i="3"/>
  <c r="B675" i="3"/>
  <c r="U674" i="3"/>
  <c r="S674" i="3"/>
  <c r="Q674" i="3"/>
  <c r="O674" i="3"/>
  <c r="M674" i="3"/>
  <c r="K674" i="3"/>
  <c r="I674" i="3"/>
  <c r="E674" i="3"/>
  <c r="B674" i="3"/>
  <c r="C674" i="3" s="1"/>
  <c r="U673" i="3"/>
  <c r="S673" i="3"/>
  <c r="Q673" i="3"/>
  <c r="O673" i="3"/>
  <c r="M673" i="3"/>
  <c r="K673" i="3"/>
  <c r="I673" i="3"/>
  <c r="E673" i="3"/>
  <c r="B673" i="3"/>
  <c r="C673" i="3" s="1"/>
  <c r="U672" i="3"/>
  <c r="S672" i="3"/>
  <c r="Q672" i="3"/>
  <c r="O672" i="3"/>
  <c r="M672" i="3"/>
  <c r="K672" i="3"/>
  <c r="I672" i="3"/>
  <c r="E672" i="3"/>
  <c r="B672" i="3"/>
  <c r="C672" i="3" s="1"/>
  <c r="U671" i="3"/>
  <c r="S671" i="3"/>
  <c r="Q671" i="3"/>
  <c r="O671" i="3"/>
  <c r="M671" i="3"/>
  <c r="K671" i="3"/>
  <c r="I671" i="3"/>
  <c r="E671" i="3"/>
  <c r="B671" i="3"/>
  <c r="C671" i="3" s="1"/>
  <c r="U670" i="3"/>
  <c r="S670" i="3"/>
  <c r="Q670" i="3"/>
  <c r="O670" i="3"/>
  <c r="M670" i="3"/>
  <c r="K670" i="3"/>
  <c r="I670" i="3"/>
  <c r="E670" i="3"/>
  <c r="B670" i="3"/>
  <c r="C670" i="3" s="1"/>
  <c r="U669" i="3"/>
  <c r="S669" i="3"/>
  <c r="Q669" i="3"/>
  <c r="O669" i="3"/>
  <c r="M669" i="3"/>
  <c r="K669" i="3"/>
  <c r="I669" i="3"/>
  <c r="E669" i="3"/>
  <c r="B669" i="3"/>
  <c r="C669" i="3" s="1"/>
  <c r="U668" i="3"/>
  <c r="S668" i="3"/>
  <c r="Q668" i="3"/>
  <c r="O668" i="3"/>
  <c r="M668" i="3"/>
  <c r="K668" i="3"/>
  <c r="I668" i="3"/>
  <c r="E668" i="3"/>
  <c r="B668" i="3"/>
  <c r="C668" i="3" s="1"/>
  <c r="U667" i="3"/>
  <c r="S667" i="3"/>
  <c r="Q667" i="3"/>
  <c r="O667" i="3"/>
  <c r="M667" i="3"/>
  <c r="K667" i="3"/>
  <c r="I667" i="3"/>
  <c r="E667" i="3"/>
  <c r="B667" i="3"/>
  <c r="C667" i="3" s="1"/>
  <c r="U666" i="3"/>
  <c r="S666" i="3"/>
  <c r="Q666" i="3"/>
  <c r="O666" i="3"/>
  <c r="M666" i="3"/>
  <c r="K666" i="3"/>
  <c r="I666" i="3"/>
  <c r="E666" i="3"/>
  <c r="B666" i="3"/>
  <c r="C666" i="3" s="1"/>
  <c r="U665" i="3"/>
  <c r="S665" i="3"/>
  <c r="Q665" i="3"/>
  <c r="O665" i="3"/>
  <c r="M665" i="3"/>
  <c r="K665" i="3"/>
  <c r="I665" i="3"/>
  <c r="E665" i="3"/>
  <c r="B665" i="3"/>
  <c r="C665" i="3" s="1"/>
  <c r="U664" i="3"/>
  <c r="S664" i="3"/>
  <c r="Q664" i="3"/>
  <c r="O664" i="3"/>
  <c r="M664" i="3"/>
  <c r="K664" i="3"/>
  <c r="I664" i="3"/>
  <c r="E664" i="3"/>
  <c r="C664" i="3"/>
  <c r="B664" i="3"/>
  <c r="U663" i="3"/>
  <c r="S663" i="3"/>
  <c r="Q663" i="3"/>
  <c r="O663" i="3"/>
  <c r="M663" i="3"/>
  <c r="K663" i="3"/>
  <c r="I663" i="3"/>
  <c r="E663" i="3"/>
  <c r="B663" i="3"/>
  <c r="C663" i="3" s="1"/>
  <c r="U662" i="3"/>
  <c r="S662" i="3"/>
  <c r="Q662" i="3"/>
  <c r="O662" i="3"/>
  <c r="M662" i="3"/>
  <c r="K662" i="3"/>
  <c r="I662" i="3"/>
  <c r="E662" i="3"/>
  <c r="B662" i="3"/>
  <c r="C662" i="3" s="1"/>
  <c r="U661" i="3"/>
  <c r="S661" i="3"/>
  <c r="Q661" i="3"/>
  <c r="O661" i="3"/>
  <c r="M661" i="3"/>
  <c r="K661" i="3"/>
  <c r="I661" i="3"/>
  <c r="E661" i="3"/>
  <c r="B661" i="3"/>
  <c r="C661" i="3" s="1"/>
  <c r="U660" i="3"/>
  <c r="S660" i="3"/>
  <c r="Q660" i="3"/>
  <c r="O660" i="3"/>
  <c r="M660" i="3"/>
  <c r="K660" i="3"/>
  <c r="I660" i="3"/>
  <c r="E660" i="3"/>
  <c r="B660" i="3"/>
  <c r="C660" i="3" s="1"/>
  <c r="U659" i="3"/>
  <c r="S659" i="3"/>
  <c r="Q659" i="3"/>
  <c r="O659" i="3"/>
  <c r="M659" i="3"/>
  <c r="K659" i="3"/>
  <c r="I659" i="3"/>
  <c r="E659" i="3"/>
  <c r="B659" i="3"/>
  <c r="C659" i="3" s="1"/>
  <c r="U658" i="3"/>
  <c r="S658" i="3"/>
  <c r="Q658" i="3"/>
  <c r="O658" i="3"/>
  <c r="M658" i="3"/>
  <c r="K658" i="3"/>
  <c r="I658" i="3"/>
  <c r="E658" i="3"/>
  <c r="B658" i="3"/>
  <c r="C658" i="3" s="1"/>
  <c r="U657" i="3"/>
  <c r="S657" i="3"/>
  <c r="Q657" i="3"/>
  <c r="O657" i="3"/>
  <c r="M657" i="3"/>
  <c r="K657" i="3"/>
  <c r="I657" i="3"/>
  <c r="E657" i="3"/>
  <c r="B657" i="3"/>
  <c r="C657" i="3" s="1"/>
  <c r="U656" i="3"/>
  <c r="S656" i="3"/>
  <c r="Q656" i="3"/>
  <c r="O656" i="3"/>
  <c r="M656" i="3"/>
  <c r="K656" i="3"/>
  <c r="I656" i="3"/>
  <c r="E656" i="3"/>
  <c r="B656" i="3"/>
  <c r="C656" i="3" s="1"/>
  <c r="U655" i="3"/>
  <c r="S655" i="3"/>
  <c r="Q655" i="3"/>
  <c r="O655" i="3"/>
  <c r="M655" i="3"/>
  <c r="K655" i="3"/>
  <c r="I655" i="3"/>
  <c r="E655" i="3"/>
  <c r="B655" i="3"/>
  <c r="C655" i="3" s="1"/>
  <c r="U654" i="3"/>
  <c r="S654" i="3"/>
  <c r="Q654" i="3"/>
  <c r="O654" i="3"/>
  <c r="M654" i="3"/>
  <c r="K654" i="3"/>
  <c r="I654" i="3"/>
  <c r="E654" i="3"/>
  <c r="B654" i="3"/>
  <c r="C654" i="3" s="1"/>
  <c r="U653" i="3"/>
  <c r="S653" i="3"/>
  <c r="Q653" i="3"/>
  <c r="O653" i="3"/>
  <c r="M653" i="3"/>
  <c r="K653" i="3"/>
  <c r="I653" i="3"/>
  <c r="E653" i="3"/>
  <c r="B653" i="3"/>
  <c r="C653" i="3" s="1"/>
  <c r="U652" i="3"/>
  <c r="S652" i="3"/>
  <c r="Q652" i="3"/>
  <c r="O652" i="3"/>
  <c r="M652" i="3"/>
  <c r="K652" i="3"/>
  <c r="I652" i="3"/>
  <c r="E652" i="3"/>
  <c r="B652" i="3"/>
  <c r="C652" i="3" s="1"/>
  <c r="U651" i="3"/>
  <c r="S651" i="3"/>
  <c r="Q651" i="3"/>
  <c r="O651" i="3"/>
  <c r="M651" i="3"/>
  <c r="K651" i="3"/>
  <c r="I651" i="3"/>
  <c r="E651" i="3"/>
  <c r="C651" i="3"/>
  <c r="B651" i="3"/>
  <c r="U650" i="3"/>
  <c r="S650" i="3"/>
  <c r="Q650" i="3"/>
  <c r="O650" i="3"/>
  <c r="M650" i="3"/>
  <c r="K650" i="3"/>
  <c r="I650" i="3"/>
  <c r="E650" i="3"/>
  <c r="B650" i="3"/>
  <c r="C650" i="3" s="1"/>
  <c r="U649" i="3"/>
  <c r="S649" i="3"/>
  <c r="Q649" i="3"/>
  <c r="O649" i="3"/>
  <c r="M649" i="3"/>
  <c r="K649" i="3"/>
  <c r="I649" i="3"/>
  <c r="E649" i="3"/>
  <c r="B649" i="3"/>
  <c r="C649" i="3" s="1"/>
  <c r="U648" i="3"/>
  <c r="S648" i="3"/>
  <c r="Q648" i="3"/>
  <c r="O648" i="3"/>
  <c r="M648" i="3"/>
  <c r="K648" i="3"/>
  <c r="I648" i="3"/>
  <c r="E648" i="3"/>
  <c r="B648" i="3"/>
  <c r="C648" i="3" s="1"/>
  <c r="U647" i="3"/>
  <c r="S647" i="3"/>
  <c r="Q647" i="3"/>
  <c r="O647" i="3"/>
  <c r="M647" i="3"/>
  <c r="K647" i="3"/>
  <c r="I647" i="3"/>
  <c r="E647" i="3"/>
  <c r="B647" i="3"/>
  <c r="C647" i="3" s="1"/>
  <c r="U646" i="3"/>
  <c r="S646" i="3"/>
  <c r="Q646" i="3"/>
  <c r="O646" i="3"/>
  <c r="M646" i="3"/>
  <c r="K646" i="3"/>
  <c r="I646" i="3"/>
  <c r="E646" i="3"/>
  <c r="C646" i="3"/>
  <c r="B646" i="3"/>
  <c r="U645" i="3"/>
  <c r="S645" i="3"/>
  <c r="Q645" i="3"/>
  <c r="O645" i="3"/>
  <c r="M645" i="3"/>
  <c r="K645" i="3"/>
  <c r="I645" i="3"/>
  <c r="E645" i="3"/>
  <c r="C645" i="3"/>
  <c r="B645" i="3"/>
  <c r="U644" i="3"/>
  <c r="S644" i="3"/>
  <c r="Q644" i="3"/>
  <c r="O644" i="3"/>
  <c r="M644" i="3"/>
  <c r="K644" i="3"/>
  <c r="I644" i="3"/>
  <c r="E644" i="3"/>
  <c r="B644" i="3"/>
  <c r="C644" i="3" s="1"/>
  <c r="U643" i="3"/>
  <c r="S643" i="3"/>
  <c r="Q643" i="3"/>
  <c r="O643" i="3"/>
  <c r="M643" i="3"/>
  <c r="K643" i="3"/>
  <c r="I643" i="3"/>
  <c r="E643" i="3"/>
  <c r="B643" i="3"/>
  <c r="C643" i="3" s="1"/>
  <c r="U642" i="3"/>
  <c r="S642" i="3"/>
  <c r="Q642" i="3"/>
  <c r="O642" i="3"/>
  <c r="M642" i="3"/>
  <c r="K642" i="3"/>
  <c r="I642" i="3"/>
  <c r="E642" i="3"/>
  <c r="B642" i="3"/>
  <c r="C642" i="3" s="1"/>
  <c r="U641" i="3"/>
  <c r="S641" i="3"/>
  <c r="Q641" i="3"/>
  <c r="O641" i="3"/>
  <c r="M641" i="3"/>
  <c r="K641" i="3"/>
  <c r="I641" i="3"/>
  <c r="E641" i="3"/>
  <c r="B641" i="3"/>
  <c r="C641" i="3" s="1"/>
  <c r="U640" i="3"/>
  <c r="S640" i="3"/>
  <c r="Q640" i="3"/>
  <c r="O640" i="3"/>
  <c r="M640" i="3"/>
  <c r="K640" i="3"/>
  <c r="I640" i="3"/>
  <c r="E640" i="3"/>
  <c r="B640" i="3"/>
  <c r="C640" i="3" s="1"/>
  <c r="U639" i="3"/>
  <c r="S639" i="3"/>
  <c r="Q639" i="3"/>
  <c r="O639" i="3"/>
  <c r="M639" i="3"/>
  <c r="K639" i="3"/>
  <c r="I639" i="3"/>
  <c r="E639" i="3"/>
  <c r="B639" i="3"/>
  <c r="C639" i="3" s="1"/>
  <c r="U638" i="3"/>
  <c r="S638" i="3"/>
  <c r="Q638" i="3"/>
  <c r="O638" i="3"/>
  <c r="M638" i="3"/>
  <c r="K638" i="3"/>
  <c r="I638" i="3"/>
  <c r="E638" i="3"/>
  <c r="B638" i="3"/>
  <c r="C638" i="3" s="1"/>
  <c r="U637" i="3"/>
  <c r="S637" i="3"/>
  <c r="Q637" i="3"/>
  <c r="O637" i="3"/>
  <c r="M637" i="3"/>
  <c r="K637" i="3"/>
  <c r="I637" i="3"/>
  <c r="E637" i="3"/>
  <c r="B637" i="3"/>
  <c r="C637" i="3" s="1"/>
  <c r="U636" i="3"/>
  <c r="S636" i="3"/>
  <c r="Q636" i="3"/>
  <c r="O636" i="3"/>
  <c r="M636" i="3"/>
  <c r="K636" i="3"/>
  <c r="I636" i="3"/>
  <c r="E636" i="3"/>
  <c r="B636" i="3"/>
  <c r="C636" i="3" s="1"/>
  <c r="U635" i="3"/>
  <c r="S635" i="3"/>
  <c r="Q635" i="3"/>
  <c r="O635" i="3"/>
  <c r="M635" i="3"/>
  <c r="K635" i="3"/>
  <c r="I635" i="3"/>
  <c r="E635" i="3"/>
  <c r="B635" i="3"/>
  <c r="C635" i="3" s="1"/>
  <c r="U634" i="3"/>
  <c r="S634" i="3"/>
  <c r="Q634" i="3"/>
  <c r="O634" i="3"/>
  <c r="M634" i="3"/>
  <c r="K634" i="3"/>
  <c r="I634" i="3"/>
  <c r="E634" i="3"/>
  <c r="B634" i="3"/>
  <c r="C634" i="3" s="1"/>
  <c r="U633" i="3"/>
  <c r="S633" i="3"/>
  <c r="Q633" i="3"/>
  <c r="O633" i="3"/>
  <c r="M633" i="3"/>
  <c r="K633" i="3"/>
  <c r="I633" i="3"/>
  <c r="E633" i="3"/>
  <c r="B633" i="3"/>
  <c r="C633" i="3" s="1"/>
  <c r="U632" i="3"/>
  <c r="S632" i="3"/>
  <c r="Q632" i="3"/>
  <c r="O632" i="3"/>
  <c r="M632" i="3"/>
  <c r="K632" i="3"/>
  <c r="I632" i="3"/>
  <c r="E632" i="3"/>
  <c r="B632" i="3"/>
  <c r="C632" i="3" s="1"/>
  <c r="U631" i="3"/>
  <c r="S631" i="3"/>
  <c r="Q631" i="3"/>
  <c r="O631" i="3"/>
  <c r="M631" i="3"/>
  <c r="K631" i="3"/>
  <c r="I631" i="3"/>
  <c r="E631" i="3"/>
  <c r="B631" i="3"/>
  <c r="C631" i="3" s="1"/>
  <c r="U630" i="3"/>
  <c r="S630" i="3"/>
  <c r="Q630" i="3"/>
  <c r="O630" i="3"/>
  <c r="M630" i="3"/>
  <c r="K630" i="3"/>
  <c r="I630" i="3"/>
  <c r="E630" i="3"/>
  <c r="B630" i="3"/>
  <c r="C630" i="3" s="1"/>
  <c r="U629" i="3"/>
  <c r="S629" i="3"/>
  <c r="Q629" i="3"/>
  <c r="O629" i="3"/>
  <c r="M629" i="3"/>
  <c r="K629" i="3"/>
  <c r="I629" i="3"/>
  <c r="E629" i="3"/>
  <c r="B629" i="3"/>
  <c r="C629" i="3" s="1"/>
  <c r="U628" i="3"/>
  <c r="S628" i="3"/>
  <c r="Q628" i="3"/>
  <c r="O628" i="3"/>
  <c r="M628" i="3"/>
  <c r="K628" i="3"/>
  <c r="I628" i="3"/>
  <c r="E628" i="3"/>
  <c r="B628" i="3"/>
  <c r="C628" i="3" s="1"/>
  <c r="U627" i="3"/>
  <c r="S627" i="3"/>
  <c r="Q627" i="3"/>
  <c r="O627" i="3"/>
  <c r="M627" i="3"/>
  <c r="K627" i="3"/>
  <c r="I627" i="3"/>
  <c r="E627" i="3"/>
  <c r="B627" i="3"/>
  <c r="C627" i="3" s="1"/>
  <c r="U626" i="3"/>
  <c r="S626" i="3"/>
  <c r="Q626" i="3"/>
  <c r="O626" i="3"/>
  <c r="M626" i="3"/>
  <c r="K626" i="3"/>
  <c r="I626" i="3"/>
  <c r="E626" i="3"/>
  <c r="B626" i="3"/>
  <c r="C626" i="3" s="1"/>
  <c r="U625" i="3"/>
  <c r="S625" i="3"/>
  <c r="Q625" i="3"/>
  <c r="O625" i="3"/>
  <c r="M625" i="3"/>
  <c r="K625" i="3"/>
  <c r="I625" i="3"/>
  <c r="E625" i="3"/>
  <c r="B625" i="3"/>
  <c r="C625" i="3" s="1"/>
  <c r="U624" i="3"/>
  <c r="S624" i="3"/>
  <c r="Q624" i="3"/>
  <c r="O624" i="3"/>
  <c r="M624" i="3"/>
  <c r="K624" i="3"/>
  <c r="I624" i="3"/>
  <c r="E624" i="3"/>
  <c r="B624" i="3"/>
  <c r="C624" i="3" s="1"/>
  <c r="U623" i="3"/>
  <c r="S623" i="3"/>
  <c r="Q623" i="3"/>
  <c r="O623" i="3"/>
  <c r="M623" i="3"/>
  <c r="K623" i="3"/>
  <c r="I623" i="3"/>
  <c r="E623" i="3"/>
  <c r="B623" i="3"/>
  <c r="C623" i="3" s="1"/>
  <c r="U622" i="3"/>
  <c r="S622" i="3"/>
  <c r="Q622" i="3"/>
  <c r="O622" i="3"/>
  <c r="M622" i="3"/>
  <c r="K622" i="3"/>
  <c r="I622" i="3"/>
  <c r="E622" i="3"/>
  <c r="B622" i="3"/>
  <c r="C622" i="3" s="1"/>
  <c r="U621" i="3"/>
  <c r="S621" i="3"/>
  <c r="Q621" i="3"/>
  <c r="O621" i="3"/>
  <c r="M621" i="3"/>
  <c r="K621" i="3"/>
  <c r="I621" i="3"/>
  <c r="E621" i="3"/>
  <c r="B621" i="3"/>
  <c r="C621" i="3" s="1"/>
  <c r="U620" i="3"/>
  <c r="S620" i="3"/>
  <c r="Q620" i="3"/>
  <c r="O620" i="3"/>
  <c r="M620" i="3"/>
  <c r="K620" i="3"/>
  <c r="I620" i="3"/>
  <c r="E620" i="3"/>
  <c r="B620" i="3"/>
  <c r="C620" i="3" s="1"/>
  <c r="U619" i="3"/>
  <c r="S619" i="3"/>
  <c r="Q619" i="3"/>
  <c r="O619" i="3"/>
  <c r="M619" i="3"/>
  <c r="K619" i="3"/>
  <c r="I619" i="3"/>
  <c r="E619" i="3"/>
  <c r="B619" i="3"/>
  <c r="C619" i="3" s="1"/>
  <c r="U618" i="3"/>
  <c r="S618" i="3"/>
  <c r="Q618" i="3"/>
  <c r="O618" i="3"/>
  <c r="M618" i="3"/>
  <c r="K618" i="3"/>
  <c r="I618" i="3"/>
  <c r="E618" i="3"/>
  <c r="B618" i="3"/>
  <c r="C618" i="3" s="1"/>
  <c r="U617" i="3"/>
  <c r="S617" i="3"/>
  <c r="Q617" i="3"/>
  <c r="O617" i="3"/>
  <c r="M617" i="3"/>
  <c r="K617" i="3"/>
  <c r="I617" i="3"/>
  <c r="E617" i="3"/>
  <c r="B617" i="3"/>
  <c r="C617" i="3" s="1"/>
  <c r="U616" i="3"/>
  <c r="S616" i="3"/>
  <c r="Q616" i="3"/>
  <c r="O616" i="3"/>
  <c r="M616" i="3"/>
  <c r="K616" i="3"/>
  <c r="I616" i="3"/>
  <c r="E616" i="3"/>
  <c r="B616" i="3"/>
  <c r="C616" i="3" s="1"/>
  <c r="U615" i="3"/>
  <c r="S615" i="3"/>
  <c r="Q615" i="3"/>
  <c r="O615" i="3"/>
  <c r="M615" i="3"/>
  <c r="K615" i="3"/>
  <c r="I615" i="3"/>
  <c r="E615" i="3"/>
  <c r="C615" i="3"/>
  <c r="B615" i="3"/>
  <c r="U614" i="3"/>
  <c r="S614" i="3"/>
  <c r="Q614" i="3"/>
  <c r="O614" i="3"/>
  <c r="M614" i="3"/>
  <c r="K614" i="3"/>
  <c r="I614" i="3"/>
  <c r="E614" i="3"/>
  <c r="B614" i="3"/>
  <c r="C614" i="3" s="1"/>
  <c r="U613" i="3"/>
  <c r="S613" i="3"/>
  <c r="Q613" i="3"/>
  <c r="O613" i="3"/>
  <c r="M613" i="3"/>
  <c r="K613" i="3"/>
  <c r="I613" i="3"/>
  <c r="E613" i="3"/>
  <c r="C613" i="3"/>
  <c r="B613" i="3"/>
  <c r="U612" i="3"/>
  <c r="S612" i="3"/>
  <c r="Q612" i="3"/>
  <c r="O612" i="3"/>
  <c r="M612" i="3"/>
  <c r="K612" i="3"/>
  <c r="I612" i="3"/>
  <c r="E612" i="3"/>
  <c r="B612" i="3"/>
  <c r="C612" i="3" s="1"/>
  <c r="U611" i="3"/>
  <c r="S611" i="3"/>
  <c r="Q611" i="3"/>
  <c r="O611" i="3"/>
  <c r="M611" i="3"/>
  <c r="K611" i="3"/>
  <c r="I611" i="3"/>
  <c r="E611" i="3"/>
  <c r="B611" i="3"/>
  <c r="C611" i="3" s="1"/>
  <c r="U610" i="3"/>
  <c r="S610" i="3"/>
  <c r="Q610" i="3"/>
  <c r="O610" i="3"/>
  <c r="M610" i="3"/>
  <c r="K610" i="3"/>
  <c r="I610" i="3"/>
  <c r="E610" i="3"/>
  <c r="C610" i="3"/>
  <c r="B610" i="3"/>
  <c r="U609" i="3"/>
  <c r="S609" i="3"/>
  <c r="Q609" i="3"/>
  <c r="O609" i="3"/>
  <c r="M609" i="3"/>
  <c r="K609" i="3"/>
  <c r="I609" i="3"/>
  <c r="E609" i="3"/>
  <c r="B609" i="3"/>
  <c r="C609" i="3" s="1"/>
  <c r="U608" i="3"/>
  <c r="S608" i="3"/>
  <c r="Q608" i="3"/>
  <c r="O608" i="3"/>
  <c r="M608" i="3"/>
  <c r="K608" i="3"/>
  <c r="I608" i="3"/>
  <c r="E608" i="3"/>
  <c r="C608" i="3"/>
  <c r="B608" i="3"/>
  <c r="U607" i="3"/>
  <c r="S607" i="3"/>
  <c r="Q607" i="3"/>
  <c r="O607" i="3"/>
  <c r="M607" i="3"/>
  <c r="K607" i="3"/>
  <c r="I607" i="3"/>
  <c r="E607" i="3"/>
  <c r="C607" i="3"/>
  <c r="B607" i="3"/>
  <c r="U606" i="3"/>
  <c r="S606" i="3"/>
  <c r="Q606" i="3"/>
  <c r="O606" i="3"/>
  <c r="M606" i="3"/>
  <c r="K606" i="3"/>
  <c r="I606" i="3"/>
  <c r="E606" i="3"/>
  <c r="B606" i="3"/>
  <c r="C606" i="3" s="1"/>
  <c r="U605" i="3"/>
  <c r="S605" i="3"/>
  <c r="Q605" i="3"/>
  <c r="O605" i="3"/>
  <c r="M605" i="3"/>
  <c r="K605" i="3"/>
  <c r="I605" i="3"/>
  <c r="E605" i="3"/>
  <c r="B605" i="3"/>
  <c r="C605" i="3" s="1"/>
  <c r="U604" i="3"/>
  <c r="S604" i="3"/>
  <c r="Q604" i="3"/>
  <c r="O604" i="3"/>
  <c r="M604" i="3"/>
  <c r="K604" i="3"/>
  <c r="I604" i="3"/>
  <c r="E604" i="3"/>
  <c r="B604" i="3"/>
  <c r="C604" i="3" s="1"/>
  <c r="U603" i="3"/>
  <c r="S603" i="3"/>
  <c r="Q603" i="3"/>
  <c r="O603" i="3"/>
  <c r="M603" i="3"/>
  <c r="K603" i="3"/>
  <c r="I603" i="3"/>
  <c r="E603" i="3"/>
  <c r="C603" i="3"/>
  <c r="B603" i="3"/>
  <c r="U602" i="3"/>
  <c r="S602" i="3"/>
  <c r="Q602" i="3"/>
  <c r="O602" i="3"/>
  <c r="M602" i="3"/>
  <c r="K602" i="3"/>
  <c r="I602" i="3"/>
  <c r="E602" i="3"/>
  <c r="B602" i="3"/>
  <c r="C602" i="3" s="1"/>
  <c r="U601" i="3"/>
  <c r="S601" i="3"/>
  <c r="Q601" i="3"/>
  <c r="O601" i="3"/>
  <c r="M601" i="3"/>
  <c r="K601" i="3"/>
  <c r="I601" i="3"/>
  <c r="E601" i="3"/>
  <c r="B601" i="3"/>
  <c r="C601" i="3" s="1"/>
  <c r="U600" i="3"/>
  <c r="S600" i="3"/>
  <c r="Q600" i="3"/>
  <c r="O600" i="3"/>
  <c r="M600" i="3"/>
  <c r="K600" i="3"/>
  <c r="I600" i="3"/>
  <c r="E600" i="3"/>
  <c r="B600" i="3"/>
  <c r="C600" i="3" s="1"/>
  <c r="U599" i="3"/>
  <c r="S599" i="3"/>
  <c r="Q599" i="3"/>
  <c r="O599" i="3"/>
  <c r="M599" i="3"/>
  <c r="K599" i="3"/>
  <c r="I599" i="3"/>
  <c r="E599" i="3"/>
  <c r="B599" i="3"/>
  <c r="C599" i="3" s="1"/>
  <c r="U598" i="3"/>
  <c r="S598" i="3"/>
  <c r="Q598" i="3"/>
  <c r="O598" i="3"/>
  <c r="M598" i="3"/>
  <c r="K598" i="3"/>
  <c r="I598" i="3"/>
  <c r="E598" i="3"/>
  <c r="C598" i="3"/>
  <c r="B598" i="3"/>
  <c r="U597" i="3"/>
  <c r="S597" i="3"/>
  <c r="Q597" i="3"/>
  <c r="O597" i="3"/>
  <c r="M597" i="3"/>
  <c r="K597" i="3"/>
  <c r="I597" i="3"/>
  <c r="E597" i="3"/>
  <c r="B597" i="3"/>
  <c r="C597" i="3" s="1"/>
  <c r="U596" i="3"/>
  <c r="S596" i="3"/>
  <c r="Q596" i="3"/>
  <c r="O596" i="3"/>
  <c r="M596" i="3"/>
  <c r="K596" i="3"/>
  <c r="I596" i="3"/>
  <c r="E596" i="3"/>
  <c r="B596" i="3"/>
  <c r="C596" i="3" s="1"/>
  <c r="U595" i="3"/>
  <c r="S595" i="3"/>
  <c r="Q595" i="3"/>
  <c r="O595" i="3"/>
  <c r="M595" i="3"/>
  <c r="K595" i="3"/>
  <c r="I595" i="3"/>
  <c r="E595" i="3"/>
  <c r="B595" i="3"/>
  <c r="C595" i="3" s="1"/>
  <c r="U594" i="3"/>
  <c r="S594" i="3"/>
  <c r="Q594" i="3"/>
  <c r="O594" i="3"/>
  <c r="M594" i="3"/>
  <c r="K594" i="3"/>
  <c r="I594" i="3"/>
  <c r="E594" i="3"/>
  <c r="B594" i="3"/>
  <c r="C594" i="3" s="1"/>
  <c r="U593" i="3"/>
  <c r="S593" i="3"/>
  <c r="Q593" i="3"/>
  <c r="O593" i="3"/>
  <c r="M593" i="3"/>
  <c r="K593" i="3"/>
  <c r="I593" i="3"/>
  <c r="E593" i="3"/>
  <c r="B593" i="3"/>
  <c r="C593" i="3" s="1"/>
  <c r="U592" i="3"/>
  <c r="S592" i="3"/>
  <c r="Q592" i="3"/>
  <c r="O592" i="3"/>
  <c r="M592" i="3"/>
  <c r="K592" i="3"/>
  <c r="I592" i="3"/>
  <c r="E592" i="3"/>
  <c r="B592" i="3"/>
  <c r="C592" i="3" s="1"/>
  <c r="U591" i="3"/>
  <c r="S591" i="3"/>
  <c r="Q591" i="3"/>
  <c r="O591" i="3"/>
  <c r="M591" i="3"/>
  <c r="K591" i="3"/>
  <c r="I591" i="3"/>
  <c r="E591" i="3"/>
  <c r="B591" i="3"/>
  <c r="C591" i="3" s="1"/>
  <c r="U590" i="3"/>
  <c r="S590" i="3"/>
  <c r="Q590" i="3"/>
  <c r="O590" i="3"/>
  <c r="M590" i="3"/>
  <c r="K590" i="3"/>
  <c r="I590" i="3"/>
  <c r="E590" i="3"/>
  <c r="B590" i="3"/>
  <c r="C590" i="3" s="1"/>
  <c r="U589" i="3"/>
  <c r="S589" i="3"/>
  <c r="Q589" i="3"/>
  <c r="O589" i="3"/>
  <c r="M589" i="3"/>
  <c r="K589" i="3"/>
  <c r="I589" i="3"/>
  <c r="E589" i="3"/>
  <c r="B589" i="3"/>
  <c r="C589" i="3" s="1"/>
  <c r="U588" i="3"/>
  <c r="S588" i="3"/>
  <c r="Q588" i="3"/>
  <c r="O588" i="3"/>
  <c r="M588" i="3"/>
  <c r="K588" i="3"/>
  <c r="I588" i="3"/>
  <c r="E588" i="3"/>
  <c r="B588" i="3"/>
  <c r="C588" i="3" s="1"/>
  <c r="U587" i="3"/>
  <c r="S587" i="3"/>
  <c r="Q587" i="3"/>
  <c r="O587" i="3"/>
  <c r="M587" i="3"/>
  <c r="K587" i="3"/>
  <c r="I587" i="3"/>
  <c r="E587" i="3"/>
  <c r="B587" i="3"/>
  <c r="C587" i="3" s="1"/>
  <c r="U586" i="3"/>
  <c r="S586" i="3"/>
  <c r="Q586" i="3"/>
  <c r="O586" i="3"/>
  <c r="M586" i="3"/>
  <c r="K586" i="3"/>
  <c r="I586" i="3"/>
  <c r="E586" i="3"/>
  <c r="B586" i="3"/>
  <c r="C586" i="3" s="1"/>
  <c r="U585" i="3"/>
  <c r="S585" i="3"/>
  <c r="Q585" i="3"/>
  <c r="O585" i="3"/>
  <c r="M585" i="3"/>
  <c r="K585" i="3"/>
  <c r="I585" i="3"/>
  <c r="E585" i="3"/>
  <c r="B585" i="3"/>
  <c r="C585" i="3" s="1"/>
  <c r="U584" i="3"/>
  <c r="S584" i="3"/>
  <c r="Q584" i="3"/>
  <c r="O584" i="3"/>
  <c r="M584" i="3"/>
  <c r="K584" i="3"/>
  <c r="I584" i="3"/>
  <c r="E584" i="3"/>
  <c r="B584" i="3"/>
  <c r="C584" i="3" s="1"/>
  <c r="U583" i="3"/>
  <c r="S583" i="3"/>
  <c r="Q583" i="3"/>
  <c r="O583" i="3"/>
  <c r="M583" i="3"/>
  <c r="K583" i="3"/>
  <c r="I583" i="3"/>
  <c r="E583" i="3"/>
  <c r="B583" i="3"/>
  <c r="C583" i="3" s="1"/>
  <c r="U582" i="3"/>
  <c r="S582" i="3"/>
  <c r="Q582" i="3"/>
  <c r="O582" i="3"/>
  <c r="M582" i="3"/>
  <c r="K582" i="3"/>
  <c r="I582" i="3"/>
  <c r="E582" i="3"/>
  <c r="B582" i="3"/>
  <c r="C582" i="3" s="1"/>
  <c r="U581" i="3"/>
  <c r="S581" i="3"/>
  <c r="Q581" i="3"/>
  <c r="O581" i="3"/>
  <c r="M581" i="3"/>
  <c r="K581" i="3"/>
  <c r="I581" i="3"/>
  <c r="E581" i="3"/>
  <c r="B581" i="3"/>
  <c r="C581" i="3" s="1"/>
  <c r="U580" i="3"/>
  <c r="S580" i="3"/>
  <c r="Q580" i="3"/>
  <c r="O580" i="3"/>
  <c r="M580" i="3"/>
  <c r="K580" i="3"/>
  <c r="I580" i="3"/>
  <c r="E580" i="3"/>
  <c r="B580" i="3"/>
  <c r="C580" i="3" s="1"/>
  <c r="U579" i="3"/>
  <c r="S579" i="3"/>
  <c r="Q579" i="3"/>
  <c r="O579" i="3"/>
  <c r="M579" i="3"/>
  <c r="K579" i="3"/>
  <c r="I579" i="3"/>
  <c r="E579" i="3"/>
  <c r="B579" i="3"/>
  <c r="C579" i="3" s="1"/>
  <c r="U578" i="3"/>
  <c r="S578" i="3"/>
  <c r="Q578" i="3"/>
  <c r="O578" i="3"/>
  <c r="M578" i="3"/>
  <c r="K578" i="3"/>
  <c r="I578" i="3"/>
  <c r="E578" i="3"/>
  <c r="B578" i="3"/>
  <c r="C578" i="3" s="1"/>
  <c r="U577" i="3"/>
  <c r="S577" i="3"/>
  <c r="Q577" i="3"/>
  <c r="O577" i="3"/>
  <c r="M577" i="3"/>
  <c r="K577" i="3"/>
  <c r="I577" i="3"/>
  <c r="E577" i="3"/>
  <c r="C577" i="3"/>
  <c r="B577" i="3"/>
  <c r="U576" i="3"/>
  <c r="S576" i="3"/>
  <c r="Q576" i="3"/>
  <c r="O576" i="3"/>
  <c r="M576" i="3"/>
  <c r="K576" i="3"/>
  <c r="I576" i="3"/>
  <c r="E576" i="3"/>
  <c r="B576" i="3"/>
  <c r="C576" i="3" s="1"/>
  <c r="U575" i="3"/>
  <c r="S575" i="3"/>
  <c r="Q575" i="3"/>
  <c r="O575" i="3"/>
  <c r="M575" i="3"/>
  <c r="K575" i="3"/>
  <c r="I575" i="3"/>
  <c r="E575" i="3"/>
  <c r="B575" i="3"/>
  <c r="C575" i="3" s="1"/>
  <c r="U574" i="3"/>
  <c r="S574" i="3"/>
  <c r="Q574" i="3"/>
  <c r="O574" i="3"/>
  <c r="M574" i="3"/>
  <c r="K574" i="3"/>
  <c r="I574" i="3"/>
  <c r="E574" i="3"/>
  <c r="B574" i="3"/>
  <c r="C574" i="3" s="1"/>
  <c r="U573" i="3"/>
  <c r="S573" i="3"/>
  <c r="Q573" i="3"/>
  <c r="O573" i="3"/>
  <c r="M573" i="3"/>
  <c r="K573" i="3"/>
  <c r="I573" i="3"/>
  <c r="E573" i="3"/>
  <c r="B573" i="3"/>
  <c r="C573" i="3" s="1"/>
  <c r="U572" i="3"/>
  <c r="S572" i="3"/>
  <c r="Q572" i="3"/>
  <c r="O572" i="3"/>
  <c r="M572" i="3"/>
  <c r="K572" i="3"/>
  <c r="I572" i="3"/>
  <c r="E572" i="3"/>
  <c r="C572" i="3"/>
  <c r="B572" i="3"/>
  <c r="U571" i="3"/>
  <c r="S571" i="3"/>
  <c r="Q571" i="3"/>
  <c r="O571" i="3"/>
  <c r="M571" i="3"/>
  <c r="K571" i="3"/>
  <c r="I571" i="3"/>
  <c r="E571" i="3"/>
  <c r="B571" i="3"/>
  <c r="C571" i="3" s="1"/>
  <c r="U570" i="3"/>
  <c r="S570" i="3"/>
  <c r="Q570" i="3"/>
  <c r="O570" i="3"/>
  <c r="M570" i="3"/>
  <c r="K570" i="3"/>
  <c r="I570" i="3"/>
  <c r="E570" i="3"/>
  <c r="B570" i="3"/>
  <c r="C570" i="3" s="1"/>
  <c r="U569" i="3"/>
  <c r="S569" i="3"/>
  <c r="Q569" i="3"/>
  <c r="O569" i="3"/>
  <c r="M569" i="3"/>
  <c r="K569" i="3"/>
  <c r="I569" i="3"/>
  <c r="E569" i="3"/>
  <c r="B569" i="3"/>
  <c r="C569" i="3" s="1"/>
  <c r="U568" i="3"/>
  <c r="S568" i="3"/>
  <c r="Q568" i="3"/>
  <c r="O568" i="3"/>
  <c r="M568" i="3"/>
  <c r="K568" i="3"/>
  <c r="I568" i="3"/>
  <c r="E568" i="3"/>
  <c r="B568" i="3"/>
  <c r="C568" i="3" s="1"/>
  <c r="U567" i="3"/>
  <c r="S567" i="3"/>
  <c r="Q567" i="3"/>
  <c r="O567" i="3"/>
  <c r="M567" i="3"/>
  <c r="K567" i="3"/>
  <c r="I567" i="3"/>
  <c r="E567" i="3"/>
  <c r="C567" i="3"/>
  <c r="B567" i="3"/>
  <c r="U566" i="3"/>
  <c r="S566" i="3"/>
  <c r="Q566" i="3"/>
  <c r="O566" i="3"/>
  <c r="M566" i="3"/>
  <c r="K566" i="3"/>
  <c r="I566" i="3"/>
  <c r="E566" i="3"/>
  <c r="B566" i="3"/>
  <c r="C566" i="3" s="1"/>
  <c r="U565" i="3"/>
  <c r="S565" i="3"/>
  <c r="Q565" i="3"/>
  <c r="O565" i="3"/>
  <c r="M565" i="3"/>
  <c r="K565" i="3"/>
  <c r="I565" i="3"/>
  <c r="E565" i="3"/>
  <c r="B565" i="3"/>
  <c r="C565" i="3" s="1"/>
  <c r="U564" i="3"/>
  <c r="S564" i="3"/>
  <c r="Q564" i="3"/>
  <c r="O564" i="3"/>
  <c r="M564" i="3"/>
  <c r="K564" i="3"/>
  <c r="I564" i="3"/>
  <c r="E564" i="3"/>
  <c r="B564" i="3"/>
  <c r="C564" i="3" s="1"/>
  <c r="U563" i="3"/>
  <c r="S563" i="3"/>
  <c r="Q563" i="3"/>
  <c r="O563" i="3"/>
  <c r="M563" i="3"/>
  <c r="K563" i="3"/>
  <c r="I563" i="3"/>
  <c r="E563" i="3"/>
  <c r="B563" i="3"/>
  <c r="C563" i="3" s="1"/>
  <c r="U562" i="3"/>
  <c r="S562" i="3"/>
  <c r="Q562" i="3"/>
  <c r="O562" i="3"/>
  <c r="M562" i="3"/>
  <c r="K562" i="3"/>
  <c r="I562" i="3"/>
  <c r="E562" i="3"/>
  <c r="B562" i="3"/>
  <c r="C562" i="3" s="1"/>
  <c r="U561" i="3"/>
  <c r="S561" i="3"/>
  <c r="Q561" i="3"/>
  <c r="O561" i="3"/>
  <c r="M561" i="3"/>
  <c r="K561" i="3"/>
  <c r="I561" i="3"/>
  <c r="E561" i="3"/>
  <c r="B561" i="3"/>
  <c r="C561" i="3" s="1"/>
  <c r="U560" i="3"/>
  <c r="S560" i="3"/>
  <c r="Q560" i="3"/>
  <c r="O560" i="3"/>
  <c r="M560" i="3"/>
  <c r="K560" i="3"/>
  <c r="I560" i="3"/>
  <c r="E560" i="3"/>
  <c r="B560" i="3"/>
  <c r="C560" i="3" s="1"/>
  <c r="U559" i="3"/>
  <c r="S559" i="3"/>
  <c r="Q559" i="3"/>
  <c r="O559" i="3"/>
  <c r="M559" i="3"/>
  <c r="K559" i="3"/>
  <c r="I559" i="3"/>
  <c r="E559" i="3"/>
  <c r="B559" i="3"/>
  <c r="C559" i="3" s="1"/>
  <c r="U558" i="3"/>
  <c r="S558" i="3"/>
  <c r="Q558" i="3"/>
  <c r="O558" i="3"/>
  <c r="M558" i="3"/>
  <c r="K558" i="3"/>
  <c r="I558" i="3"/>
  <c r="E558" i="3"/>
  <c r="B558" i="3"/>
  <c r="C558" i="3" s="1"/>
  <c r="U557" i="3"/>
  <c r="S557" i="3"/>
  <c r="Q557" i="3"/>
  <c r="O557" i="3"/>
  <c r="M557" i="3"/>
  <c r="K557" i="3"/>
  <c r="I557" i="3"/>
  <c r="E557" i="3"/>
  <c r="B557" i="3"/>
  <c r="C557" i="3" s="1"/>
  <c r="U556" i="3"/>
  <c r="S556" i="3"/>
  <c r="Q556" i="3"/>
  <c r="O556" i="3"/>
  <c r="M556" i="3"/>
  <c r="K556" i="3"/>
  <c r="I556" i="3"/>
  <c r="E556" i="3"/>
  <c r="B556" i="3"/>
  <c r="C556" i="3" s="1"/>
  <c r="U555" i="3"/>
  <c r="S555" i="3"/>
  <c r="Q555" i="3"/>
  <c r="O555" i="3"/>
  <c r="M555" i="3"/>
  <c r="K555" i="3"/>
  <c r="I555" i="3"/>
  <c r="E555" i="3"/>
  <c r="B555" i="3"/>
  <c r="C555" i="3" s="1"/>
  <c r="U554" i="3"/>
  <c r="S554" i="3"/>
  <c r="Q554" i="3"/>
  <c r="O554" i="3"/>
  <c r="M554" i="3"/>
  <c r="K554" i="3"/>
  <c r="I554" i="3"/>
  <c r="E554" i="3"/>
  <c r="B554" i="3"/>
  <c r="C554" i="3" s="1"/>
  <c r="U553" i="3"/>
  <c r="S553" i="3"/>
  <c r="Q553" i="3"/>
  <c r="O553" i="3"/>
  <c r="M553" i="3"/>
  <c r="K553" i="3"/>
  <c r="I553" i="3"/>
  <c r="E553" i="3"/>
  <c r="B553" i="3"/>
  <c r="C553" i="3" s="1"/>
  <c r="U552" i="3"/>
  <c r="S552" i="3"/>
  <c r="Q552" i="3"/>
  <c r="O552" i="3"/>
  <c r="M552" i="3"/>
  <c r="K552" i="3"/>
  <c r="I552" i="3"/>
  <c r="E552" i="3"/>
  <c r="B552" i="3"/>
  <c r="C552" i="3" s="1"/>
  <c r="U551" i="3"/>
  <c r="S551" i="3"/>
  <c r="Q551" i="3"/>
  <c r="O551" i="3"/>
  <c r="M551" i="3"/>
  <c r="K551" i="3"/>
  <c r="I551" i="3"/>
  <c r="E551" i="3"/>
  <c r="B551" i="3"/>
  <c r="C551" i="3" s="1"/>
  <c r="U550" i="3"/>
  <c r="S550" i="3"/>
  <c r="Q550" i="3"/>
  <c r="O550" i="3"/>
  <c r="M550" i="3"/>
  <c r="K550" i="3"/>
  <c r="I550" i="3"/>
  <c r="E550" i="3"/>
  <c r="B550" i="3"/>
  <c r="C550" i="3" s="1"/>
  <c r="U549" i="3"/>
  <c r="S549" i="3"/>
  <c r="Q549" i="3"/>
  <c r="O549" i="3"/>
  <c r="M549" i="3"/>
  <c r="K549" i="3"/>
  <c r="I549" i="3"/>
  <c r="E549" i="3"/>
  <c r="B549" i="3"/>
  <c r="C549" i="3" s="1"/>
  <c r="U548" i="3"/>
  <c r="S548" i="3"/>
  <c r="Q548" i="3"/>
  <c r="O548" i="3"/>
  <c r="M548" i="3"/>
  <c r="K548" i="3"/>
  <c r="I548" i="3"/>
  <c r="E548" i="3"/>
  <c r="B548" i="3"/>
  <c r="C548" i="3" s="1"/>
  <c r="U547" i="3"/>
  <c r="S547" i="3"/>
  <c r="Q547" i="3"/>
  <c r="O547" i="3"/>
  <c r="M547" i="3"/>
  <c r="K547" i="3"/>
  <c r="I547" i="3"/>
  <c r="E547" i="3"/>
  <c r="B547" i="3"/>
  <c r="C547" i="3" s="1"/>
  <c r="U546" i="3"/>
  <c r="S546" i="3"/>
  <c r="Q546" i="3"/>
  <c r="O546" i="3"/>
  <c r="M546" i="3"/>
  <c r="K546" i="3"/>
  <c r="I546" i="3"/>
  <c r="E546" i="3"/>
  <c r="B546" i="3"/>
  <c r="C546" i="3" s="1"/>
  <c r="U545" i="3"/>
  <c r="S545" i="3"/>
  <c r="Q545" i="3"/>
  <c r="O545" i="3"/>
  <c r="M545" i="3"/>
  <c r="K545" i="3"/>
  <c r="I545" i="3"/>
  <c r="E545" i="3"/>
  <c r="B545" i="3"/>
  <c r="C545" i="3" s="1"/>
  <c r="U544" i="3"/>
  <c r="S544" i="3"/>
  <c r="Q544" i="3"/>
  <c r="O544" i="3"/>
  <c r="M544" i="3"/>
  <c r="K544" i="3"/>
  <c r="I544" i="3"/>
  <c r="E544" i="3"/>
  <c r="B544" i="3"/>
  <c r="C544" i="3" s="1"/>
  <c r="U543" i="3"/>
  <c r="S543" i="3"/>
  <c r="Q543" i="3"/>
  <c r="O543" i="3"/>
  <c r="M543" i="3"/>
  <c r="K543" i="3"/>
  <c r="I543" i="3"/>
  <c r="E543" i="3"/>
  <c r="C543" i="3"/>
  <c r="B543" i="3"/>
  <c r="U542" i="3"/>
  <c r="S542" i="3"/>
  <c r="Q542" i="3"/>
  <c r="O542" i="3"/>
  <c r="M542" i="3"/>
  <c r="K542" i="3"/>
  <c r="I542" i="3"/>
  <c r="E542" i="3"/>
  <c r="B542" i="3"/>
  <c r="C542" i="3" s="1"/>
  <c r="U541" i="3"/>
  <c r="S541" i="3"/>
  <c r="Q541" i="3"/>
  <c r="O541" i="3"/>
  <c r="M541" i="3"/>
  <c r="K541" i="3"/>
  <c r="I541" i="3"/>
  <c r="E541" i="3"/>
  <c r="B541" i="3"/>
  <c r="C541" i="3" s="1"/>
  <c r="U540" i="3"/>
  <c r="S540" i="3"/>
  <c r="Q540" i="3"/>
  <c r="O540" i="3"/>
  <c r="M540" i="3"/>
  <c r="K540" i="3"/>
  <c r="I540" i="3"/>
  <c r="E540" i="3"/>
  <c r="B540" i="3"/>
  <c r="C540" i="3" s="1"/>
  <c r="U539" i="3"/>
  <c r="S539" i="3"/>
  <c r="Q539" i="3"/>
  <c r="O539" i="3"/>
  <c r="M539" i="3"/>
  <c r="K539" i="3"/>
  <c r="I539" i="3"/>
  <c r="E539" i="3"/>
  <c r="B539" i="3"/>
  <c r="C539" i="3" s="1"/>
  <c r="U538" i="3"/>
  <c r="S538" i="3"/>
  <c r="Q538" i="3"/>
  <c r="O538" i="3"/>
  <c r="M538" i="3"/>
  <c r="K538" i="3"/>
  <c r="I538" i="3"/>
  <c r="E538" i="3"/>
  <c r="C538" i="3"/>
  <c r="B538" i="3"/>
  <c r="U537" i="3"/>
  <c r="S537" i="3"/>
  <c r="Q537" i="3"/>
  <c r="O537" i="3"/>
  <c r="M537" i="3"/>
  <c r="K537" i="3"/>
  <c r="I537" i="3"/>
  <c r="E537" i="3"/>
  <c r="B537" i="3"/>
  <c r="C537" i="3" s="1"/>
  <c r="U536" i="3"/>
  <c r="S536" i="3"/>
  <c r="Q536" i="3"/>
  <c r="O536" i="3"/>
  <c r="M536" i="3"/>
  <c r="K536" i="3"/>
  <c r="I536" i="3"/>
  <c r="E536" i="3"/>
  <c r="B536" i="3"/>
  <c r="C536" i="3" s="1"/>
  <c r="U535" i="3"/>
  <c r="S535" i="3"/>
  <c r="Q535" i="3"/>
  <c r="O535" i="3"/>
  <c r="M535" i="3"/>
  <c r="K535" i="3"/>
  <c r="I535" i="3"/>
  <c r="E535" i="3"/>
  <c r="B535" i="3"/>
  <c r="C535" i="3" s="1"/>
  <c r="U534" i="3"/>
  <c r="S534" i="3"/>
  <c r="Q534" i="3"/>
  <c r="O534" i="3"/>
  <c r="M534" i="3"/>
  <c r="K534" i="3"/>
  <c r="I534" i="3"/>
  <c r="E534" i="3"/>
  <c r="B534" i="3"/>
  <c r="C534" i="3" s="1"/>
  <c r="U533" i="3"/>
  <c r="S533" i="3"/>
  <c r="Q533" i="3"/>
  <c r="O533" i="3"/>
  <c r="M533" i="3"/>
  <c r="K533" i="3"/>
  <c r="I533" i="3"/>
  <c r="E533" i="3"/>
  <c r="B533" i="3"/>
  <c r="C533" i="3" s="1"/>
  <c r="U532" i="3"/>
  <c r="S532" i="3"/>
  <c r="Q532" i="3"/>
  <c r="O532" i="3"/>
  <c r="M532" i="3"/>
  <c r="K532" i="3"/>
  <c r="I532" i="3"/>
  <c r="E532" i="3"/>
  <c r="B532" i="3"/>
  <c r="C532" i="3" s="1"/>
  <c r="U531" i="3"/>
  <c r="S531" i="3"/>
  <c r="Q531" i="3"/>
  <c r="O531" i="3"/>
  <c r="M531" i="3"/>
  <c r="K531" i="3"/>
  <c r="I531" i="3"/>
  <c r="E531" i="3"/>
  <c r="B531" i="3"/>
  <c r="C531" i="3" s="1"/>
  <c r="U530" i="3"/>
  <c r="S530" i="3"/>
  <c r="Q530" i="3"/>
  <c r="O530" i="3"/>
  <c r="M530" i="3"/>
  <c r="K530" i="3"/>
  <c r="I530" i="3"/>
  <c r="E530" i="3"/>
  <c r="B530" i="3"/>
  <c r="C530" i="3" s="1"/>
  <c r="U529" i="3"/>
  <c r="S529" i="3"/>
  <c r="Q529" i="3"/>
  <c r="O529" i="3"/>
  <c r="M529" i="3"/>
  <c r="K529" i="3"/>
  <c r="I529" i="3"/>
  <c r="E529" i="3"/>
  <c r="B529" i="3"/>
  <c r="C529" i="3" s="1"/>
  <c r="U528" i="3"/>
  <c r="S528" i="3"/>
  <c r="Q528" i="3"/>
  <c r="O528" i="3"/>
  <c r="M528" i="3"/>
  <c r="K528" i="3"/>
  <c r="I528" i="3"/>
  <c r="E528" i="3"/>
  <c r="B528" i="3"/>
  <c r="C528" i="3" s="1"/>
  <c r="U527" i="3"/>
  <c r="S527" i="3"/>
  <c r="Q527" i="3"/>
  <c r="O527" i="3"/>
  <c r="M527" i="3"/>
  <c r="K527" i="3"/>
  <c r="I527" i="3"/>
  <c r="E527" i="3"/>
  <c r="B527" i="3"/>
  <c r="C527" i="3" s="1"/>
  <c r="U526" i="3"/>
  <c r="S526" i="3"/>
  <c r="Q526" i="3"/>
  <c r="O526" i="3"/>
  <c r="M526" i="3"/>
  <c r="K526" i="3"/>
  <c r="I526" i="3"/>
  <c r="E526" i="3"/>
  <c r="B526" i="3"/>
  <c r="C526" i="3" s="1"/>
  <c r="U525" i="3"/>
  <c r="S525" i="3"/>
  <c r="Q525" i="3"/>
  <c r="O525" i="3"/>
  <c r="M525" i="3"/>
  <c r="K525" i="3"/>
  <c r="I525" i="3"/>
  <c r="E525" i="3"/>
  <c r="B525" i="3"/>
  <c r="C525" i="3" s="1"/>
  <c r="U524" i="3"/>
  <c r="S524" i="3"/>
  <c r="Q524" i="3"/>
  <c r="O524" i="3"/>
  <c r="M524" i="3"/>
  <c r="K524" i="3"/>
  <c r="I524" i="3"/>
  <c r="E524" i="3"/>
  <c r="B524" i="3"/>
  <c r="C524" i="3" s="1"/>
  <c r="U523" i="3"/>
  <c r="S523" i="3"/>
  <c r="Q523" i="3"/>
  <c r="O523" i="3"/>
  <c r="M523" i="3"/>
  <c r="K523" i="3"/>
  <c r="I523" i="3"/>
  <c r="E523" i="3"/>
  <c r="B523" i="3"/>
  <c r="C523" i="3" s="1"/>
  <c r="U522" i="3"/>
  <c r="S522" i="3"/>
  <c r="Q522" i="3"/>
  <c r="O522" i="3"/>
  <c r="M522" i="3"/>
  <c r="K522" i="3"/>
  <c r="I522" i="3"/>
  <c r="E522" i="3"/>
  <c r="B522" i="3"/>
  <c r="C522" i="3" s="1"/>
  <c r="U521" i="3"/>
  <c r="S521" i="3"/>
  <c r="Q521" i="3"/>
  <c r="O521" i="3"/>
  <c r="M521" i="3"/>
  <c r="K521" i="3"/>
  <c r="I521" i="3"/>
  <c r="E521" i="3"/>
  <c r="B521" i="3"/>
  <c r="C521" i="3" s="1"/>
  <c r="U520" i="3"/>
  <c r="S520" i="3"/>
  <c r="Q520" i="3"/>
  <c r="O520" i="3"/>
  <c r="M520" i="3"/>
  <c r="K520" i="3"/>
  <c r="I520" i="3"/>
  <c r="E520" i="3"/>
  <c r="B520" i="3"/>
  <c r="C520" i="3" s="1"/>
  <c r="U519" i="3"/>
  <c r="S519" i="3"/>
  <c r="Q519" i="3"/>
  <c r="O519" i="3"/>
  <c r="M519" i="3"/>
  <c r="K519" i="3"/>
  <c r="I519" i="3"/>
  <c r="E519" i="3"/>
  <c r="B519" i="3"/>
  <c r="C519" i="3" s="1"/>
  <c r="U518" i="3"/>
  <c r="S518" i="3"/>
  <c r="Q518" i="3"/>
  <c r="O518" i="3"/>
  <c r="M518" i="3"/>
  <c r="K518" i="3"/>
  <c r="I518" i="3"/>
  <c r="E518" i="3"/>
  <c r="B518" i="3"/>
  <c r="C518" i="3" s="1"/>
  <c r="U517" i="3"/>
  <c r="S517" i="3"/>
  <c r="Q517" i="3"/>
  <c r="O517" i="3"/>
  <c r="M517" i="3"/>
  <c r="K517" i="3"/>
  <c r="I517" i="3"/>
  <c r="E517" i="3"/>
  <c r="B517" i="3"/>
  <c r="C517" i="3" s="1"/>
  <c r="U516" i="3"/>
  <c r="S516" i="3"/>
  <c r="Q516" i="3"/>
  <c r="O516" i="3"/>
  <c r="M516" i="3"/>
  <c r="K516" i="3"/>
  <c r="I516" i="3"/>
  <c r="E516" i="3"/>
  <c r="B516" i="3"/>
  <c r="C516" i="3" s="1"/>
  <c r="U515" i="3"/>
  <c r="S515" i="3"/>
  <c r="Q515" i="3"/>
  <c r="O515" i="3"/>
  <c r="M515" i="3"/>
  <c r="K515" i="3"/>
  <c r="I515" i="3"/>
  <c r="E515" i="3"/>
  <c r="B515" i="3"/>
  <c r="C515" i="3" s="1"/>
  <c r="U514" i="3"/>
  <c r="S514" i="3"/>
  <c r="Q514" i="3"/>
  <c r="O514" i="3"/>
  <c r="M514" i="3"/>
  <c r="K514" i="3"/>
  <c r="I514" i="3"/>
  <c r="E514" i="3"/>
  <c r="B514" i="3"/>
  <c r="C514" i="3" s="1"/>
  <c r="U513" i="3"/>
  <c r="S513" i="3"/>
  <c r="Q513" i="3"/>
  <c r="O513" i="3"/>
  <c r="M513" i="3"/>
  <c r="K513" i="3"/>
  <c r="I513" i="3"/>
  <c r="E513" i="3"/>
  <c r="B513" i="3"/>
  <c r="C513" i="3" s="1"/>
  <c r="U512" i="3"/>
  <c r="S512" i="3"/>
  <c r="Q512" i="3"/>
  <c r="O512" i="3"/>
  <c r="M512" i="3"/>
  <c r="K512" i="3"/>
  <c r="I512" i="3"/>
  <c r="E512" i="3"/>
  <c r="B512" i="3"/>
  <c r="C512" i="3" s="1"/>
  <c r="U511" i="3"/>
  <c r="S511" i="3"/>
  <c r="Q511" i="3"/>
  <c r="O511" i="3"/>
  <c r="M511" i="3"/>
  <c r="K511" i="3"/>
  <c r="I511" i="3"/>
  <c r="E511" i="3"/>
  <c r="B511" i="3"/>
  <c r="C511" i="3" s="1"/>
  <c r="U510" i="3"/>
  <c r="S510" i="3"/>
  <c r="Q510" i="3"/>
  <c r="O510" i="3"/>
  <c r="M510" i="3"/>
  <c r="K510" i="3"/>
  <c r="I510" i="3"/>
  <c r="E510" i="3"/>
  <c r="B510" i="3"/>
  <c r="C510" i="3" s="1"/>
  <c r="U509" i="3"/>
  <c r="S509" i="3"/>
  <c r="Q509" i="3"/>
  <c r="O509" i="3"/>
  <c r="M509" i="3"/>
  <c r="K509" i="3"/>
  <c r="I509" i="3"/>
  <c r="E509" i="3"/>
  <c r="B509" i="3"/>
  <c r="C509" i="3" s="1"/>
  <c r="U508" i="3"/>
  <c r="S508" i="3"/>
  <c r="Q508" i="3"/>
  <c r="O508" i="3"/>
  <c r="M508" i="3"/>
  <c r="K508" i="3"/>
  <c r="I508" i="3"/>
  <c r="E508" i="3"/>
  <c r="B508" i="3"/>
  <c r="C508" i="3" s="1"/>
  <c r="U507" i="3"/>
  <c r="S507" i="3"/>
  <c r="Q507" i="3"/>
  <c r="O507" i="3"/>
  <c r="M507" i="3"/>
  <c r="K507" i="3"/>
  <c r="I507" i="3"/>
  <c r="E507" i="3"/>
  <c r="C507" i="3"/>
  <c r="B507" i="3"/>
  <c r="U506" i="3"/>
  <c r="S506" i="3"/>
  <c r="Q506" i="3"/>
  <c r="O506" i="3"/>
  <c r="M506" i="3"/>
  <c r="K506" i="3"/>
  <c r="I506" i="3"/>
  <c r="E506" i="3"/>
  <c r="B506" i="3"/>
  <c r="C506" i="3" s="1"/>
  <c r="U505" i="3"/>
  <c r="S505" i="3"/>
  <c r="Q505" i="3"/>
  <c r="O505" i="3"/>
  <c r="M505" i="3"/>
  <c r="K505" i="3"/>
  <c r="I505" i="3"/>
  <c r="E505" i="3"/>
  <c r="C505" i="3"/>
  <c r="B505" i="3"/>
  <c r="U504" i="3"/>
  <c r="S504" i="3"/>
  <c r="Q504" i="3"/>
  <c r="O504" i="3"/>
  <c r="M504" i="3"/>
  <c r="K504" i="3"/>
  <c r="I504" i="3"/>
  <c r="E504" i="3"/>
  <c r="B504" i="3"/>
  <c r="C504" i="3" s="1"/>
  <c r="U503" i="3"/>
  <c r="S503" i="3"/>
  <c r="Q503" i="3"/>
  <c r="O503" i="3"/>
  <c r="M503" i="3"/>
  <c r="K503" i="3"/>
  <c r="I503" i="3"/>
  <c r="E503" i="3"/>
  <c r="B503" i="3"/>
  <c r="C503" i="3" s="1"/>
  <c r="U502" i="3"/>
  <c r="S502" i="3"/>
  <c r="Q502" i="3"/>
  <c r="O502" i="3"/>
  <c r="M502" i="3"/>
  <c r="K502" i="3"/>
  <c r="I502" i="3"/>
  <c r="E502" i="3"/>
  <c r="C502" i="3"/>
  <c r="B502" i="3"/>
  <c r="U501" i="3"/>
  <c r="S501" i="3"/>
  <c r="Q501" i="3"/>
  <c r="O501" i="3"/>
  <c r="M501" i="3"/>
  <c r="K501" i="3"/>
  <c r="I501" i="3"/>
  <c r="E501" i="3"/>
  <c r="B501" i="3"/>
  <c r="C501" i="3" s="1"/>
  <c r="U500" i="3"/>
  <c r="S500" i="3"/>
  <c r="Q500" i="3"/>
  <c r="O500" i="3"/>
  <c r="M500" i="3"/>
  <c r="K500" i="3"/>
  <c r="I500" i="3"/>
  <c r="E500" i="3"/>
  <c r="C500" i="3"/>
  <c r="B500" i="3"/>
  <c r="U499" i="3"/>
  <c r="S499" i="3"/>
  <c r="Q499" i="3"/>
  <c r="O499" i="3"/>
  <c r="M499" i="3"/>
  <c r="K499" i="3"/>
  <c r="I499" i="3"/>
  <c r="E499" i="3"/>
  <c r="B499" i="3"/>
  <c r="C499" i="3" s="1"/>
  <c r="U498" i="3"/>
  <c r="S498" i="3"/>
  <c r="Q498" i="3"/>
  <c r="O498" i="3"/>
  <c r="M498" i="3"/>
  <c r="K498" i="3"/>
  <c r="I498" i="3"/>
  <c r="E498" i="3"/>
  <c r="B498" i="3"/>
  <c r="C498" i="3" s="1"/>
  <c r="U497" i="3"/>
  <c r="S497" i="3"/>
  <c r="Q497" i="3"/>
  <c r="O497" i="3"/>
  <c r="M497" i="3"/>
  <c r="K497" i="3"/>
  <c r="I497" i="3"/>
  <c r="E497" i="3"/>
  <c r="B497" i="3"/>
  <c r="C497" i="3" s="1"/>
  <c r="U496" i="3"/>
  <c r="S496" i="3"/>
  <c r="Q496" i="3"/>
  <c r="O496" i="3"/>
  <c r="M496" i="3"/>
  <c r="K496" i="3"/>
  <c r="I496" i="3"/>
  <c r="E496" i="3"/>
  <c r="B496" i="3"/>
  <c r="C496" i="3" s="1"/>
  <c r="U495" i="3"/>
  <c r="S495" i="3"/>
  <c r="Q495" i="3"/>
  <c r="O495" i="3"/>
  <c r="M495" i="3"/>
  <c r="K495" i="3"/>
  <c r="I495" i="3"/>
  <c r="E495" i="3"/>
  <c r="C495" i="3"/>
  <c r="B495" i="3"/>
  <c r="U494" i="3"/>
  <c r="S494" i="3"/>
  <c r="Q494" i="3"/>
  <c r="O494" i="3"/>
  <c r="M494" i="3"/>
  <c r="K494" i="3"/>
  <c r="I494" i="3"/>
  <c r="E494" i="3"/>
  <c r="B494" i="3"/>
  <c r="C494" i="3" s="1"/>
  <c r="U493" i="3"/>
  <c r="S493" i="3"/>
  <c r="Q493" i="3"/>
  <c r="O493" i="3"/>
  <c r="M493" i="3"/>
  <c r="K493" i="3"/>
  <c r="I493" i="3"/>
  <c r="E493" i="3"/>
  <c r="B493" i="3"/>
  <c r="C493" i="3" s="1"/>
  <c r="U492" i="3"/>
  <c r="S492" i="3"/>
  <c r="Q492" i="3"/>
  <c r="O492" i="3"/>
  <c r="M492" i="3"/>
  <c r="K492" i="3"/>
  <c r="I492" i="3"/>
  <c r="E492" i="3"/>
  <c r="B492" i="3"/>
  <c r="C492" i="3" s="1"/>
  <c r="U491" i="3"/>
  <c r="S491" i="3"/>
  <c r="Q491" i="3"/>
  <c r="O491" i="3"/>
  <c r="M491" i="3"/>
  <c r="K491" i="3"/>
  <c r="I491" i="3"/>
  <c r="E491" i="3"/>
  <c r="B491" i="3"/>
  <c r="C491" i="3" s="1"/>
  <c r="U490" i="3"/>
  <c r="S490" i="3"/>
  <c r="Q490" i="3"/>
  <c r="O490" i="3"/>
  <c r="M490" i="3"/>
  <c r="K490" i="3"/>
  <c r="I490" i="3"/>
  <c r="E490" i="3"/>
  <c r="B490" i="3"/>
  <c r="C490" i="3" s="1"/>
  <c r="U489" i="3"/>
  <c r="S489" i="3"/>
  <c r="Q489" i="3"/>
  <c r="O489" i="3"/>
  <c r="M489" i="3"/>
  <c r="K489" i="3"/>
  <c r="I489" i="3"/>
  <c r="E489" i="3"/>
  <c r="B489" i="3"/>
  <c r="C489" i="3" s="1"/>
  <c r="U488" i="3"/>
  <c r="S488" i="3"/>
  <c r="Q488" i="3"/>
  <c r="O488" i="3"/>
  <c r="M488" i="3"/>
  <c r="K488" i="3"/>
  <c r="I488" i="3"/>
  <c r="E488" i="3"/>
  <c r="B488" i="3"/>
  <c r="C488" i="3" s="1"/>
  <c r="U487" i="3"/>
  <c r="S487" i="3"/>
  <c r="Q487" i="3"/>
  <c r="O487" i="3"/>
  <c r="M487" i="3"/>
  <c r="K487" i="3"/>
  <c r="I487" i="3"/>
  <c r="E487" i="3"/>
  <c r="B487" i="3"/>
  <c r="C487" i="3" s="1"/>
  <c r="U486" i="3"/>
  <c r="S486" i="3"/>
  <c r="Q486" i="3"/>
  <c r="O486" i="3"/>
  <c r="M486" i="3"/>
  <c r="K486" i="3"/>
  <c r="I486" i="3"/>
  <c r="E486" i="3"/>
  <c r="B486" i="3"/>
  <c r="C486" i="3" s="1"/>
  <c r="U485" i="3"/>
  <c r="S485" i="3"/>
  <c r="Q485" i="3"/>
  <c r="O485" i="3"/>
  <c r="M485" i="3"/>
  <c r="K485" i="3"/>
  <c r="I485" i="3"/>
  <c r="E485" i="3"/>
  <c r="B485" i="3"/>
  <c r="C485" i="3" s="1"/>
  <c r="U484" i="3"/>
  <c r="S484" i="3"/>
  <c r="Q484" i="3"/>
  <c r="O484" i="3"/>
  <c r="M484" i="3"/>
  <c r="K484" i="3"/>
  <c r="I484" i="3"/>
  <c r="E484" i="3"/>
  <c r="B484" i="3"/>
  <c r="C484" i="3" s="1"/>
  <c r="U483" i="3"/>
  <c r="S483" i="3"/>
  <c r="Q483" i="3"/>
  <c r="O483" i="3"/>
  <c r="M483" i="3"/>
  <c r="K483" i="3"/>
  <c r="I483" i="3"/>
  <c r="E483" i="3"/>
  <c r="B483" i="3"/>
  <c r="C483" i="3" s="1"/>
  <c r="U482" i="3"/>
  <c r="S482" i="3"/>
  <c r="Q482" i="3"/>
  <c r="O482" i="3"/>
  <c r="M482" i="3"/>
  <c r="K482" i="3"/>
  <c r="I482" i="3"/>
  <c r="E482" i="3"/>
  <c r="B482" i="3"/>
  <c r="C482" i="3" s="1"/>
  <c r="U481" i="3"/>
  <c r="S481" i="3"/>
  <c r="Q481" i="3"/>
  <c r="O481" i="3"/>
  <c r="M481" i="3"/>
  <c r="K481" i="3"/>
  <c r="I481" i="3"/>
  <c r="E481" i="3"/>
  <c r="B481" i="3"/>
  <c r="C481" i="3" s="1"/>
  <c r="U480" i="3"/>
  <c r="S480" i="3"/>
  <c r="Q480" i="3"/>
  <c r="O480" i="3"/>
  <c r="M480" i="3"/>
  <c r="K480" i="3"/>
  <c r="I480" i="3"/>
  <c r="E480" i="3"/>
  <c r="B480" i="3"/>
  <c r="C480" i="3" s="1"/>
  <c r="U479" i="3"/>
  <c r="S479" i="3"/>
  <c r="Q479" i="3"/>
  <c r="O479" i="3"/>
  <c r="M479" i="3"/>
  <c r="K479" i="3"/>
  <c r="I479" i="3"/>
  <c r="E479" i="3"/>
  <c r="B479" i="3"/>
  <c r="C479" i="3" s="1"/>
  <c r="U478" i="3"/>
  <c r="S478" i="3"/>
  <c r="Q478" i="3"/>
  <c r="O478" i="3"/>
  <c r="M478" i="3"/>
  <c r="K478" i="3"/>
  <c r="I478" i="3"/>
  <c r="E478" i="3"/>
  <c r="B478" i="3"/>
  <c r="C478" i="3" s="1"/>
  <c r="U477" i="3"/>
  <c r="S477" i="3"/>
  <c r="Q477" i="3"/>
  <c r="O477" i="3"/>
  <c r="M477" i="3"/>
  <c r="K477" i="3"/>
  <c r="I477" i="3"/>
  <c r="E477" i="3"/>
  <c r="B477" i="3"/>
  <c r="C477" i="3" s="1"/>
  <c r="U476" i="3"/>
  <c r="S476" i="3"/>
  <c r="Q476" i="3"/>
  <c r="O476" i="3"/>
  <c r="M476" i="3"/>
  <c r="K476" i="3"/>
  <c r="I476" i="3"/>
  <c r="E476" i="3"/>
  <c r="B476" i="3"/>
  <c r="C476" i="3" s="1"/>
  <c r="U475" i="3"/>
  <c r="S475" i="3"/>
  <c r="Q475" i="3"/>
  <c r="O475" i="3"/>
  <c r="M475" i="3"/>
  <c r="K475" i="3"/>
  <c r="I475" i="3"/>
  <c r="E475" i="3"/>
  <c r="B475" i="3"/>
  <c r="C475" i="3" s="1"/>
  <c r="U474" i="3"/>
  <c r="S474" i="3"/>
  <c r="Q474" i="3"/>
  <c r="O474" i="3"/>
  <c r="M474" i="3"/>
  <c r="K474" i="3"/>
  <c r="I474" i="3"/>
  <c r="E474" i="3"/>
  <c r="B474" i="3"/>
  <c r="C474" i="3" s="1"/>
  <c r="U473" i="3"/>
  <c r="S473" i="3"/>
  <c r="Q473" i="3"/>
  <c r="O473" i="3"/>
  <c r="M473" i="3"/>
  <c r="K473" i="3"/>
  <c r="I473" i="3"/>
  <c r="E473" i="3"/>
  <c r="B473" i="3"/>
  <c r="C473" i="3" s="1"/>
  <c r="U472" i="3"/>
  <c r="S472" i="3"/>
  <c r="Q472" i="3"/>
  <c r="O472" i="3"/>
  <c r="M472" i="3"/>
  <c r="K472" i="3"/>
  <c r="I472" i="3"/>
  <c r="E472" i="3"/>
  <c r="B472" i="3"/>
  <c r="C472" i="3" s="1"/>
  <c r="U471" i="3"/>
  <c r="S471" i="3"/>
  <c r="Q471" i="3"/>
  <c r="O471" i="3"/>
  <c r="M471" i="3"/>
  <c r="K471" i="3"/>
  <c r="I471" i="3"/>
  <c r="E471" i="3"/>
  <c r="B471" i="3"/>
  <c r="C471" i="3" s="1"/>
  <c r="U470" i="3"/>
  <c r="S470" i="3"/>
  <c r="Q470" i="3"/>
  <c r="O470" i="3"/>
  <c r="M470" i="3"/>
  <c r="K470" i="3"/>
  <c r="I470" i="3"/>
  <c r="E470" i="3"/>
  <c r="B470" i="3"/>
  <c r="C470" i="3" s="1"/>
  <c r="U469" i="3"/>
  <c r="S469" i="3"/>
  <c r="Q469" i="3"/>
  <c r="O469" i="3"/>
  <c r="M469" i="3"/>
  <c r="K469" i="3"/>
  <c r="I469" i="3"/>
  <c r="E469" i="3"/>
  <c r="C469" i="3"/>
  <c r="B469" i="3"/>
  <c r="U468" i="3"/>
  <c r="S468" i="3"/>
  <c r="Q468" i="3"/>
  <c r="O468" i="3"/>
  <c r="M468" i="3"/>
  <c r="K468" i="3"/>
  <c r="I468" i="3"/>
  <c r="E468" i="3"/>
  <c r="B468" i="3"/>
  <c r="C468" i="3" s="1"/>
  <c r="U467" i="3"/>
  <c r="S467" i="3"/>
  <c r="Q467" i="3"/>
  <c r="O467" i="3"/>
  <c r="M467" i="3"/>
  <c r="K467" i="3"/>
  <c r="I467" i="3"/>
  <c r="E467" i="3"/>
  <c r="B467" i="3"/>
  <c r="C467" i="3" s="1"/>
  <c r="U466" i="3"/>
  <c r="S466" i="3"/>
  <c r="Q466" i="3"/>
  <c r="O466" i="3"/>
  <c r="M466" i="3"/>
  <c r="K466" i="3"/>
  <c r="I466" i="3"/>
  <c r="E466" i="3"/>
  <c r="B466" i="3"/>
  <c r="C466" i="3" s="1"/>
  <c r="U465" i="3"/>
  <c r="S465" i="3"/>
  <c r="Q465" i="3"/>
  <c r="O465" i="3"/>
  <c r="M465" i="3"/>
  <c r="K465" i="3"/>
  <c r="I465" i="3"/>
  <c r="E465" i="3"/>
  <c r="B465" i="3"/>
  <c r="C465" i="3" s="1"/>
  <c r="U464" i="3"/>
  <c r="S464" i="3"/>
  <c r="Q464" i="3"/>
  <c r="O464" i="3"/>
  <c r="M464" i="3"/>
  <c r="K464" i="3"/>
  <c r="I464" i="3"/>
  <c r="E464" i="3"/>
  <c r="C464" i="3"/>
  <c r="B464" i="3"/>
  <c r="U463" i="3"/>
  <c r="S463" i="3"/>
  <c r="Q463" i="3"/>
  <c r="O463" i="3"/>
  <c r="M463" i="3"/>
  <c r="K463" i="3"/>
  <c r="I463" i="3"/>
  <c r="E463" i="3"/>
  <c r="B463" i="3"/>
  <c r="C463" i="3" s="1"/>
  <c r="U462" i="3"/>
  <c r="S462" i="3"/>
  <c r="Q462" i="3"/>
  <c r="O462" i="3"/>
  <c r="M462" i="3"/>
  <c r="K462" i="3"/>
  <c r="I462" i="3"/>
  <c r="E462" i="3"/>
  <c r="B462" i="3"/>
  <c r="C462" i="3" s="1"/>
  <c r="U461" i="3"/>
  <c r="S461" i="3"/>
  <c r="Q461" i="3"/>
  <c r="O461" i="3"/>
  <c r="M461" i="3"/>
  <c r="K461" i="3"/>
  <c r="I461" i="3"/>
  <c r="E461" i="3"/>
  <c r="B461" i="3"/>
  <c r="C461" i="3" s="1"/>
  <c r="U460" i="3"/>
  <c r="S460" i="3"/>
  <c r="Q460" i="3"/>
  <c r="O460" i="3"/>
  <c r="M460" i="3"/>
  <c r="K460" i="3"/>
  <c r="I460" i="3"/>
  <c r="E460" i="3"/>
  <c r="B460" i="3"/>
  <c r="C460" i="3" s="1"/>
  <c r="U459" i="3"/>
  <c r="S459" i="3"/>
  <c r="Q459" i="3"/>
  <c r="O459" i="3"/>
  <c r="M459" i="3"/>
  <c r="K459" i="3"/>
  <c r="I459" i="3"/>
  <c r="E459" i="3"/>
  <c r="C459" i="3"/>
  <c r="B459" i="3"/>
  <c r="U458" i="3"/>
  <c r="S458" i="3"/>
  <c r="Q458" i="3"/>
  <c r="O458" i="3"/>
  <c r="M458" i="3"/>
  <c r="K458" i="3"/>
  <c r="I458" i="3"/>
  <c r="E458" i="3"/>
  <c r="B458" i="3"/>
  <c r="C458" i="3" s="1"/>
  <c r="U457" i="3"/>
  <c r="S457" i="3"/>
  <c r="Q457" i="3"/>
  <c r="O457" i="3"/>
  <c r="M457" i="3"/>
  <c r="K457" i="3"/>
  <c r="I457" i="3"/>
  <c r="E457" i="3"/>
  <c r="B457" i="3"/>
  <c r="C457" i="3" s="1"/>
  <c r="U456" i="3"/>
  <c r="S456" i="3"/>
  <c r="Q456" i="3"/>
  <c r="O456" i="3"/>
  <c r="M456" i="3"/>
  <c r="K456" i="3"/>
  <c r="I456" i="3"/>
  <c r="E456" i="3"/>
  <c r="B456" i="3"/>
  <c r="C456" i="3" s="1"/>
  <c r="U455" i="3"/>
  <c r="S455" i="3"/>
  <c r="Q455" i="3"/>
  <c r="O455" i="3"/>
  <c r="M455" i="3"/>
  <c r="K455" i="3"/>
  <c r="I455" i="3"/>
  <c r="E455" i="3"/>
  <c r="B455" i="3"/>
  <c r="C455" i="3" s="1"/>
  <c r="U454" i="3"/>
  <c r="S454" i="3"/>
  <c r="Q454" i="3"/>
  <c r="O454" i="3"/>
  <c r="M454" i="3"/>
  <c r="K454" i="3"/>
  <c r="I454" i="3"/>
  <c r="E454" i="3"/>
  <c r="B454" i="3"/>
  <c r="C454" i="3" s="1"/>
  <c r="U453" i="3"/>
  <c r="S453" i="3"/>
  <c r="Q453" i="3"/>
  <c r="O453" i="3"/>
  <c r="M453" i="3"/>
  <c r="K453" i="3"/>
  <c r="I453" i="3"/>
  <c r="E453" i="3"/>
  <c r="B453" i="3"/>
  <c r="C453" i="3" s="1"/>
  <c r="U452" i="3"/>
  <c r="S452" i="3"/>
  <c r="Q452" i="3"/>
  <c r="O452" i="3"/>
  <c r="M452" i="3"/>
  <c r="K452" i="3"/>
  <c r="I452" i="3"/>
  <c r="E452" i="3"/>
  <c r="B452" i="3"/>
  <c r="C452" i="3" s="1"/>
  <c r="U451" i="3"/>
  <c r="S451" i="3"/>
  <c r="Q451" i="3"/>
  <c r="O451" i="3"/>
  <c r="M451" i="3"/>
  <c r="K451" i="3"/>
  <c r="I451" i="3"/>
  <c r="E451" i="3"/>
  <c r="B451" i="3"/>
  <c r="C451" i="3" s="1"/>
  <c r="U450" i="3"/>
  <c r="S450" i="3"/>
  <c r="Q450" i="3"/>
  <c r="O450" i="3"/>
  <c r="M450" i="3"/>
  <c r="K450" i="3"/>
  <c r="I450" i="3"/>
  <c r="E450" i="3"/>
  <c r="B450" i="3"/>
  <c r="C450" i="3" s="1"/>
  <c r="U449" i="3"/>
  <c r="S449" i="3"/>
  <c r="Q449" i="3"/>
  <c r="O449" i="3"/>
  <c r="M449" i="3"/>
  <c r="K449" i="3"/>
  <c r="I449" i="3"/>
  <c r="E449" i="3"/>
  <c r="B449" i="3"/>
  <c r="C449" i="3" s="1"/>
  <c r="U448" i="3"/>
  <c r="S448" i="3"/>
  <c r="Q448" i="3"/>
  <c r="O448" i="3"/>
  <c r="M448" i="3"/>
  <c r="K448" i="3"/>
  <c r="I448" i="3"/>
  <c r="E448" i="3"/>
  <c r="C448" i="3"/>
  <c r="B448" i="3"/>
  <c r="U447" i="3"/>
  <c r="S447" i="3"/>
  <c r="Q447" i="3"/>
  <c r="O447" i="3"/>
  <c r="M447" i="3"/>
  <c r="K447" i="3"/>
  <c r="I447" i="3"/>
  <c r="E447" i="3"/>
  <c r="B447" i="3"/>
  <c r="C447" i="3" s="1"/>
  <c r="U446" i="3"/>
  <c r="S446" i="3"/>
  <c r="Q446" i="3"/>
  <c r="O446" i="3"/>
  <c r="M446" i="3"/>
  <c r="K446" i="3"/>
  <c r="I446" i="3"/>
  <c r="E446" i="3"/>
  <c r="C446" i="3"/>
  <c r="B446" i="3"/>
  <c r="U445" i="3"/>
  <c r="S445" i="3"/>
  <c r="Q445" i="3"/>
  <c r="O445" i="3"/>
  <c r="M445" i="3"/>
  <c r="K445" i="3"/>
  <c r="I445" i="3"/>
  <c r="E445" i="3"/>
  <c r="C445" i="3"/>
  <c r="B445" i="3"/>
  <c r="U444" i="3"/>
  <c r="S444" i="3"/>
  <c r="Q444" i="3"/>
  <c r="O444" i="3"/>
  <c r="M444" i="3"/>
  <c r="K444" i="3"/>
  <c r="I444" i="3"/>
  <c r="E444" i="3"/>
  <c r="B444" i="3"/>
  <c r="C444" i="3" s="1"/>
  <c r="U443" i="3"/>
  <c r="S443" i="3"/>
  <c r="Q443" i="3"/>
  <c r="O443" i="3"/>
  <c r="M443" i="3"/>
  <c r="K443" i="3"/>
  <c r="I443" i="3"/>
  <c r="E443" i="3"/>
  <c r="B443" i="3"/>
  <c r="C443" i="3" s="1"/>
  <c r="U442" i="3"/>
  <c r="S442" i="3"/>
  <c r="Q442" i="3"/>
  <c r="O442" i="3"/>
  <c r="M442" i="3"/>
  <c r="K442" i="3"/>
  <c r="I442" i="3"/>
  <c r="E442" i="3"/>
  <c r="B442" i="3"/>
  <c r="C442" i="3" s="1"/>
  <c r="U441" i="3"/>
  <c r="S441" i="3"/>
  <c r="Q441" i="3"/>
  <c r="O441" i="3"/>
  <c r="M441" i="3"/>
  <c r="K441" i="3"/>
  <c r="I441" i="3"/>
  <c r="E441" i="3"/>
  <c r="B441" i="3"/>
  <c r="C441" i="3" s="1"/>
  <c r="U440" i="3"/>
  <c r="S440" i="3"/>
  <c r="Q440" i="3"/>
  <c r="O440" i="3"/>
  <c r="M440" i="3"/>
  <c r="K440" i="3"/>
  <c r="I440" i="3"/>
  <c r="E440" i="3"/>
  <c r="B440" i="3"/>
  <c r="C440" i="3" s="1"/>
  <c r="U439" i="3"/>
  <c r="S439" i="3"/>
  <c r="Q439" i="3"/>
  <c r="O439" i="3"/>
  <c r="M439" i="3"/>
  <c r="K439" i="3"/>
  <c r="I439" i="3"/>
  <c r="E439" i="3"/>
  <c r="B439" i="3"/>
  <c r="C439" i="3" s="1"/>
  <c r="U438" i="3"/>
  <c r="S438" i="3"/>
  <c r="Q438" i="3"/>
  <c r="O438" i="3"/>
  <c r="M438" i="3"/>
  <c r="K438" i="3"/>
  <c r="I438" i="3"/>
  <c r="E438" i="3"/>
  <c r="C438" i="3"/>
  <c r="B438" i="3"/>
  <c r="U437" i="3"/>
  <c r="S437" i="3"/>
  <c r="Q437" i="3"/>
  <c r="O437" i="3"/>
  <c r="M437" i="3"/>
  <c r="K437" i="3"/>
  <c r="I437" i="3"/>
  <c r="E437" i="3"/>
  <c r="B437" i="3"/>
  <c r="C437" i="3" s="1"/>
  <c r="U436" i="3"/>
  <c r="S436" i="3"/>
  <c r="Q436" i="3"/>
  <c r="O436" i="3"/>
  <c r="M436" i="3"/>
  <c r="K436" i="3"/>
  <c r="I436" i="3"/>
  <c r="E436" i="3"/>
  <c r="B436" i="3"/>
  <c r="C436" i="3" s="1"/>
  <c r="U435" i="3"/>
  <c r="S435" i="3"/>
  <c r="Q435" i="3"/>
  <c r="O435" i="3"/>
  <c r="M435" i="3"/>
  <c r="K435" i="3"/>
  <c r="I435" i="3"/>
  <c r="E435" i="3"/>
  <c r="C435" i="3"/>
  <c r="B435" i="3"/>
  <c r="U434" i="3"/>
  <c r="S434" i="3"/>
  <c r="Q434" i="3"/>
  <c r="O434" i="3"/>
  <c r="M434" i="3"/>
  <c r="K434" i="3"/>
  <c r="I434" i="3"/>
  <c r="E434" i="3"/>
  <c r="C434" i="3"/>
  <c r="B434" i="3"/>
  <c r="U433" i="3"/>
  <c r="S433" i="3"/>
  <c r="Q433" i="3"/>
  <c r="O433" i="3"/>
  <c r="M433" i="3"/>
  <c r="K433" i="3"/>
  <c r="I433" i="3"/>
  <c r="E433" i="3"/>
  <c r="C433" i="3"/>
  <c r="B433" i="3"/>
  <c r="U432" i="3"/>
  <c r="S432" i="3"/>
  <c r="Q432" i="3"/>
  <c r="O432" i="3"/>
  <c r="M432" i="3"/>
  <c r="K432" i="3"/>
  <c r="I432" i="3"/>
  <c r="E432" i="3"/>
  <c r="B432" i="3"/>
  <c r="C432" i="3" s="1"/>
  <c r="U431" i="3"/>
  <c r="S431" i="3"/>
  <c r="Q431" i="3"/>
  <c r="O431" i="3"/>
  <c r="M431" i="3"/>
  <c r="K431" i="3"/>
  <c r="I431" i="3"/>
  <c r="E431" i="3"/>
  <c r="B431" i="3"/>
  <c r="C431" i="3" s="1"/>
  <c r="U430" i="3"/>
  <c r="S430" i="3"/>
  <c r="Q430" i="3"/>
  <c r="O430" i="3"/>
  <c r="M430" i="3"/>
  <c r="K430" i="3"/>
  <c r="I430" i="3"/>
  <c r="E430" i="3"/>
  <c r="B430" i="3"/>
  <c r="C430" i="3" s="1"/>
  <c r="U429" i="3"/>
  <c r="S429" i="3"/>
  <c r="Q429" i="3"/>
  <c r="O429" i="3"/>
  <c r="M429" i="3"/>
  <c r="K429" i="3"/>
  <c r="I429" i="3"/>
  <c r="E429" i="3"/>
  <c r="B429" i="3"/>
  <c r="C429" i="3" s="1"/>
  <c r="U428" i="3"/>
  <c r="S428" i="3"/>
  <c r="Q428" i="3"/>
  <c r="O428" i="3"/>
  <c r="M428" i="3"/>
  <c r="K428" i="3"/>
  <c r="I428" i="3"/>
  <c r="E428" i="3"/>
  <c r="B428" i="3"/>
  <c r="C428" i="3" s="1"/>
  <c r="U427" i="3"/>
  <c r="S427" i="3"/>
  <c r="Q427" i="3"/>
  <c r="O427" i="3"/>
  <c r="M427" i="3"/>
  <c r="K427" i="3"/>
  <c r="I427" i="3"/>
  <c r="E427" i="3"/>
  <c r="B427" i="3"/>
  <c r="C427" i="3" s="1"/>
  <c r="U426" i="3"/>
  <c r="S426" i="3"/>
  <c r="Q426" i="3"/>
  <c r="O426" i="3"/>
  <c r="M426" i="3"/>
  <c r="K426" i="3"/>
  <c r="I426" i="3"/>
  <c r="E426" i="3"/>
  <c r="B426" i="3"/>
  <c r="C426" i="3" s="1"/>
  <c r="U425" i="3"/>
  <c r="S425" i="3"/>
  <c r="Q425" i="3"/>
  <c r="O425" i="3"/>
  <c r="M425" i="3"/>
  <c r="K425" i="3"/>
  <c r="I425" i="3"/>
  <c r="E425" i="3"/>
  <c r="B425" i="3"/>
  <c r="C425" i="3" s="1"/>
  <c r="U424" i="3"/>
  <c r="S424" i="3"/>
  <c r="Q424" i="3"/>
  <c r="O424" i="3"/>
  <c r="M424" i="3"/>
  <c r="K424" i="3"/>
  <c r="I424" i="3"/>
  <c r="E424" i="3"/>
  <c r="C424" i="3"/>
  <c r="B424" i="3"/>
  <c r="U423" i="3"/>
  <c r="S423" i="3"/>
  <c r="Q423" i="3"/>
  <c r="O423" i="3"/>
  <c r="M423" i="3"/>
  <c r="K423" i="3"/>
  <c r="I423" i="3"/>
  <c r="E423" i="3"/>
  <c r="C423" i="3"/>
  <c r="B423" i="3"/>
  <c r="U422" i="3"/>
  <c r="S422" i="3"/>
  <c r="Q422" i="3"/>
  <c r="O422" i="3"/>
  <c r="M422" i="3"/>
  <c r="K422" i="3"/>
  <c r="I422" i="3"/>
  <c r="E422" i="3"/>
  <c r="B422" i="3"/>
  <c r="C422" i="3" s="1"/>
  <c r="U421" i="3"/>
  <c r="S421" i="3"/>
  <c r="Q421" i="3"/>
  <c r="O421" i="3"/>
  <c r="M421" i="3"/>
  <c r="K421" i="3"/>
  <c r="I421" i="3"/>
  <c r="E421" i="3"/>
  <c r="B421" i="3"/>
  <c r="C421" i="3" s="1"/>
  <c r="U420" i="3"/>
  <c r="S420" i="3"/>
  <c r="Q420" i="3"/>
  <c r="O420" i="3"/>
  <c r="M420" i="3"/>
  <c r="K420" i="3"/>
  <c r="I420" i="3"/>
  <c r="E420" i="3"/>
  <c r="B420" i="3"/>
  <c r="C420" i="3" s="1"/>
  <c r="U419" i="3"/>
  <c r="S419" i="3"/>
  <c r="Q419" i="3"/>
  <c r="O419" i="3"/>
  <c r="M419" i="3"/>
  <c r="K419" i="3"/>
  <c r="I419" i="3"/>
  <c r="E419" i="3"/>
  <c r="B419" i="3"/>
  <c r="C419" i="3" s="1"/>
  <c r="U418" i="3"/>
  <c r="S418" i="3"/>
  <c r="Q418" i="3"/>
  <c r="O418" i="3"/>
  <c r="M418" i="3"/>
  <c r="K418" i="3"/>
  <c r="I418" i="3"/>
  <c r="E418" i="3"/>
  <c r="C418" i="3"/>
  <c r="B418" i="3"/>
  <c r="U417" i="3"/>
  <c r="S417" i="3"/>
  <c r="Q417" i="3"/>
  <c r="O417" i="3"/>
  <c r="M417" i="3"/>
  <c r="K417" i="3"/>
  <c r="I417" i="3"/>
  <c r="E417" i="3"/>
  <c r="C417" i="3"/>
  <c r="B417" i="3"/>
  <c r="U416" i="3"/>
  <c r="S416" i="3"/>
  <c r="Q416" i="3"/>
  <c r="O416" i="3"/>
  <c r="M416" i="3"/>
  <c r="K416" i="3"/>
  <c r="I416" i="3"/>
  <c r="E416" i="3"/>
  <c r="B416" i="3"/>
  <c r="C416" i="3" s="1"/>
  <c r="U415" i="3"/>
  <c r="S415" i="3"/>
  <c r="Q415" i="3"/>
  <c r="O415" i="3"/>
  <c r="M415" i="3"/>
  <c r="K415" i="3"/>
  <c r="I415" i="3"/>
  <c r="E415" i="3"/>
  <c r="B415" i="3"/>
  <c r="C415" i="3" s="1"/>
  <c r="U414" i="3"/>
  <c r="S414" i="3"/>
  <c r="Q414" i="3"/>
  <c r="O414" i="3"/>
  <c r="M414" i="3"/>
  <c r="K414" i="3"/>
  <c r="I414" i="3"/>
  <c r="E414" i="3"/>
  <c r="B414" i="3"/>
  <c r="C414" i="3" s="1"/>
  <c r="U413" i="3"/>
  <c r="S413" i="3"/>
  <c r="Q413" i="3"/>
  <c r="O413" i="3"/>
  <c r="M413" i="3"/>
  <c r="K413" i="3"/>
  <c r="I413" i="3"/>
  <c r="E413" i="3"/>
  <c r="B413" i="3"/>
  <c r="C413" i="3" s="1"/>
  <c r="U412" i="3"/>
  <c r="S412" i="3"/>
  <c r="Q412" i="3"/>
  <c r="O412" i="3"/>
  <c r="M412" i="3"/>
  <c r="K412" i="3"/>
  <c r="I412" i="3"/>
  <c r="E412" i="3"/>
  <c r="C412" i="3"/>
  <c r="B412" i="3"/>
  <c r="U411" i="3"/>
  <c r="S411" i="3"/>
  <c r="Q411" i="3"/>
  <c r="O411" i="3"/>
  <c r="M411" i="3"/>
  <c r="K411" i="3"/>
  <c r="I411" i="3"/>
  <c r="E411" i="3"/>
  <c r="C411" i="3"/>
  <c r="B411" i="3"/>
  <c r="U410" i="3"/>
  <c r="S410" i="3"/>
  <c r="Q410" i="3"/>
  <c r="O410" i="3"/>
  <c r="M410" i="3"/>
  <c r="K410" i="3"/>
  <c r="I410" i="3"/>
  <c r="E410" i="3"/>
  <c r="B410" i="3"/>
  <c r="C410" i="3" s="1"/>
  <c r="U409" i="3"/>
  <c r="S409" i="3"/>
  <c r="Q409" i="3"/>
  <c r="O409" i="3"/>
  <c r="M409" i="3"/>
  <c r="K409" i="3"/>
  <c r="I409" i="3"/>
  <c r="E409" i="3"/>
  <c r="B409" i="3"/>
  <c r="C409" i="3" s="1"/>
  <c r="U408" i="3"/>
  <c r="S408" i="3"/>
  <c r="Q408" i="3"/>
  <c r="O408" i="3"/>
  <c r="M408" i="3"/>
  <c r="K408" i="3"/>
  <c r="I408" i="3"/>
  <c r="E408" i="3"/>
  <c r="C408" i="3"/>
  <c r="B408" i="3"/>
  <c r="U407" i="3"/>
  <c r="S407" i="3"/>
  <c r="Q407" i="3"/>
  <c r="O407" i="3"/>
  <c r="M407" i="3"/>
  <c r="K407" i="3"/>
  <c r="I407" i="3"/>
  <c r="E407" i="3"/>
  <c r="B407" i="3"/>
  <c r="C407" i="3" s="1"/>
  <c r="U406" i="3"/>
  <c r="S406" i="3"/>
  <c r="Q406" i="3"/>
  <c r="O406" i="3"/>
  <c r="M406" i="3"/>
  <c r="K406" i="3"/>
  <c r="I406" i="3"/>
  <c r="E406" i="3"/>
  <c r="C406" i="3"/>
  <c r="B406" i="3"/>
  <c r="U405" i="3"/>
  <c r="S405" i="3"/>
  <c r="Q405" i="3"/>
  <c r="O405" i="3"/>
  <c r="M405" i="3"/>
  <c r="K405" i="3"/>
  <c r="I405" i="3"/>
  <c r="E405" i="3"/>
  <c r="C405" i="3"/>
  <c r="B405" i="3"/>
  <c r="U404" i="3"/>
  <c r="S404" i="3"/>
  <c r="Q404" i="3"/>
  <c r="O404" i="3"/>
  <c r="M404" i="3"/>
  <c r="K404" i="3"/>
  <c r="I404" i="3"/>
  <c r="E404" i="3"/>
  <c r="B404" i="3"/>
  <c r="C404" i="3" s="1"/>
  <c r="U403" i="3"/>
  <c r="S403" i="3"/>
  <c r="Q403" i="3"/>
  <c r="O403" i="3"/>
  <c r="M403" i="3"/>
  <c r="K403" i="3"/>
  <c r="I403" i="3"/>
  <c r="E403" i="3"/>
  <c r="B403" i="3"/>
  <c r="C403" i="3" s="1"/>
  <c r="U402" i="3"/>
  <c r="S402" i="3"/>
  <c r="Q402" i="3"/>
  <c r="O402" i="3"/>
  <c r="M402" i="3"/>
  <c r="K402" i="3"/>
  <c r="I402" i="3"/>
  <c r="E402" i="3"/>
  <c r="B402" i="3"/>
  <c r="C402" i="3" s="1"/>
  <c r="U401" i="3"/>
  <c r="S401" i="3"/>
  <c r="Q401" i="3"/>
  <c r="O401" i="3"/>
  <c r="M401" i="3"/>
  <c r="K401" i="3"/>
  <c r="I401" i="3"/>
  <c r="E401" i="3"/>
  <c r="B401" i="3"/>
  <c r="C401" i="3" s="1"/>
  <c r="U400" i="3"/>
  <c r="S400" i="3"/>
  <c r="Q400" i="3"/>
  <c r="O400" i="3"/>
  <c r="M400" i="3"/>
  <c r="K400" i="3"/>
  <c r="I400" i="3"/>
  <c r="E400" i="3"/>
  <c r="C400" i="3"/>
  <c r="B400" i="3"/>
  <c r="U399" i="3"/>
  <c r="S399" i="3"/>
  <c r="Q399" i="3"/>
  <c r="O399" i="3"/>
  <c r="M399" i="3"/>
  <c r="K399" i="3"/>
  <c r="I399" i="3"/>
  <c r="E399" i="3"/>
  <c r="C399" i="3"/>
  <c r="B399" i="3"/>
  <c r="U398" i="3"/>
  <c r="S398" i="3"/>
  <c r="Q398" i="3"/>
  <c r="O398" i="3"/>
  <c r="M398" i="3"/>
  <c r="K398" i="3"/>
  <c r="I398" i="3"/>
  <c r="E398" i="3"/>
  <c r="B398" i="3"/>
  <c r="C398" i="3" s="1"/>
  <c r="U397" i="3"/>
  <c r="S397" i="3"/>
  <c r="Q397" i="3"/>
  <c r="O397" i="3"/>
  <c r="M397" i="3"/>
  <c r="K397" i="3"/>
  <c r="I397" i="3"/>
  <c r="E397" i="3"/>
  <c r="C397" i="3"/>
  <c r="B397" i="3"/>
  <c r="U396" i="3"/>
  <c r="S396" i="3"/>
  <c r="Q396" i="3"/>
  <c r="O396" i="3"/>
  <c r="M396" i="3"/>
  <c r="K396" i="3"/>
  <c r="I396" i="3"/>
  <c r="E396" i="3"/>
  <c r="B396" i="3"/>
  <c r="C396" i="3" s="1"/>
  <c r="U395" i="3"/>
  <c r="S395" i="3"/>
  <c r="Q395" i="3"/>
  <c r="O395" i="3"/>
  <c r="M395" i="3"/>
  <c r="K395" i="3"/>
  <c r="I395" i="3"/>
  <c r="E395" i="3"/>
  <c r="B395" i="3"/>
  <c r="C395" i="3" s="1"/>
  <c r="U394" i="3"/>
  <c r="S394" i="3"/>
  <c r="Q394" i="3"/>
  <c r="O394" i="3"/>
  <c r="M394" i="3"/>
  <c r="K394" i="3"/>
  <c r="I394" i="3"/>
  <c r="E394" i="3"/>
  <c r="C394" i="3"/>
  <c r="B394" i="3"/>
  <c r="U393" i="3"/>
  <c r="S393" i="3"/>
  <c r="Q393" i="3"/>
  <c r="O393" i="3"/>
  <c r="M393" i="3"/>
  <c r="K393" i="3"/>
  <c r="I393" i="3"/>
  <c r="E393" i="3"/>
  <c r="C393" i="3"/>
  <c r="B393" i="3"/>
  <c r="U392" i="3"/>
  <c r="S392" i="3"/>
  <c r="Q392" i="3"/>
  <c r="O392" i="3"/>
  <c r="M392" i="3"/>
  <c r="K392" i="3"/>
  <c r="I392" i="3"/>
  <c r="E392" i="3"/>
  <c r="B392" i="3"/>
  <c r="C392" i="3" s="1"/>
  <c r="U391" i="3"/>
  <c r="S391" i="3"/>
  <c r="Q391" i="3"/>
  <c r="O391" i="3"/>
  <c r="M391" i="3"/>
  <c r="K391" i="3"/>
  <c r="I391" i="3"/>
  <c r="E391" i="3"/>
  <c r="B391" i="3"/>
  <c r="C391" i="3" s="1"/>
  <c r="U390" i="3"/>
  <c r="S390" i="3"/>
  <c r="Q390" i="3"/>
  <c r="O390" i="3"/>
  <c r="M390" i="3"/>
  <c r="K390" i="3"/>
  <c r="I390" i="3"/>
  <c r="E390" i="3"/>
  <c r="B390" i="3"/>
  <c r="C390" i="3" s="1"/>
  <c r="U389" i="3"/>
  <c r="S389" i="3"/>
  <c r="Q389" i="3"/>
  <c r="O389" i="3"/>
  <c r="M389" i="3"/>
  <c r="K389" i="3"/>
  <c r="I389" i="3"/>
  <c r="E389" i="3"/>
  <c r="B389" i="3"/>
  <c r="C389" i="3" s="1"/>
  <c r="U388" i="3"/>
  <c r="S388" i="3"/>
  <c r="Q388" i="3"/>
  <c r="O388" i="3"/>
  <c r="M388" i="3"/>
  <c r="K388" i="3"/>
  <c r="I388" i="3"/>
  <c r="E388" i="3"/>
  <c r="C388" i="3"/>
  <c r="B388" i="3"/>
  <c r="U387" i="3"/>
  <c r="S387" i="3"/>
  <c r="Q387" i="3"/>
  <c r="O387" i="3"/>
  <c r="M387" i="3"/>
  <c r="K387" i="3"/>
  <c r="I387" i="3"/>
  <c r="E387" i="3"/>
  <c r="C387" i="3"/>
  <c r="B387" i="3"/>
  <c r="U386" i="3"/>
  <c r="S386" i="3"/>
  <c r="Q386" i="3"/>
  <c r="O386" i="3"/>
  <c r="M386" i="3"/>
  <c r="K386" i="3"/>
  <c r="I386" i="3"/>
  <c r="E386" i="3"/>
  <c r="C386" i="3"/>
  <c r="B386" i="3"/>
  <c r="U385" i="3"/>
  <c r="S385" i="3"/>
  <c r="Q385" i="3"/>
  <c r="O385" i="3"/>
  <c r="M385" i="3"/>
  <c r="K385" i="3"/>
  <c r="I385" i="3"/>
  <c r="E385" i="3"/>
  <c r="B385" i="3"/>
  <c r="C385" i="3" s="1"/>
  <c r="U384" i="3"/>
  <c r="S384" i="3"/>
  <c r="Q384" i="3"/>
  <c r="O384" i="3"/>
  <c r="M384" i="3"/>
  <c r="K384" i="3"/>
  <c r="I384" i="3"/>
  <c r="E384" i="3"/>
  <c r="C384" i="3"/>
  <c r="B384" i="3"/>
  <c r="U383" i="3"/>
  <c r="S383" i="3"/>
  <c r="Q383" i="3"/>
  <c r="O383" i="3"/>
  <c r="M383" i="3"/>
  <c r="K383" i="3"/>
  <c r="I383" i="3"/>
  <c r="E383" i="3"/>
  <c r="B383" i="3"/>
  <c r="C383" i="3" s="1"/>
  <c r="U382" i="3"/>
  <c r="S382" i="3"/>
  <c r="Q382" i="3"/>
  <c r="O382" i="3"/>
  <c r="M382" i="3"/>
  <c r="K382" i="3"/>
  <c r="I382" i="3"/>
  <c r="E382" i="3"/>
  <c r="C382" i="3"/>
  <c r="B382" i="3"/>
  <c r="U381" i="3"/>
  <c r="S381" i="3"/>
  <c r="Q381" i="3"/>
  <c r="O381" i="3"/>
  <c r="M381" i="3"/>
  <c r="K381" i="3"/>
  <c r="I381" i="3"/>
  <c r="E381" i="3"/>
  <c r="C381" i="3"/>
  <c r="B381" i="3"/>
  <c r="U380" i="3"/>
  <c r="S380" i="3"/>
  <c r="Q380" i="3"/>
  <c r="O380" i="3"/>
  <c r="M380" i="3"/>
  <c r="K380" i="3"/>
  <c r="I380" i="3"/>
  <c r="E380" i="3"/>
  <c r="B380" i="3"/>
  <c r="C380" i="3" s="1"/>
  <c r="U379" i="3"/>
  <c r="S379" i="3"/>
  <c r="Q379" i="3"/>
  <c r="O379" i="3"/>
  <c r="M379" i="3"/>
  <c r="K379" i="3"/>
  <c r="I379" i="3"/>
  <c r="E379" i="3"/>
  <c r="B379" i="3"/>
  <c r="C379" i="3" s="1"/>
  <c r="U378" i="3"/>
  <c r="S378" i="3"/>
  <c r="Q378" i="3"/>
  <c r="O378" i="3"/>
  <c r="M378" i="3"/>
  <c r="K378" i="3"/>
  <c r="I378" i="3"/>
  <c r="E378" i="3"/>
  <c r="B378" i="3"/>
  <c r="C378" i="3" s="1"/>
  <c r="U377" i="3"/>
  <c r="S377" i="3"/>
  <c r="Q377" i="3"/>
  <c r="O377" i="3"/>
  <c r="M377" i="3"/>
  <c r="K377" i="3"/>
  <c r="I377" i="3"/>
  <c r="E377" i="3"/>
  <c r="B377" i="3"/>
  <c r="C377" i="3" s="1"/>
  <c r="U376" i="3"/>
  <c r="S376" i="3"/>
  <c r="Q376" i="3"/>
  <c r="O376" i="3"/>
  <c r="M376" i="3"/>
  <c r="K376" i="3"/>
  <c r="I376" i="3"/>
  <c r="E376" i="3"/>
  <c r="C376" i="3"/>
  <c r="B376" i="3"/>
  <c r="U375" i="3"/>
  <c r="S375" i="3"/>
  <c r="Q375" i="3"/>
  <c r="O375" i="3"/>
  <c r="M375" i="3"/>
  <c r="K375" i="3"/>
  <c r="I375" i="3"/>
  <c r="E375" i="3"/>
  <c r="C375" i="3"/>
  <c r="B375" i="3"/>
  <c r="U374" i="3"/>
  <c r="S374" i="3"/>
  <c r="Q374" i="3"/>
  <c r="O374" i="3"/>
  <c r="M374" i="3"/>
  <c r="K374" i="3"/>
  <c r="I374" i="3"/>
  <c r="E374" i="3"/>
  <c r="B374" i="3"/>
  <c r="C374" i="3" s="1"/>
  <c r="U373" i="3"/>
  <c r="S373" i="3"/>
  <c r="Q373" i="3"/>
  <c r="O373" i="3"/>
  <c r="M373" i="3"/>
  <c r="K373" i="3"/>
  <c r="I373" i="3"/>
  <c r="E373" i="3"/>
  <c r="C373" i="3"/>
  <c r="B373" i="3"/>
  <c r="U372" i="3"/>
  <c r="S372" i="3"/>
  <c r="Q372" i="3"/>
  <c r="O372" i="3"/>
  <c r="M372" i="3"/>
  <c r="K372" i="3"/>
  <c r="I372" i="3"/>
  <c r="E372" i="3"/>
  <c r="B372" i="3"/>
  <c r="C372" i="3" s="1"/>
  <c r="U371" i="3"/>
  <c r="S371" i="3"/>
  <c r="Q371" i="3"/>
  <c r="O371" i="3"/>
  <c r="M371" i="3"/>
  <c r="K371" i="3"/>
  <c r="I371" i="3"/>
  <c r="E371" i="3"/>
  <c r="B371" i="3"/>
  <c r="C371" i="3" s="1"/>
  <c r="U370" i="3"/>
  <c r="S370" i="3"/>
  <c r="Q370" i="3"/>
  <c r="O370" i="3"/>
  <c r="M370" i="3"/>
  <c r="K370" i="3"/>
  <c r="I370" i="3"/>
  <c r="E370" i="3"/>
  <c r="C370" i="3"/>
  <c r="B370" i="3"/>
  <c r="U369" i="3"/>
  <c r="S369" i="3"/>
  <c r="Q369" i="3"/>
  <c r="O369" i="3"/>
  <c r="M369" i="3"/>
  <c r="K369" i="3"/>
  <c r="I369" i="3"/>
  <c r="E369" i="3"/>
  <c r="C369" i="3"/>
  <c r="B369" i="3"/>
  <c r="U368" i="3"/>
  <c r="S368" i="3"/>
  <c r="Q368" i="3"/>
  <c r="O368" i="3"/>
  <c r="M368" i="3"/>
  <c r="K368" i="3"/>
  <c r="I368" i="3"/>
  <c r="E368" i="3"/>
  <c r="B368" i="3"/>
  <c r="C368" i="3" s="1"/>
  <c r="U367" i="3"/>
  <c r="S367" i="3"/>
  <c r="Q367" i="3"/>
  <c r="O367" i="3"/>
  <c r="M367" i="3"/>
  <c r="K367" i="3"/>
  <c r="I367" i="3"/>
  <c r="E367" i="3"/>
  <c r="B367" i="3"/>
  <c r="C367" i="3" s="1"/>
  <c r="U366" i="3"/>
  <c r="S366" i="3"/>
  <c r="Q366" i="3"/>
  <c r="O366" i="3"/>
  <c r="M366" i="3"/>
  <c r="K366" i="3"/>
  <c r="I366" i="3"/>
  <c r="E366" i="3"/>
  <c r="B366" i="3"/>
  <c r="C366" i="3" s="1"/>
  <c r="U365" i="3"/>
  <c r="S365" i="3"/>
  <c r="Q365" i="3"/>
  <c r="O365" i="3"/>
  <c r="M365" i="3"/>
  <c r="K365" i="3"/>
  <c r="I365" i="3"/>
  <c r="E365" i="3"/>
  <c r="B365" i="3"/>
  <c r="C365" i="3" s="1"/>
  <c r="U364" i="3"/>
  <c r="S364" i="3"/>
  <c r="Q364" i="3"/>
  <c r="O364" i="3"/>
  <c r="M364" i="3"/>
  <c r="K364" i="3"/>
  <c r="I364" i="3"/>
  <c r="E364" i="3"/>
  <c r="C364" i="3"/>
  <c r="B364" i="3"/>
  <c r="U363" i="3"/>
  <c r="S363" i="3"/>
  <c r="Q363" i="3"/>
  <c r="O363" i="3"/>
  <c r="M363" i="3"/>
  <c r="K363" i="3"/>
  <c r="I363" i="3"/>
  <c r="E363" i="3"/>
  <c r="C363" i="3"/>
  <c r="B363" i="3"/>
  <c r="U362" i="3"/>
  <c r="S362" i="3"/>
  <c r="Q362" i="3"/>
  <c r="O362" i="3"/>
  <c r="M362" i="3"/>
  <c r="K362" i="3"/>
  <c r="I362" i="3"/>
  <c r="E362" i="3"/>
  <c r="C362" i="3"/>
  <c r="B362" i="3"/>
  <c r="U361" i="3"/>
  <c r="S361" i="3"/>
  <c r="Q361" i="3"/>
  <c r="O361" i="3"/>
  <c r="M361" i="3"/>
  <c r="K361" i="3"/>
  <c r="I361" i="3"/>
  <c r="E361" i="3"/>
  <c r="B361" i="3"/>
  <c r="C361" i="3" s="1"/>
  <c r="U360" i="3"/>
  <c r="S360" i="3"/>
  <c r="Q360" i="3"/>
  <c r="O360" i="3"/>
  <c r="M360" i="3"/>
  <c r="K360" i="3"/>
  <c r="I360" i="3"/>
  <c r="E360" i="3"/>
  <c r="B360" i="3"/>
  <c r="C360" i="3" s="1"/>
  <c r="U359" i="3"/>
  <c r="S359" i="3"/>
  <c r="Q359" i="3"/>
  <c r="O359" i="3"/>
  <c r="M359" i="3"/>
  <c r="K359" i="3"/>
  <c r="I359" i="3"/>
  <c r="E359" i="3"/>
  <c r="B359" i="3"/>
  <c r="C359" i="3" s="1"/>
  <c r="U358" i="3"/>
  <c r="S358" i="3"/>
  <c r="Q358" i="3"/>
  <c r="O358" i="3"/>
  <c r="M358" i="3"/>
  <c r="K358" i="3"/>
  <c r="I358" i="3"/>
  <c r="E358" i="3"/>
  <c r="C358" i="3"/>
  <c r="B358" i="3"/>
  <c r="U357" i="3"/>
  <c r="S357" i="3"/>
  <c r="Q357" i="3"/>
  <c r="O357" i="3"/>
  <c r="M357" i="3"/>
  <c r="K357" i="3"/>
  <c r="I357" i="3"/>
  <c r="E357" i="3"/>
  <c r="C357" i="3"/>
  <c r="B357" i="3"/>
  <c r="U356" i="3"/>
  <c r="S356" i="3"/>
  <c r="Q356" i="3"/>
  <c r="O356" i="3"/>
  <c r="M356" i="3"/>
  <c r="K356" i="3"/>
  <c r="I356" i="3"/>
  <c r="E356" i="3"/>
  <c r="B356" i="3"/>
  <c r="C356" i="3" s="1"/>
  <c r="U355" i="3"/>
  <c r="S355" i="3"/>
  <c r="Q355" i="3"/>
  <c r="O355" i="3"/>
  <c r="M355" i="3"/>
  <c r="K355" i="3"/>
  <c r="I355" i="3"/>
  <c r="E355" i="3"/>
  <c r="B355" i="3"/>
  <c r="C355" i="3" s="1"/>
  <c r="U354" i="3"/>
  <c r="S354" i="3"/>
  <c r="Q354" i="3"/>
  <c r="O354" i="3"/>
  <c r="M354" i="3"/>
  <c r="K354" i="3"/>
  <c r="I354" i="3"/>
  <c r="E354" i="3"/>
  <c r="B354" i="3"/>
  <c r="C354" i="3" s="1"/>
  <c r="U353" i="3"/>
  <c r="S353" i="3"/>
  <c r="Q353" i="3"/>
  <c r="O353" i="3"/>
  <c r="M353" i="3"/>
  <c r="K353" i="3"/>
  <c r="I353" i="3"/>
  <c r="E353" i="3"/>
  <c r="B353" i="3"/>
  <c r="C353" i="3" s="1"/>
  <c r="U352" i="3"/>
  <c r="S352" i="3"/>
  <c r="Q352" i="3"/>
  <c r="O352" i="3"/>
  <c r="M352" i="3"/>
  <c r="K352" i="3"/>
  <c r="I352" i="3"/>
  <c r="E352" i="3"/>
  <c r="C352" i="3"/>
  <c r="B352" i="3"/>
  <c r="U351" i="3"/>
  <c r="S351" i="3"/>
  <c r="Q351" i="3"/>
  <c r="O351" i="3"/>
  <c r="M351" i="3"/>
  <c r="K351" i="3"/>
  <c r="I351" i="3"/>
  <c r="E351" i="3"/>
  <c r="C351" i="3"/>
  <c r="B351" i="3"/>
  <c r="U350" i="3"/>
  <c r="S350" i="3"/>
  <c r="Q350" i="3"/>
  <c r="O350" i="3"/>
  <c r="M350" i="3"/>
  <c r="K350" i="3"/>
  <c r="I350" i="3"/>
  <c r="E350" i="3"/>
  <c r="B350" i="3"/>
  <c r="C350" i="3" s="1"/>
  <c r="U349" i="3"/>
  <c r="S349" i="3"/>
  <c r="Q349" i="3"/>
  <c r="O349" i="3"/>
  <c r="M349" i="3"/>
  <c r="K349" i="3"/>
  <c r="I349" i="3"/>
  <c r="E349" i="3"/>
  <c r="B349" i="3"/>
  <c r="C349" i="3" s="1"/>
  <c r="U348" i="3"/>
  <c r="S348" i="3"/>
  <c r="Q348" i="3"/>
  <c r="O348" i="3"/>
  <c r="M348" i="3"/>
  <c r="K348" i="3"/>
  <c r="I348" i="3"/>
  <c r="E348" i="3"/>
  <c r="B348" i="3"/>
  <c r="C348" i="3" s="1"/>
  <c r="U347" i="3"/>
  <c r="S347" i="3"/>
  <c r="Q347" i="3"/>
  <c r="O347" i="3"/>
  <c r="M347" i="3"/>
  <c r="K347" i="3"/>
  <c r="I347" i="3"/>
  <c r="E347" i="3"/>
  <c r="B347" i="3"/>
  <c r="C347" i="3" s="1"/>
  <c r="U346" i="3"/>
  <c r="S346" i="3"/>
  <c r="Q346" i="3"/>
  <c r="O346" i="3"/>
  <c r="M346" i="3"/>
  <c r="K346" i="3"/>
  <c r="I346" i="3"/>
  <c r="E346" i="3"/>
  <c r="C346" i="3"/>
  <c r="B346" i="3"/>
  <c r="U345" i="3"/>
  <c r="S345" i="3"/>
  <c r="Q345" i="3"/>
  <c r="O345" i="3"/>
  <c r="M345" i="3"/>
  <c r="K345" i="3"/>
  <c r="I345" i="3"/>
  <c r="E345" i="3"/>
  <c r="C345" i="3"/>
  <c r="B345" i="3"/>
  <c r="U344" i="3"/>
  <c r="S344" i="3"/>
  <c r="Q344" i="3"/>
  <c r="O344" i="3"/>
  <c r="M344" i="3"/>
  <c r="K344" i="3"/>
  <c r="I344" i="3"/>
  <c r="E344" i="3"/>
  <c r="B344" i="3"/>
  <c r="C344" i="3" s="1"/>
  <c r="U343" i="3"/>
  <c r="S343" i="3"/>
  <c r="Q343" i="3"/>
  <c r="O343" i="3"/>
  <c r="M343" i="3"/>
  <c r="K343" i="3"/>
  <c r="I343" i="3"/>
  <c r="E343" i="3"/>
  <c r="B343" i="3"/>
  <c r="C343" i="3" s="1"/>
  <c r="U342" i="3"/>
  <c r="S342" i="3"/>
  <c r="Q342" i="3"/>
  <c r="O342" i="3"/>
  <c r="M342" i="3"/>
  <c r="K342" i="3"/>
  <c r="I342" i="3"/>
  <c r="E342" i="3"/>
  <c r="B342" i="3"/>
  <c r="C342" i="3" s="1"/>
  <c r="U341" i="3"/>
  <c r="S341" i="3"/>
  <c r="Q341" i="3"/>
  <c r="O341" i="3"/>
  <c r="M341" i="3"/>
  <c r="K341" i="3"/>
  <c r="I341" i="3"/>
  <c r="E341" i="3"/>
  <c r="B341" i="3"/>
  <c r="C341" i="3" s="1"/>
  <c r="U340" i="3"/>
  <c r="S340" i="3"/>
  <c r="Q340" i="3"/>
  <c r="O340" i="3"/>
  <c r="M340" i="3"/>
  <c r="K340" i="3"/>
  <c r="I340" i="3"/>
  <c r="E340" i="3"/>
  <c r="C340" i="3"/>
  <c r="B340" i="3"/>
  <c r="U339" i="3"/>
  <c r="S339" i="3"/>
  <c r="Q339" i="3"/>
  <c r="O339" i="3"/>
  <c r="M339" i="3"/>
  <c r="K339" i="3"/>
  <c r="I339" i="3"/>
  <c r="E339" i="3"/>
  <c r="C339" i="3"/>
  <c r="B339" i="3"/>
  <c r="U338" i="3"/>
  <c r="S338" i="3"/>
  <c r="Q338" i="3"/>
  <c r="O338" i="3"/>
  <c r="M338" i="3"/>
  <c r="K338" i="3"/>
  <c r="I338" i="3"/>
  <c r="E338" i="3"/>
  <c r="B338" i="3"/>
  <c r="C338" i="3" s="1"/>
  <c r="U337" i="3"/>
  <c r="S337" i="3"/>
  <c r="Q337" i="3"/>
  <c r="O337" i="3"/>
  <c r="M337" i="3"/>
  <c r="K337" i="3"/>
  <c r="I337" i="3"/>
  <c r="E337" i="3"/>
  <c r="B337" i="3"/>
  <c r="C337" i="3" s="1"/>
  <c r="U336" i="3"/>
  <c r="S336" i="3"/>
  <c r="Q336" i="3"/>
  <c r="O336" i="3"/>
  <c r="M336" i="3"/>
  <c r="K336" i="3"/>
  <c r="I336" i="3"/>
  <c r="E336" i="3"/>
  <c r="C336" i="3"/>
  <c r="B336" i="3"/>
  <c r="U335" i="3"/>
  <c r="S335" i="3"/>
  <c r="Q335" i="3"/>
  <c r="O335" i="3"/>
  <c r="M335" i="3"/>
  <c r="K335" i="3"/>
  <c r="I335" i="3"/>
  <c r="E335" i="3"/>
  <c r="B335" i="3"/>
  <c r="C335" i="3" s="1"/>
  <c r="U334" i="3"/>
  <c r="S334" i="3"/>
  <c r="Q334" i="3"/>
  <c r="O334" i="3"/>
  <c r="M334" i="3"/>
  <c r="K334" i="3"/>
  <c r="I334" i="3"/>
  <c r="E334" i="3"/>
  <c r="C334" i="3"/>
  <c r="B334" i="3"/>
  <c r="U333" i="3"/>
  <c r="S333" i="3"/>
  <c r="Q333" i="3"/>
  <c r="O333" i="3"/>
  <c r="M333" i="3"/>
  <c r="K333" i="3"/>
  <c r="I333" i="3"/>
  <c r="E333" i="3"/>
  <c r="C333" i="3"/>
  <c r="B333" i="3"/>
  <c r="U332" i="3"/>
  <c r="S332" i="3"/>
  <c r="Q332" i="3"/>
  <c r="O332" i="3"/>
  <c r="M332" i="3"/>
  <c r="K332" i="3"/>
  <c r="I332" i="3"/>
  <c r="E332" i="3"/>
  <c r="B332" i="3"/>
  <c r="C332" i="3" s="1"/>
  <c r="U331" i="3"/>
  <c r="S331" i="3"/>
  <c r="Q331" i="3"/>
  <c r="O331" i="3"/>
  <c r="M331" i="3"/>
  <c r="K331" i="3"/>
  <c r="I331" i="3"/>
  <c r="E331" i="3"/>
  <c r="B331" i="3"/>
  <c r="C331" i="3" s="1"/>
  <c r="U330" i="3"/>
  <c r="S330" i="3"/>
  <c r="Q330" i="3"/>
  <c r="O330" i="3"/>
  <c r="M330" i="3"/>
  <c r="K330" i="3"/>
  <c r="I330" i="3"/>
  <c r="E330" i="3"/>
  <c r="B330" i="3"/>
  <c r="C330" i="3" s="1"/>
  <c r="U329" i="3"/>
  <c r="S329" i="3"/>
  <c r="Q329" i="3"/>
  <c r="O329" i="3"/>
  <c r="M329" i="3"/>
  <c r="K329" i="3"/>
  <c r="I329" i="3"/>
  <c r="E329" i="3"/>
  <c r="B329" i="3"/>
  <c r="C329" i="3" s="1"/>
  <c r="U328" i="3"/>
  <c r="S328" i="3"/>
  <c r="Q328" i="3"/>
  <c r="O328" i="3"/>
  <c r="M328" i="3"/>
  <c r="K328" i="3"/>
  <c r="I328" i="3"/>
  <c r="E328" i="3"/>
  <c r="C328" i="3"/>
  <c r="B328" i="3"/>
  <c r="U327" i="3"/>
  <c r="S327" i="3"/>
  <c r="Q327" i="3"/>
  <c r="O327" i="3"/>
  <c r="M327" i="3"/>
  <c r="K327" i="3"/>
  <c r="I327" i="3"/>
  <c r="E327" i="3"/>
  <c r="C327" i="3"/>
  <c r="B327" i="3"/>
  <c r="U326" i="3"/>
  <c r="S326" i="3"/>
  <c r="Q326" i="3"/>
  <c r="O326" i="3"/>
  <c r="M326" i="3"/>
  <c r="K326" i="3"/>
  <c r="I326" i="3"/>
  <c r="E326" i="3"/>
  <c r="B326" i="3"/>
  <c r="C326" i="3" s="1"/>
  <c r="U325" i="3"/>
  <c r="S325" i="3"/>
  <c r="Q325" i="3"/>
  <c r="O325" i="3"/>
  <c r="M325" i="3"/>
  <c r="K325" i="3"/>
  <c r="I325" i="3"/>
  <c r="E325" i="3"/>
  <c r="C325" i="3"/>
  <c r="B325" i="3"/>
  <c r="U324" i="3"/>
  <c r="S324" i="3"/>
  <c r="Q324" i="3"/>
  <c r="O324" i="3"/>
  <c r="M324" i="3"/>
  <c r="K324" i="3"/>
  <c r="I324" i="3"/>
  <c r="E324" i="3"/>
  <c r="B324" i="3"/>
  <c r="C324" i="3" s="1"/>
  <c r="U323" i="3"/>
  <c r="S323" i="3"/>
  <c r="Q323" i="3"/>
  <c r="O323" i="3"/>
  <c r="M323" i="3"/>
  <c r="K323" i="3"/>
  <c r="I323" i="3"/>
  <c r="E323" i="3"/>
  <c r="B323" i="3"/>
  <c r="C323" i="3" s="1"/>
  <c r="U322" i="3"/>
  <c r="S322" i="3"/>
  <c r="Q322" i="3"/>
  <c r="O322" i="3"/>
  <c r="M322" i="3"/>
  <c r="K322" i="3"/>
  <c r="I322" i="3"/>
  <c r="E322" i="3"/>
  <c r="C322" i="3"/>
  <c r="B322" i="3"/>
  <c r="U321" i="3"/>
  <c r="S321" i="3"/>
  <c r="Q321" i="3"/>
  <c r="O321" i="3"/>
  <c r="M321" i="3"/>
  <c r="K321" i="3"/>
  <c r="I321" i="3"/>
  <c r="E321" i="3"/>
  <c r="C321" i="3"/>
  <c r="B321" i="3"/>
  <c r="U320" i="3"/>
  <c r="S320" i="3"/>
  <c r="Q320" i="3"/>
  <c r="O320" i="3"/>
  <c r="M320" i="3"/>
  <c r="K320" i="3"/>
  <c r="I320" i="3"/>
  <c r="E320" i="3"/>
  <c r="B320" i="3"/>
  <c r="C320" i="3" s="1"/>
  <c r="U319" i="3"/>
  <c r="S319" i="3"/>
  <c r="Q319" i="3"/>
  <c r="O319" i="3"/>
  <c r="M319" i="3"/>
  <c r="K319" i="3"/>
  <c r="I319" i="3"/>
  <c r="E319" i="3"/>
  <c r="B319" i="3"/>
  <c r="C319" i="3" s="1"/>
  <c r="U318" i="3"/>
  <c r="S318" i="3"/>
  <c r="Q318" i="3"/>
  <c r="O318" i="3"/>
  <c r="M318" i="3"/>
  <c r="K318" i="3"/>
  <c r="I318" i="3"/>
  <c r="E318" i="3"/>
  <c r="B318" i="3"/>
  <c r="C318" i="3" s="1"/>
  <c r="U317" i="3"/>
  <c r="S317" i="3"/>
  <c r="Q317" i="3"/>
  <c r="O317" i="3"/>
  <c r="M317" i="3"/>
  <c r="K317" i="3"/>
  <c r="I317" i="3"/>
  <c r="E317" i="3"/>
  <c r="B317" i="3"/>
  <c r="C317" i="3" s="1"/>
  <c r="U316" i="3"/>
  <c r="S316" i="3"/>
  <c r="Q316" i="3"/>
  <c r="O316" i="3"/>
  <c r="M316" i="3"/>
  <c r="K316" i="3"/>
  <c r="I316" i="3"/>
  <c r="E316" i="3"/>
  <c r="C316" i="3"/>
  <c r="B316" i="3"/>
  <c r="U315" i="3"/>
  <c r="S315" i="3"/>
  <c r="Q315" i="3"/>
  <c r="O315" i="3"/>
  <c r="M315" i="3"/>
  <c r="K315" i="3"/>
  <c r="I315" i="3"/>
  <c r="E315" i="3"/>
  <c r="C315" i="3"/>
  <c r="B315" i="3"/>
  <c r="U314" i="3"/>
  <c r="S314" i="3"/>
  <c r="Q314" i="3"/>
  <c r="O314" i="3"/>
  <c r="M314" i="3"/>
  <c r="K314" i="3"/>
  <c r="I314" i="3"/>
  <c r="E314" i="3"/>
  <c r="C314" i="3"/>
  <c r="B314" i="3"/>
  <c r="U313" i="3"/>
  <c r="S313" i="3"/>
  <c r="Q313" i="3"/>
  <c r="O313" i="3"/>
  <c r="M313" i="3"/>
  <c r="K313" i="3"/>
  <c r="I313" i="3"/>
  <c r="E313" i="3"/>
  <c r="B313" i="3"/>
  <c r="C313" i="3" s="1"/>
  <c r="U312" i="3"/>
  <c r="S312" i="3"/>
  <c r="Q312" i="3"/>
  <c r="O312" i="3"/>
  <c r="M312" i="3"/>
  <c r="K312" i="3"/>
  <c r="I312" i="3"/>
  <c r="E312" i="3"/>
  <c r="C312" i="3"/>
  <c r="B312" i="3"/>
  <c r="U311" i="3"/>
  <c r="S311" i="3"/>
  <c r="Q311" i="3"/>
  <c r="O311" i="3"/>
  <c r="M311" i="3"/>
  <c r="K311" i="3"/>
  <c r="I311" i="3"/>
  <c r="E311" i="3"/>
  <c r="B311" i="3"/>
  <c r="C311" i="3" s="1"/>
  <c r="U310" i="3"/>
  <c r="S310" i="3"/>
  <c r="Q310" i="3"/>
  <c r="O310" i="3"/>
  <c r="M310" i="3"/>
  <c r="K310" i="3"/>
  <c r="I310" i="3"/>
  <c r="E310" i="3"/>
  <c r="C310" i="3"/>
  <c r="B310" i="3"/>
  <c r="U309" i="3"/>
  <c r="S309" i="3"/>
  <c r="Q309" i="3"/>
  <c r="O309" i="3"/>
  <c r="M309" i="3"/>
  <c r="K309" i="3"/>
  <c r="I309" i="3"/>
  <c r="E309" i="3"/>
  <c r="C309" i="3"/>
  <c r="B309" i="3"/>
  <c r="U308" i="3"/>
  <c r="S308" i="3"/>
  <c r="Q308" i="3"/>
  <c r="O308" i="3"/>
  <c r="M308" i="3"/>
  <c r="K308" i="3"/>
  <c r="I308" i="3"/>
  <c r="E308" i="3"/>
  <c r="B308" i="3"/>
  <c r="C308" i="3" s="1"/>
  <c r="U307" i="3"/>
  <c r="S307" i="3"/>
  <c r="Q307" i="3"/>
  <c r="O307" i="3"/>
  <c r="M307" i="3"/>
  <c r="K307" i="3"/>
  <c r="I307" i="3"/>
  <c r="E307" i="3"/>
  <c r="B307" i="3"/>
  <c r="C307" i="3" s="1"/>
  <c r="U306" i="3"/>
  <c r="S306" i="3"/>
  <c r="Q306" i="3"/>
  <c r="O306" i="3"/>
  <c r="M306" i="3"/>
  <c r="K306" i="3"/>
  <c r="I306" i="3"/>
  <c r="E306" i="3"/>
  <c r="C306" i="3"/>
  <c r="B306" i="3"/>
  <c r="U305" i="3"/>
  <c r="S305" i="3"/>
  <c r="Q305" i="3"/>
  <c r="O305" i="3"/>
  <c r="M305" i="3"/>
  <c r="K305" i="3"/>
  <c r="I305" i="3"/>
  <c r="E305" i="3"/>
  <c r="B305" i="3"/>
  <c r="C305" i="3" s="1"/>
  <c r="U304" i="3"/>
  <c r="S304" i="3"/>
  <c r="Q304" i="3"/>
  <c r="O304" i="3"/>
  <c r="M304" i="3"/>
  <c r="K304" i="3"/>
  <c r="I304" i="3"/>
  <c r="E304" i="3"/>
  <c r="C304" i="3"/>
  <c r="B304" i="3"/>
  <c r="U303" i="3"/>
  <c r="S303" i="3"/>
  <c r="Q303" i="3"/>
  <c r="O303" i="3"/>
  <c r="M303" i="3"/>
  <c r="K303" i="3"/>
  <c r="I303" i="3"/>
  <c r="E303" i="3"/>
  <c r="C303" i="3"/>
  <c r="B303" i="3"/>
  <c r="U302" i="3"/>
  <c r="S302" i="3"/>
  <c r="Q302" i="3"/>
  <c r="O302" i="3"/>
  <c r="M302" i="3"/>
  <c r="K302" i="3"/>
  <c r="I302" i="3"/>
  <c r="E302" i="3"/>
  <c r="B302" i="3"/>
  <c r="C302" i="3" s="1"/>
  <c r="U301" i="3"/>
  <c r="S301" i="3"/>
  <c r="Q301" i="3"/>
  <c r="O301" i="3"/>
  <c r="M301" i="3"/>
  <c r="K301" i="3"/>
  <c r="I301" i="3"/>
  <c r="E301" i="3"/>
  <c r="C301" i="3"/>
  <c r="B301" i="3"/>
  <c r="U300" i="3"/>
  <c r="S300" i="3"/>
  <c r="Q300" i="3"/>
  <c r="O300" i="3"/>
  <c r="M300" i="3"/>
  <c r="K300" i="3"/>
  <c r="I300" i="3"/>
  <c r="E300" i="3"/>
  <c r="B300" i="3"/>
  <c r="C300" i="3" s="1"/>
  <c r="U299" i="3"/>
  <c r="S299" i="3"/>
  <c r="Q299" i="3"/>
  <c r="O299" i="3"/>
  <c r="M299" i="3"/>
  <c r="K299" i="3"/>
  <c r="I299" i="3"/>
  <c r="E299" i="3"/>
  <c r="B299" i="3"/>
  <c r="C299" i="3" s="1"/>
  <c r="U298" i="3"/>
  <c r="S298" i="3"/>
  <c r="Q298" i="3"/>
  <c r="O298" i="3"/>
  <c r="M298" i="3"/>
  <c r="K298" i="3"/>
  <c r="I298" i="3"/>
  <c r="E298" i="3"/>
  <c r="C298" i="3"/>
  <c r="B298" i="3"/>
  <c r="U297" i="3"/>
  <c r="S297" i="3"/>
  <c r="Q297" i="3"/>
  <c r="O297" i="3"/>
  <c r="M297" i="3"/>
  <c r="K297" i="3"/>
  <c r="I297" i="3"/>
  <c r="E297" i="3"/>
  <c r="C297" i="3"/>
  <c r="B297" i="3"/>
  <c r="U296" i="3"/>
  <c r="S296" i="3"/>
  <c r="Q296" i="3"/>
  <c r="O296" i="3"/>
  <c r="M296" i="3"/>
  <c r="K296" i="3"/>
  <c r="I296" i="3"/>
  <c r="E296" i="3"/>
  <c r="B296" i="3"/>
  <c r="C296" i="3" s="1"/>
  <c r="U295" i="3"/>
  <c r="S295" i="3"/>
  <c r="Q295" i="3"/>
  <c r="O295" i="3"/>
  <c r="M295" i="3"/>
  <c r="K295" i="3"/>
  <c r="I295" i="3"/>
  <c r="E295" i="3"/>
  <c r="B295" i="3"/>
  <c r="C295" i="3" s="1"/>
  <c r="U294" i="3"/>
  <c r="S294" i="3"/>
  <c r="Q294" i="3"/>
  <c r="O294" i="3"/>
  <c r="M294" i="3"/>
  <c r="K294" i="3"/>
  <c r="I294" i="3"/>
  <c r="E294" i="3"/>
  <c r="C294" i="3"/>
  <c r="B294" i="3"/>
  <c r="U293" i="3"/>
  <c r="S293" i="3"/>
  <c r="Q293" i="3"/>
  <c r="O293" i="3"/>
  <c r="M293" i="3"/>
  <c r="K293" i="3"/>
  <c r="I293" i="3"/>
  <c r="E293" i="3"/>
  <c r="B293" i="3"/>
  <c r="C293" i="3" s="1"/>
  <c r="U292" i="3"/>
  <c r="S292" i="3"/>
  <c r="Q292" i="3"/>
  <c r="O292" i="3"/>
  <c r="M292" i="3"/>
  <c r="K292" i="3"/>
  <c r="I292" i="3"/>
  <c r="E292" i="3"/>
  <c r="C292" i="3"/>
  <c r="B292" i="3"/>
  <c r="U291" i="3"/>
  <c r="S291" i="3"/>
  <c r="Q291" i="3"/>
  <c r="O291" i="3"/>
  <c r="M291" i="3"/>
  <c r="K291" i="3"/>
  <c r="I291" i="3"/>
  <c r="E291" i="3"/>
  <c r="C291" i="3"/>
  <c r="B291" i="3"/>
  <c r="U290" i="3"/>
  <c r="S290" i="3"/>
  <c r="Q290" i="3"/>
  <c r="O290" i="3"/>
  <c r="M290" i="3"/>
  <c r="K290" i="3"/>
  <c r="I290" i="3"/>
  <c r="E290" i="3"/>
  <c r="C290" i="3"/>
  <c r="B290" i="3"/>
  <c r="U289" i="3"/>
  <c r="S289" i="3"/>
  <c r="Q289" i="3"/>
  <c r="O289" i="3"/>
  <c r="M289" i="3"/>
  <c r="K289" i="3"/>
  <c r="I289" i="3"/>
  <c r="E289" i="3"/>
  <c r="B289" i="3"/>
  <c r="C289" i="3" s="1"/>
  <c r="U288" i="3"/>
  <c r="S288" i="3"/>
  <c r="Q288" i="3"/>
  <c r="O288" i="3"/>
  <c r="M288" i="3"/>
  <c r="K288" i="3"/>
  <c r="I288" i="3"/>
  <c r="E288" i="3"/>
  <c r="B288" i="3"/>
  <c r="C288" i="3" s="1"/>
  <c r="U287" i="3"/>
  <c r="S287" i="3"/>
  <c r="Q287" i="3"/>
  <c r="O287" i="3"/>
  <c r="M287" i="3"/>
  <c r="K287" i="3"/>
  <c r="I287" i="3"/>
  <c r="E287" i="3"/>
  <c r="B287" i="3"/>
  <c r="C287" i="3" s="1"/>
  <c r="U286" i="3"/>
  <c r="S286" i="3"/>
  <c r="Q286" i="3"/>
  <c r="O286" i="3"/>
  <c r="M286" i="3"/>
  <c r="K286" i="3"/>
  <c r="I286" i="3"/>
  <c r="E286" i="3"/>
  <c r="C286" i="3"/>
  <c r="B286" i="3"/>
  <c r="U285" i="3"/>
  <c r="S285" i="3"/>
  <c r="Q285" i="3"/>
  <c r="O285" i="3"/>
  <c r="M285" i="3"/>
  <c r="K285" i="3"/>
  <c r="I285" i="3"/>
  <c r="E285" i="3"/>
  <c r="C285" i="3"/>
  <c r="B285" i="3"/>
  <c r="U284" i="3"/>
  <c r="S284" i="3"/>
  <c r="Q284" i="3"/>
  <c r="O284" i="3"/>
  <c r="M284" i="3"/>
  <c r="K284" i="3"/>
  <c r="I284" i="3"/>
  <c r="E284" i="3"/>
  <c r="B284" i="3"/>
  <c r="C284" i="3" s="1"/>
  <c r="U283" i="3"/>
  <c r="S283" i="3"/>
  <c r="Q283" i="3"/>
  <c r="O283" i="3"/>
  <c r="M283" i="3"/>
  <c r="K283" i="3"/>
  <c r="I283" i="3"/>
  <c r="E283" i="3"/>
  <c r="B283" i="3"/>
  <c r="C283" i="3" s="1"/>
  <c r="U282" i="3"/>
  <c r="S282" i="3"/>
  <c r="Q282" i="3"/>
  <c r="O282" i="3"/>
  <c r="M282" i="3"/>
  <c r="K282" i="3"/>
  <c r="I282" i="3"/>
  <c r="E282" i="3"/>
  <c r="B282" i="3"/>
  <c r="C282" i="3" s="1"/>
  <c r="U281" i="3"/>
  <c r="S281" i="3"/>
  <c r="Q281" i="3"/>
  <c r="O281" i="3"/>
  <c r="M281" i="3"/>
  <c r="K281" i="3"/>
  <c r="I281" i="3"/>
  <c r="E281" i="3"/>
  <c r="B281" i="3"/>
  <c r="C281" i="3" s="1"/>
  <c r="U280" i="3"/>
  <c r="S280" i="3"/>
  <c r="Q280" i="3"/>
  <c r="O280" i="3"/>
  <c r="M280" i="3"/>
  <c r="K280" i="3"/>
  <c r="I280" i="3"/>
  <c r="E280" i="3"/>
  <c r="C280" i="3"/>
  <c r="B280" i="3"/>
  <c r="U279" i="3"/>
  <c r="S279" i="3"/>
  <c r="Q279" i="3"/>
  <c r="O279" i="3"/>
  <c r="M279" i="3"/>
  <c r="K279" i="3"/>
  <c r="I279" i="3"/>
  <c r="E279" i="3"/>
  <c r="C279" i="3"/>
  <c r="B279" i="3"/>
  <c r="U278" i="3"/>
  <c r="S278" i="3"/>
  <c r="Q278" i="3"/>
  <c r="O278" i="3"/>
  <c r="M278" i="3"/>
  <c r="K278" i="3"/>
  <c r="I278" i="3"/>
  <c r="E278" i="3"/>
  <c r="B278" i="3"/>
  <c r="C278" i="3" s="1"/>
  <c r="U277" i="3"/>
  <c r="S277" i="3"/>
  <c r="Q277" i="3"/>
  <c r="O277" i="3"/>
  <c r="M277" i="3"/>
  <c r="K277" i="3"/>
  <c r="I277" i="3"/>
  <c r="E277" i="3"/>
  <c r="B277" i="3"/>
  <c r="C277" i="3" s="1"/>
  <c r="U276" i="3"/>
  <c r="S276" i="3"/>
  <c r="Q276" i="3"/>
  <c r="O276" i="3"/>
  <c r="M276" i="3"/>
  <c r="K276" i="3"/>
  <c r="I276" i="3"/>
  <c r="E276" i="3"/>
  <c r="B276" i="3"/>
  <c r="C276" i="3" s="1"/>
  <c r="U275" i="3"/>
  <c r="S275" i="3"/>
  <c r="Q275" i="3"/>
  <c r="O275" i="3"/>
  <c r="M275" i="3"/>
  <c r="K275" i="3"/>
  <c r="I275" i="3"/>
  <c r="E275" i="3"/>
  <c r="B275" i="3"/>
  <c r="C275" i="3" s="1"/>
  <c r="U274" i="3"/>
  <c r="S274" i="3"/>
  <c r="Q274" i="3"/>
  <c r="O274" i="3"/>
  <c r="M274" i="3"/>
  <c r="K274" i="3"/>
  <c r="I274" i="3"/>
  <c r="E274" i="3"/>
  <c r="C274" i="3"/>
  <c r="B274" i="3"/>
  <c r="U273" i="3"/>
  <c r="S273" i="3"/>
  <c r="Q273" i="3"/>
  <c r="O273" i="3"/>
  <c r="M273" i="3"/>
  <c r="K273" i="3"/>
  <c r="I273" i="3"/>
  <c r="E273" i="3"/>
  <c r="C273" i="3"/>
  <c r="B273" i="3"/>
  <c r="U272" i="3"/>
  <c r="S272" i="3"/>
  <c r="Q272" i="3"/>
  <c r="O272" i="3"/>
  <c r="M272" i="3"/>
  <c r="K272" i="3"/>
  <c r="I272" i="3"/>
  <c r="E272" i="3"/>
  <c r="B272" i="3"/>
  <c r="C272" i="3" s="1"/>
  <c r="U271" i="3"/>
  <c r="S271" i="3"/>
  <c r="Q271" i="3"/>
  <c r="O271" i="3"/>
  <c r="M271" i="3"/>
  <c r="K271" i="3"/>
  <c r="I271" i="3"/>
  <c r="E271" i="3"/>
  <c r="B271" i="3"/>
  <c r="C271" i="3" s="1"/>
  <c r="U270" i="3"/>
  <c r="S270" i="3"/>
  <c r="Q270" i="3"/>
  <c r="O270" i="3"/>
  <c r="M270" i="3"/>
  <c r="K270" i="3"/>
  <c r="I270" i="3"/>
  <c r="E270" i="3"/>
  <c r="B270" i="3"/>
  <c r="C270" i="3" s="1"/>
  <c r="U269" i="3"/>
  <c r="S269" i="3"/>
  <c r="Q269" i="3"/>
  <c r="O269" i="3"/>
  <c r="M269" i="3"/>
  <c r="K269" i="3"/>
  <c r="I269" i="3"/>
  <c r="E269" i="3"/>
  <c r="B269" i="3"/>
  <c r="C269" i="3" s="1"/>
  <c r="U268" i="3"/>
  <c r="S268" i="3"/>
  <c r="Q268" i="3"/>
  <c r="O268" i="3"/>
  <c r="M268" i="3"/>
  <c r="K268" i="3"/>
  <c r="I268" i="3"/>
  <c r="E268" i="3"/>
  <c r="C268" i="3"/>
  <c r="B268" i="3"/>
  <c r="U267" i="3"/>
  <c r="S267" i="3"/>
  <c r="Q267" i="3"/>
  <c r="O267" i="3"/>
  <c r="M267" i="3"/>
  <c r="K267" i="3"/>
  <c r="I267" i="3"/>
  <c r="E267" i="3"/>
  <c r="C267" i="3"/>
  <c r="B267" i="3"/>
  <c r="U266" i="3"/>
  <c r="S266" i="3"/>
  <c r="Q266" i="3"/>
  <c r="O266" i="3"/>
  <c r="M266" i="3"/>
  <c r="K266" i="3"/>
  <c r="I266" i="3"/>
  <c r="E266" i="3"/>
  <c r="B266" i="3"/>
  <c r="C266" i="3" s="1"/>
  <c r="U265" i="3"/>
  <c r="S265" i="3"/>
  <c r="Q265" i="3"/>
  <c r="O265" i="3"/>
  <c r="M265" i="3"/>
  <c r="K265" i="3"/>
  <c r="I265" i="3"/>
  <c r="E265" i="3"/>
  <c r="B265" i="3"/>
  <c r="C265" i="3" s="1"/>
  <c r="U264" i="3"/>
  <c r="S264" i="3"/>
  <c r="Q264" i="3"/>
  <c r="O264" i="3"/>
  <c r="M264" i="3"/>
  <c r="K264" i="3"/>
  <c r="I264" i="3"/>
  <c r="E264" i="3"/>
  <c r="C264" i="3"/>
  <c r="B264" i="3"/>
  <c r="U263" i="3"/>
  <c r="S263" i="3"/>
  <c r="Q263" i="3"/>
  <c r="O263" i="3"/>
  <c r="M263" i="3"/>
  <c r="K263" i="3"/>
  <c r="I263" i="3"/>
  <c r="E263" i="3"/>
  <c r="B263" i="3"/>
  <c r="C263" i="3" s="1"/>
  <c r="U262" i="3"/>
  <c r="S262" i="3"/>
  <c r="Q262" i="3"/>
  <c r="O262" i="3"/>
  <c r="M262" i="3"/>
  <c r="K262" i="3"/>
  <c r="I262" i="3"/>
  <c r="E262" i="3"/>
  <c r="C262" i="3"/>
  <c r="B262" i="3"/>
  <c r="U261" i="3"/>
  <c r="S261" i="3"/>
  <c r="Q261" i="3"/>
  <c r="O261" i="3"/>
  <c r="M261" i="3"/>
  <c r="K261" i="3"/>
  <c r="I261" i="3"/>
  <c r="E261" i="3"/>
  <c r="C261" i="3"/>
  <c r="B261" i="3"/>
  <c r="U260" i="3"/>
  <c r="S260" i="3"/>
  <c r="Q260" i="3"/>
  <c r="O260" i="3"/>
  <c r="M260" i="3"/>
  <c r="K260" i="3"/>
  <c r="I260" i="3"/>
  <c r="E260" i="3"/>
  <c r="B260" i="3"/>
  <c r="C260" i="3" s="1"/>
  <c r="U259" i="3"/>
  <c r="S259" i="3"/>
  <c r="Q259" i="3"/>
  <c r="O259" i="3"/>
  <c r="M259" i="3"/>
  <c r="K259" i="3"/>
  <c r="I259" i="3"/>
  <c r="E259" i="3"/>
  <c r="B259" i="3"/>
  <c r="C259" i="3" s="1"/>
  <c r="U258" i="3"/>
  <c r="S258" i="3"/>
  <c r="Q258" i="3"/>
  <c r="O258" i="3"/>
  <c r="M258" i="3"/>
  <c r="K258" i="3"/>
  <c r="I258" i="3"/>
  <c r="E258" i="3"/>
  <c r="B258" i="3"/>
  <c r="C258" i="3" s="1"/>
  <c r="U257" i="3"/>
  <c r="S257" i="3"/>
  <c r="Q257" i="3"/>
  <c r="O257" i="3"/>
  <c r="M257" i="3"/>
  <c r="K257" i="3"/>
  <c r="I257" i="3"/>
  <c r="E257" i="3"/>
  <c r="B257" i="3"/>
  <c r="C257" i="3" s="1"/>
  <c r="U256" i="3"/>
  <c r="S256" i="3"/>
  <c r="Q256" i="3"/>
  <c r="O256" i="3"/>
  <c r="M256" i="3"/>
  <c r="K256" i="3"/>
  <c r="I256" i="3"/>
  <c r="E256" i="3"/>
  <c r="C256" i="3"/>
  <c r="B256" i="3"/>
  <c r="U255" i="3"/>
  <c r="S255" i="3"/>
  <c r="Q255" i="3"/>
  <c r="O255" i="3"/>
  <c r="M255" i="3"/>
  <c r="K255" i="3"/>
  <c r="I255" i="3"/>
  <c r="E255" i="3"/>
  <c r="C255" i="3"/>
  <c r="B255" i="3"/>
  <c r="U254" i="3"/>
  <c r="S254" i="3"/>
  <c r="Q254" i="3"/>
  <c r="O254" i="3"/>
  <c r="M254" i="3"/>
  <c r="K254" i="3"/>
  <c r="I254" i="3"/>
  <c r="E254" i="3"/>
  <c r="B254" i="3"/>
  <c r="C254" i="3" s="1"/>
  <c r="U253" i="3"/>
  <c r="S253" i="3"/>
  <c r="Q253" i="3"/>
  <c r="O253" i="3"/>
  <c r="M253" i="3"/>
  <c r="K253" i="3"/>
  <c r="I253" i="3"/>
  <c r="E253" i="3"/>
  <c r="C253" i="3"/>
  <c r="B253" i="3"/>
  <c r="U252" i="3"/>
  <c r="S252" i="3"/>
  <c r="Q252" i="3"/>
  <c r="O252" i="3"/>
  <c r="M252" i="3"/>
  <c r="K252" i="3"/>
  <c r="I252" i="3"/>
  <c r="E252" i="3"/>
  <c r="B252" i="3"/>
  <c r="C252" i="3" s="1"/>
  <c r="U251" i="3"/>
  <c r="S251" i="3"/>
  <c r="Q251" i="3"/>
  <c r="O251" i="3"/>
  <c r="M251" i="3"/>
  <c r="K251" i="3"/>
  <c r="I251" i="3"/>
  <c r="E251" i="3"/>
  <c r="B251" i="3"/>
  <c r="C251" i="3" s="1"/>
  <c r="U250" i="3"/>
  <c r="S250" i="3"/>
  <c r="Q250" i="3"/>
  <c r="O250" i="3"/>
  <c r="M250" i="3"/>
  <c r="K250" i="3"/>
  <c r="I250" i="3"/>
  <c r="E250" i="3"/>
  <c r="C250" i="3"/>
  <c r="B250" i="3"/>
  <c r="U249" i="3"/>
  <c r="S249" i="3"/>
  <c r="Q249" i="3"/>
  <c r="O249" i="3"/>
  <c r="M249" i="3"/>
  <c r="K249" i="3"/>
  <c r="I249" i="3"/>
  <c r="E249" i="3"/>
  <c r="C249" i="3"/>
  <c r="B249" i="3"/>
  <c r="U248" i="3"/>
  <c r="S248" i="3"/>
  <c r="Q248" i="3"/>
  <c r="O248" i="3"/>
  <c r="M248" i="3"/>
  <c r="K248" i="3"/>
  <c r="I248" i="3"/>
  <c r="E248" i="3"/>
  <c r="B248" i="3"/>
  <c r="C248" i="3" s="1"/>
  <c r="U247" i="3"/>
  <c r="S247" i="3"/>
  <c r="Q247" i="3"/>
  <c r="O247" i="3"/>
  <c r="M247" i="3"/>
  <c r="K247" i="3"/>
  <c r="I247" i="3"/>
  <c r="E247" i="3"/>
  <c r="B247" i="3"/>
  <c r="C247" i="3" s="1"/>
  <c r="U246" i="3"/>
  <c r="S246" i="3"/>
  <c r="Q246" i="3"/>
  <c r="O246" i="3"/>
  <c r="M246" i="3"/>
  <c r="K246" i="3"/>
  <c r="I246" i="3"/>
  <c r="E246" i="3"/>
  <c r="B246" i="3"/>
  <c r="C246" i="3" s="1"/>
  <c r="U245" i="3"/>
  <c r="S245" i="3"/>
  <c r="Q245" i="3"/>
  <c r="O245" i="3"/>
  <c r="M245" i="3"/>
  <c r="K245" i="3"/>
  <c r="I245" i="3"/>
  <c r="E245" i="3"/>
  <c r="B245" i="3"/>
  <c r="C245" i="3" s="1"/>
  <c r="U244" i="3"/>
  <c r="S244" i="3"/>
  <c r="Q244" i="3"/>
  <c r="O244" i="3"/>
  <c r="M244" i="3"/>
  <c r="K244" i="3"/>
  <c r="I244" i="3"/>
  <c r="E244" i="3"/>
  <c r="C244" i="3"/>
  <c r="B244" i="3"/>
  <c r="U243" i="3"/>
  <c r="S243" i="3"/>
  <c r="Q243" i="3"/>
  <c r="O243" i="3"/>
  <c r="M243" i="3"/>
  <c r="K243" i="3"/>
  <c r="I243" i="3"/>
  <c r="E243" i="3"/>
  <c r="C243" i="3"/>
  <c r="B243" i="3"/>
  <c r="U242" i="3"/>
  <c r="S242" i="3"/>
  <c r="Q242" i="3"/>
  <c r="O242" i="3"/>
  <c r="M242" i="3"/>
  <c r="K242" i="3"/>
  <c r="I242" i="3"/>
  <c r="E242" i="3"/>
  <c r="C242" i="3"/>
  <c r="B242" i="3"/>
  <c r="U241" i="3"/>
  <c r="S241" i="3"/>
  <c r="Q241" i="3"/>
  <c r="O241" i="3"/>
  <c r="M241" i="3"/>
  <c r="K241" i="3"/>
  <c r="I241" i="3"/>
  <c r="E241" i="3"/>
  <c r="B241" i="3"/>
  <c r="C241" i="3" s="1"/>
  <c r="U240" i="3"/>
  <c r="S240" i="3"/>
  <c r="Q240" i="3"/>
  <c r="O240" i="3"/>
  <c r="M240" i="3"/>
  <c r="K240" i="3"/>
  <c r="I240" i="3"/>
  <c r="E240" i="3"/>
  <c r="C240" i="3"/>
  <c r="B240" i="3"/>
  <c r="U239" i="3"/>
  <c r="S239" i="3"/>
  <c r="Q239" i="3"/>
  <c r="O239" i="3"/>
  <c r="M239" i="3"/>
  <c r="K239" i="3"/>
  <c r="I239" i="3"/>
  <c r="E239" i="3"/>
  <c r="B239" i="3"/>
  <c r="C239" i="3" s="1"/>
  <c r="U238" i="3"/>
  <c r="S238" i="3"/>
  <c r="Q238" i="3"/>
  <c r="O238" i="3"/>
  <c r="M238" i="3"/>
  <c r="K238" i="3"/>
  <c r="I238" i="3"/>
  <c r="E238" i="3"/>
  <c r="C238" i="3"/>
  <c r="B238" i="3"/>
  <c r="U237" i="3"/>
  <c r="S237" i="3"/>
  <c r="Q237" i="3"/>
  <c r="O237" i="3"/>
  <c r="M237" i="3"/>
  <c r="K237" i="3"/>
  <c r="I237" i="3"/>
  <c r="E237" i="3"/>
  <c r="C237" i="3"/>
  <c r="B237" i="3"/>
  <c r="U236" i="3"/>
  <c r="S236" i="3"/>
  <c r="Q236" i="3"/>
  <c r="O236" i="3"/>
  <c r="M236" i="3"/>
  <c r="K236" i="3"/>
  <c r="I236" i="3"/>
  <c r="E236" i="3"/>
  <c r="B236" i="3"/>
  <c r="C236" i="3" s="1"/>
  <c r="U235" i="3"/>
  <c r="S235" i="3"/>
  <c r="Q235" i="3"/>
  <c r="O235" i="3"/>
  <c r="M235" i="3"/>
  <c r="K235" i="3"/>
  <c r="I235" i="3"/>
  <c r="E235" i="3"/>
  <c r="B235" i="3"/>
  <c r="C235" i="3" s="1"/>
  <c r="U234" i="3"/>
  <c r="S234" i="3"/>
  <c r="Q234" i="3"/>
  <c r="O234" i="3"/>
  <c r="M234" i="3"/>
  <c r="K234" i="3"/>
  <c r="I234" i="3"/>
  <c r="E234" i="3"/>
  <c r="B234" i="3"/>
  <c r="C234" i="3" s="1"/>
  <c r="U233" i="3"/>
  <c r="S233" i="3"/>
  <c r="Q233" i="3"/>
  <c r="O233" i="3"/>
  <c r="M233" i="3"/>
  <c r="K233" i="3"/>
  <c r="I233" i="3"/>
  <c r="E233" i="3"/>
  <c r="B233" i="3"/>
  <c r="C233" i="3" s="1"/>
  <c r="U232" i="3"/>
  <c r="S232" i="3"/>
  <c r="Q232" i="3"/>
  <c r="O232" i="3"/>
  <c r="M232" i="3"/>
  <c r="K232" i="3"/>
  <c r="I232" i="3"/>
  <c r="E232" i="3"/>
  <c r="C232" i="3"/>
  <c r="B232" i="3"/>
  <c r="U231" i="3"/>
  <c r="S231" i="3"/>
  <c r="Q231" i="3"/>
  <c r="O231" i="3"/>
  <c r="M231" i="3"/>
  <c r="K231" i="3"/>
  <c r="I231" i="3"/>
  <c r="E231" i="3"/>
  <c r="C231" i="3"/>
  <c r="B231" i="3"/>
  <c r="U230" i="3"/>
  <c r="S230" i="3"/>
  <c r="Q230" i="3"/>
  <c r="O230" i="3"/>
  <c r="M230" i="3"/>
  <c r="K230" i="3"/>
  <c r="I230" i="3"/>
  <c r="E230" i="3"/>
  <c r="B230" i="3"/>
  <c r="C230" i="3" s="1"/>
  <c r="U229" i="3"/>
  <c r="S229" i="3"/>
  <c r="Q229" i="3"/>
  <c r="O229" i="3"/>
  <c r="M229" i="3"/>
  <c r="K229" i="3"/>
  <c r="I229" i="3"/>
  <c r="E229" i="3"/>
  <c r="C229" i="3"/>
  <c r="B229" i="3"/>
  <c r="U228" i="3"/>
  <c r="S228" i="3"/>
  <c r="Q228" i="3"/>
  <c r="O228" i="3"/>
  <c r="M228" i="3"/>
  <c r="K228" i="3"/>
  <c r="I228" i="3"/>
  <c r="E228" i="3"/>
  <c r="B228" i="3"/>
  <c r="C228" i="3" s="1"/>
  <c r="U227" i="3"/>
  <c r="S227" i="3"/>
  <c r="Q227" i="3"/>
  <c r="O227" i="3"/>
  <c r="M227" i="3"/>
  <c r="K227" i="3"/>
  <c r="I227" i="3"/>
  <c r="E227" i="3"/>
  <c r="B227" i="3"/>
  <c r="C227" i="3" s="1"/>
  <c r="U226" i="3"/>
  <c r="S226" i="3"/>
  <c r="Q226" i="3"/>
  <c r="O226" i="3"/>
  <c r="M226" i="3"/>
  <c r="K226" i="3"/>
  <c r="I226" i="3"/>
  <c r="E226" i="3"/>
  <c r="C226" i="3"/>
  <c r="B226" i="3"/>
  <c r="U225" i="3"/>
  <c r="S225" i="3"/>
  <c r="Q225" i="3"/>
  <c r="O225" i="3"/>
  <c r="M225" i="3"/>
  <c r="K225" i="3"/>
  <c r="I225" i="3"/>
  <c r="E225" i="3"/>
  <c r="C225" i="3"/>
  <c r="B225" i="3"/>
  <c r="U224" i="3"/>
  <c r="S224" i="3"/>
  <c r="Q224" i="3"/>
  <c r="O224" i="3"/>
  <c r="M224" i="3"/>
  <c r="K224" i="3"/>
  <c r="I224" i="3"/>
  <c r="E224" i="3"/>
  <c r="B224" i="3"/>
  <c r="C224" i="3" s="1"/>
  <c r="U223" i="3"/>
  <c r="S223" i="3"/>
  <c r="Q223" i="3"/>
  <c r="O223" i="3"/>
  <c r="M223" i="3"/>
  <c r="K223" i="3"/>
  <c r="I223" i="3"/>
  <c r="E223" i="3"/>
  <c r="B223" i="3"/>
  <c r="C223" i="3" s="1"/>
  <c r="U222" i="3"/>
  <c r="S222" i="3"/>
  <c r="Q222" i="3"/>
  <c r="O222" i="3"/>
  <c r="M222" i="3"/>
  <c r="K222" i="3"/>
  <c r="I222" i="3"/>
  <c r="E222" i="3"/>
  <c r="B222" i="3"/>
  <c r="C222" i="3" s="1"/>
  <c r="U221" i="3"/>
  <c r="S221" i="3"/>
  <c r="Q221" i="3"/>
  <c r="O221" i="3"/>
  <c r="M221" i="3"/>
  <c r="K221" i="3"/>
  <c r="I221" i="3"/>
  <c r="E221" i="3"/>
  <c r="B221" i="3"/>
  <c r="C221" i="3" s="1"/>
  <c r="U220" i="3"/>
  <c r="S220" i="3"/>
  <c r="Q220" i="3"/>
  <c r="O220" i="3"/>
  <c r="M220" i="3"/>
  <c r="K220" i="3"/>
  <c r="I220" i="3"/>
  <c r="E220" i="3"/>
  <c r="C220" i="3"/>
  <c r="B220" i="3"/>
  <c r="U219" i="3"/>
  <c r="S219" i="3"/>
  <c r="Q219" i="3"/>
  <c r="O219" i="3"/>
  <c r="M219" i="3"/>
  <c r="K219" i="3"/>
  <c r="I219" i="3"/>
  <c r="E219" i="3"/>
  <c r="C219" i="3"/>
  <c r="B219" i="3"/>
  <c r="U218" i="3"/>
  <c r="S218" i="3"/>
  <c r="Q218" i="3"/>
  <c r="O218" i="3"/>
  <c r="M218" i="3"/>
  <c r="K218" i="3"/>
  <c r="I218" i="3"/>
  <c r="E218" i="3"/>
  <c r="C218" i="3"/>
  <c r="B218" i="3"/>
  <c r="U217" i="3"/>
  <c r="S217" i="3"/>
  <c r="Q217" i="3"/>
  <c r="O217" i="3"/>
  <c r="M217" i="3"/>
  <c r="K217" i="3"/>
  <c r="I217" i="3"/>
  <c r="E217" i="3"/>
  <c r="C217" i="3"/>
  <c r="B217" i="3"/>
  <c r="U216" i="3"/>
  <c r="S216" i="3"/>
  <c r="Q216" i="3"/>
  <c r="O216" i="3"/>
  <c r="M216" i="3"/>
  <c r="K216" i="3"/>
  <c r="I216" i="3"/>
  <c r="E216" i="3"/>
  <c r="B216" i="3"/>
  <c r="C216" i="3" s="1"/>
  <c r="U215" i="3"/>
  <c r="S215" i="3"/>
  <c r="Q215" i="3"/>
  <c r="O215" i="3"/>
  <c r="M215" i="3"/>
  <c r="K215" i="3"/>
  <c r="I215" i="3"/>
  <c r="E215" i="3"/>
  <c r="B215" i="3"/>
  <c r="C215" i="3" s="1"/>
  <c r="U214" i="3"/>
  <c r="S214" i="3"/>
  <c r="Q214" i="3"/>
  <c r="O214" i="3"/>
  <c r="M214" i="3"/>
  <c r="K214" i="3"/>
  <c r="I214" i="3"/>
  <c r="E214" i="3"/>
  <c r="C214" i="3"/>
  <c r="B214" i="3"/>
  <c r="U213" i="3"/>
  <c r="S213" i="3"/>
  <c r="Q213" i="3"/>
  <c r="O213" i="3"/>
  <c r="M213" i="3"/>
  <c r="K213" i="3"/>
  <c r="I213" i="3"/>
  <c r="E213" i="3"/>
  <c r="C213" i="3"/>
  <c r="B213" i="3"/>
  <c r="U212" i="3"/>
  <c r="S212" i="3"/>
  <c r="Q212" i="3"/>
  <c r="O212" i="3"/>
  <c r="M212" i="3"/>
  <c r="K212" i="3"/>
  <c r="I212" i="3"/>
  <c r="E212" i="3"/>
  <c r="C212" i="3"/>
  <c r="B212" i="3"/>
  <c r="U211" i="3"/>
  <c r="S211" i="3"/>
  <c r="Q211" i="3"/>
  <c r="O211" i="3"/>
  <c r="M211" i="3"/>
  <c r="K211" i="3"/>
  <c r="I211" i="3"/>
  <c r="E211" i="3"/>
  <c r="B211" i="3"/>
  <c r="C211" i="3" s="1"/>
  <c r="U210" i="3"/>
  <c r="S210" i="3"/>
  <c r="Q210" i="3"/>
  <c r="O210" i="3"/>
  <c r="M210" i="3"/>
  <c r="K210" i="3"/>
  <c r="I210" i="3"/>
  <c r="E210" i="3"/>
  <c r="B210" i="3"/>
  <c r="C210" i="3" s="1"/>
  <c r="U209" i="3"/>
  <c r="S209" i="3"/>
  <c r="Q209" i="3"/>
  <c r="O209" i="3"/>
  <c r="M209" i="3"/>
  <c r="K209" i="3"/>
  <c r="I209" i="3"/>
  <c r="E209" i="3"/>
  <c r="B209" i="3"/>
  <c r="C209" i="3" s="1"/>
  <c r="U208" i="3"/>
  <c r="S208" i="3"/>
  <c r="Q208" i="3"/>
  <c r="O208" i="3"/>
  <c r="M208" i="3"/>
  <c r="K208" i="3"/>
  <c r="I208" i="3"/>
  <c r="E208" i="3"/>
  <c r="C208" i="3"/>
  <c r="B208" i="3"/>
  <c r="U207" i="3"/>
  <c r="S207" i="3"/>
  <c r="Q207" i="3"/>
  <c r="O207" i="3"/>
  <c r="M207" i="3"/>
  <c r="K207" i="3"/>
  <c r="I207" i="3"/>
  <c r="E207" i="3"/>
  <c r="C207" i="3"/>
  <c r="B207" i="3"/>
  <c r="U206" i="3"/>
  <c r="S206" i="3"/>
  <c r="Q206" i="3"/>
  <c r="O206" i="3"/>
  <c r="M206" i="3"/>
  <c r="K206" i="3"/>
  <c r="I206" i="3"/>
  <c r="E206" i="3"/>
  <c r="B206" i="3"/>
  <c r="C206" i="3" s="1"/>
  <c r="U205" i="3"/>
  <c r="S205" i="3"/>
  <c r="Q205" i="3"/>
  <c r="O205" i="3"/>
  <c r="M205" i="3"/>
  <c r="K205" i="3"/>
  <c r="I205" i="3"/>
  <c r="E205" i="3"/>
  <c r="B205" i="3"/>
  <c r="C205" i="3" s="1"/>
  <c r="U204" i="3"/>
  <c r="S204" i="3"/>
  <c r="Q204" i="3"/>
  <c r="O204" i="3"/>
  <c r="M204" i="3"/>
  <c r="K204" i="3"/>
  <c r="I204" i="3"/>
  <c r="E204" i="3"/>
  <c r="B204" i="3"/>
  <c r="C204" i="3" s="1"/>
  <c r="U203" i="3"/>
  <c r="S203" i="3"/>
  <c r="Q203" i="3"/>
  <c r="O203" i="3"/>
  <c r="M203" i="3"/>
  <c r="K203" i="3"/>
  <c r="I203" i="3"/>
  <c r="E203" i="3"/>
  <c r="B203" i="3"/>
  <c r="C203" i="3" s="1"/>
  <c r="U202" i="3"/>
  <c r="S202" i="3"/>
  <c r="Q202" i="3"/>
  <c r="O202" i="3"/>
  <c r="M202" i="3"/>
  <c r="K202" i="3"/>
  <c r="I202" i="3"/>
  <c r="E202" i="3"/>
  <c r="C202" i="3"/>
  <c r="B202" i="3"/>
  <c r="U201" i="3"/>
  <c r="S201" i="3"/>
  <c r="Q201" i="3"/>
  <c r="O201" i="3"/>
  <c r="M201" i="3"/>
  <c r="K201" i="3"/>
  <c r="I201" i="3"/>
  <c r="E201" i="3"/>
  <c r="C201" i="3"/>
  <c r="B201" i="3"/>
  <c r="U200" i="3"/>
  <c r="S200" i="3"/>
  <c r="Q200" i="3"/>
  <c r="O200" i="3"/>
  <c r="M200" i="3"/>
  <c r="K200" i="3"/>
  <c r="I200" i="3"/>
  <c r="E200" i="3"/>
  <c r="B200" i="3"/>
  <c r="C200" i="3" s="1"/>
  <c r="U199" i="3"/>
  <c r="S199" i="3"/>
  <c r="Q199" i="3"/>
  <c r="O199" i="3"/>
  <c r="M199" i="3"/>
  <c r="K199" i="3"/>
  <c r="I199" i="3"/>
  <c r="E199" i="3"/>
  <c r="B199" i="3"/>
  <c r="C199" i="3" s="1"/>
  <c r="U198" i="3"/>
  <c r="S198" i="3"/>
  <c r="Q198" i="3"/>
  <c r="O198" i="3"/>
  <c r="M198" i="3"/>
  <c r="K198" i="3"/>
  <c r="I198" i="3"/>
  <c r="E198" i="3"/>
  <c r="B198" i="3"/>
  <c r="C198" i="3" s="1"/>
  <c r="U197" i="3"/>
  <c r="S197" i="3"/>
  <c r="Q197" i="3"/>
  <c r="O197" i="3"/>
  <c r="M197" i="3"/>
  <c r="K197" i="3"/>
  <c r="I197" i="3"/>
  <c r="E197" i="3"/>
  <c r="B197" i="3"/>
  <c r="C197" i="3" s="1"/>
  <c r="U196" i="3"/>
  <c r="S196" i="3"/>
  <c r="Q196" i="3"/>
  <c r="O196" i="3"/>
  <c r="M196" i="3"/>
  <c r="K196" i="3"/>
  <c r="I196" i="3"/>
  <c r="E196" i="3"/>
  <c r="C196" i="3"/>
  <c r="B196" i="3"/>
  <c r="U195" i="3"/>
  <c r="S195" i="3"/>
  <c r="Q195" i="3"/>
  <c r="O195" i="3"/>
  <c r="M195" i="3"/>
  <c r="K195" i="3"/>
  <c r="I195" i="3"/>
  <c r="E195" i="3"/>
  <c r="C195" i="3"/>
  <c r="B195" i="3"/>
  <c r="U194" i="3"/>
  <c r="S194" i="3"/>
  <c r="Q194" i="3"/>
  <c r="O194" i="3"/>
  <c r="M194" i="3"/>
  <c r="K194" i="3"/>
  <c r="I194" i="3"/>
  <c r="E194" i="3"/>
  <c r="B194" i="3"/>
  <c r="C194" i="3" s="1"/>
  <c r="U193" i="3"/>
  <c r="S193" i="3"/>
  <c r="Q193" i="3"/>
  <c r="O193" i="3"/>
  <c r="M193" i="3"/>
  <c r="K193" i="3"/>
  <c r="I193" i="3"/>
  <c r="E193" i="3"/>
  <c r="B193" i="3"/>
  <c r="C193" i="3" s="1"/>
  <c r="U192" i="3"/>
  <c r="S192" i="3"/>
  <c r="Q192" i="3"/>
  <c r="O192" i="3"/>
  <c r="M192" i="3"/>
  <c r="K192" i="3"/>
  <c r="I192" i="3"/>
  <c r="E192" i="3"/>
  <c r="C192" i="3"/>
  <c r="B192" i="3"/>
  <c r="U191" i="3"/>
  <c r="S191" i="3"/>
  <c r="Q191" i="3"/>
  <c r="O191" i="3"/>
  <c r="M191" i="3"/>
  <c r="K191" i="3"/>
  <c r="I191" i="3"/>
  <c r="E191" i="3"/>
  <c r="B191" i="3"/>
  <c r="C191" i="3" s="1"/>
  <c r="U190" i="3"/>
  <c r="S190" i="3"/>
  <c r="Q190" i="3"/>
  <c r="O190" i="3"/>
  <c r="M190" i="3"/>
  <c r="K190" i="3"/>
  <c r="I190" i="3"/>
  <c r="E190" i="3"/>
  <c r="C190" i="3"/>
  <c r="B190" i="3"/>
  <c r="U189" i="3"/>
  <c r="S189" i="3"/>
  <c r="Q189" i="3"/>
  <c r="O189" i="3"/>
  <c r="M189" i="3"/>
  <c r="K189" i="3"/>
  <c r="I189" i="3"/>
  <c r="E189" i="3"/>
  <c r="C189" i="3"/>
  <c r="B189" i="3"/>
  <c r="U188" i="3"/>
  <c r="S188" i="3"/>
  <c r="Q188" i="3"/>
  <c r="O188" i="3"/>
  <c r="M188" i="3"/>
  <c r="K188" i="3"/>
  <c r="I188" i="3"/>
  <c r="E188" i="3"/>
  <c r="B188" i="3"/>
  <c r="C188" i="3" s="1"/>
  <c r="U187" i="3"/>
  <c r="S187" i="3"/>
  <c r="Q187" i="3"/>
  <c r="O187" i="3"/>
  <c r="M187" i="3"/>
  <c r="K187" i="3"/>
  <c r="I187" i="3"/>
  <c r="E187" i="3"/>
  <c r="B187" i="3"/>
  <c r="C187" i="3" s="1"/>
  <c r="U186" i="3"/>
  <c r="S186" i="3"/>
  <c r="Q186" i="3"/>
  <c r="O186" i="3"/>
  <c r="M186" i="3"/>
  <c r="K186" i="3"/>
  <c r="I186" i="3"/>
  <c r="E186" i="3"/>
  <c r="B186" i="3"/>
  <c r="C186" i="3" s="1"/>
  <c r="U185" i="3"/>
  <c r="S185" i="3"/>
  <c r="Q185" i="3"/>
  <c r="O185" i="3"/>
  <c r="M185" i="3"/>
  <c r="K185" i="3"/>
  <c r="I185" i="3"/>
  <c r="E185" i="3"/>
  <c r="B185" i="3"/>
  <c r="C185" i="3" s="1"/>
  <c r="U184" i="3"/>
  <c r="S184" i="3"/>
  <c r="Q184" i="3"/>
  <c r="O184" i="3"/>
  <c r="M184" i="3"/>
  <c r="K184" i="3"/>
  <c r="I184" i="3"/>
  <c r="E184" i="3"/>
  <c r="C184" i="3"/>
  <c r="B184" i="3"/>
  <c r="U183" i="3"/>
  <c r="S183" i="3"/>
  <c r="Q183" i="3"/>
  <c r="O183" i="3"/>
  <c r="M183" i="3"/>
  <c r="K183" i="3"/>
  <c r="I183" i="3"/>
  <c r="E183" i="3"/>
  <c r="C183" i="3"/>
  <c r="B183" i="3"/>
  <c r="U182" i="3"/>
  <c r="S182" i="3"/>
  <c r="Q182" i="3"/>
  <c r="O182" i="3"/>
  <c r="M182" i="3"/>
  <c r="K182" i="3"/>
  <c r="I182" i="3"/>
  <c r="E182" i="3"/>
  <c r="B182" i="3"/>
  <c r="C182" i="3" s="1"/>
  <c r="U181" i="3"/>
  <c r="S181" i="3"/>
  <c r="Q181" i="3"/>
  <c r="O181" i="3"/>
  <c r="M181" i="3"/>
  <c r="K181" i="3"/>
  <c r="I181" i="3"/>
  <c r="E181" i="3"/>
  <c r="C181" i="3"/>
  <c r="B181" i="3"/>
  <c r="U180" i="3"/>
  <c r="S180" i="3"/>
  <c r="Q180" i="3"/>
  <c r="O180" i="3"/>
  <c r="M180" i="3"/>
  <c r="K180" i="3"/>
  <c r="I180" i="3"/>
  <c r="E180" i="3"/>
  <c r="B180" i="3"/>
  <c r="C180" i="3" s="1"/>
  <c r="U179" i="3"/>
  <c r="S179" i="3"/>
  <c r="Q179" i="3"/>
  <c r="O179" i="3"/>
  <c r="M179" i="3"/>
  <c r="K179" i="3"/>
  <c r="I179" i="3"/>
  <c r="E179" i="3"/>
  <c r="B179" i="3"/>
  <c r="C179" i="3" s="1"/>
  <c r="U178" i="3"/>
  <c r="S178" i="3"/>
  <c r="Q178" i="3"/>
  <c r="O178" i="3"/>
  <c r="M178" i="3"/>
  <c r="K178" i="3"/>
  <c r="I178" i="3"/>
  <c r="E178" i="3"/>
  <c r="C178" i="3"/>
  <c r="B178" i="3"/>
  <c r="U177" i="3"/>
  <c r="S177" i="3"/>
  <c r="Q177" i="3"/>
  <c r="O177" i="3"/>
  <c r="M177" i="3"/>
  <c r="K177" i="3"/>
  <c r="I177" i="3"/>
  <c r="E177" i="3"/>
  <c r="C177" i="3"/>
  <c r="B177" i="3"/>
  <c r="U176" i="3"/>
  <c r="S176" i="3"/>
  <c r="Q176" i="3"/>
  <c r="O176" i="3"/>
  <c r="M176" i="3"/>
  <c r="K176" i="3"/>
  <c r="I176" i="3"/>
  <c r="E176" i="3"/>
  <c r="B176" i="3"/>
  <c r="C176" i="3" s="1"/>
  <c r="U175" i="3"/>
  <c r="S175" i="3"/>
  <c r="Q175" i="3"/>
  <c r="O175" i="3"/>
  <c r="M175" i="3"/>
  <c r="K175" i="3"/>
  <c r="I175" i="3"/>
  <c r="E175" i="3"/>
  <c r="B175" i="3"/>
  <c r="C175" i="3" s="1"/>
  <c r="U174" i="3"/>
  <c r="S174" i="3"/>
  <c r="Q174" i="3"/>
  <c r="O174" i="3"/>
  <c r="M174" i="3"/>
  <c r="K174" i="3"/>
  <c r="I174" i="3"/>
  <c r="E174" i="3"/>
  <c r="B174" i="3"/>
  <c r="C174" i="3" s="1"/>
  <c r="U173" i="3"/>
  <c r="S173" i="3"/>
  <c r="Q173" i="3"/>
  <c r="O173" i="3"/>
  <c r="M173" i="3"/>
  <c r="K173" i="3"/>
  <c r="I173" i="3"/>
  <c r="E173" i="3"/>
  <c r="B173" i="3"/>
  <c r="C173" i="3" s="1"/>
  <c r="U172" i="3"/>
  <c r="S172" i="3"/>
  <c r="Q172" i="3"/>
  <c r="O172" i="3"/>
  <c r="M172" i="3"/>
  <c r="K172" i="3"/>
  <c r="I172" i="3"/>
  <c r="E172" i="3"/>
  <c r="C172" i="3"/>
  <c r="B172" i="3"/>
  <c r="U171" i="3"/>
  <c r="S171" i="3"/>
  <c r="Q171" i="3"/>
  <c r="O171" i="3"/>
  <c r="M171" i="3"/>
  <c r="K171" i="3"/>
  <c r="I171" i="3"/>
  <c r="E171" i="3"/>
  <c r="C171" i="3"/>
  <c r="B171" i="3"/>
  <c r="U170" i="3"/>
  <c r="S170" i="3"/>
  <c r="Q170" i="3"/>
  <c r="O170" i="3"/>
  <c r="M170" i="3"/>
  <c r="K170" i="3"/>
  <c r="I170" i="3"/>
  <c r="E170" i="3"/>
  <c r="C170" i="3"/>
  <c r="B170" i="3"/>
  <c r="U169" i="3"/>
  <c r="S169" i="3"/>
  <c r="Q169" i="3"/>
  <c r="O169" i="3"/>
  <c r="M169" i="3"/>
  <c r="K169" i="3"/>
  <c r="I169" i="3"/>
  <c r="E169" i="3"/>
  <c r="B169" i="3"/>
  <c r="C169" i="3" s="1"/>
  <c r="U168" i="3"/>
  <c r="S168" i="3"/>
  <c r="Q168" i="3"/>
  <c r="O168" i="3"/>
  <c r="M168" i="3"/>
  <c r="K168" i="3"/>
  <c r="I168" i="3"/>
  <c r="E168" i="3"/>
  <c r="C168" i="3"/>
  <c r="B168" i="3"/>
  <c r="U167" i="3"/>
  <c r="S167" i="3"/>
  <c r="Q167" i="3"/>
  <c r="O167" i="3"/>
  <c r="M167" i="3"/>
  <c r="K167" i="3"/>
  <c r="I167" i="3"/>
  <c r="E167" i="3"/>
  <c r="B167" i="3"/>
  <c r="C167" i="3" s="1"/>
  <c r="U166" i="3"/>
  <c r="S166" i="3"/>
  <c r="Q166" i="3"/>
  <c r="O166" i="3"/>
  <c r="M166" i="3"/>
  <c r="K166" i="3"/>
  <c r="I166" i="3"/>
  <c r="E166" i="3"/>
  <c r="C166" i="3"/>
  <c r="B166" i="3"/>
  <c r="U165" i="3"/>
  <c r="S165" i="3"/>
  <c r="Q165" i="3"/>
  <c r="O165" i="3"/>
  <c r="M165" i="3"/>
  <c r="K165" i="3"/>
  <c r="I165" i="3"/>
  <c r="E165" i="3"/>
  <c r="C165" i="3"/>
  <c r="B165" i="3"/>
  <c r="U164" i="3"/>
  <c r="S164" i="3"/>
  <c r="Q164" i="3"/>
  <c r="O164" i="3"/>
  <c r="M164" i="3"/>
  <c r="K164" i="3"/>
  <c r="I164" i="3"/>
  <c r="E164" i="3"/>
  <c r="B164" i="3"/>
  <c r="C164" i="3" s="1"/>
  <c r="U163" i="3"/>
  <c r="S163" i="3"/>
  <c r="Q163" i="3"/>
  <c r="O163" i="3"/>
  <c r="M163" i="3"/>
  <c r="K163" i="3"/>
  <c r="I163" i="3"/>
  <c r="E163" i="3"/>
  <c r="B163" i="3"/>
  <c r="C163" i="3" s="1"/>
  <c r="U162" i="3"/>
  <c r="S162" i="3"/>
  <c r="Q162" i="3"/>
  <c r="O162" i="3"/>
  <c r="M162" i="3"/>
  <c r="K162" i="3"/>
  <c r="I162" i="3"/>
  <c r="E162" i="3"/>
  <c r="B162" i="3"/>
  <c r="C162" i="3" s="1"/>
  <c r="U161" i="3"/>
  <c r="S161" i="3"/>
  <c r="Q161" i="3"/>
  <c r="O161" i="3"/>
  <c r="M161" i="3"/>
  <c r="K161" i="3"/>
  <c r="I161" i="3"/>
  <c r="E161" i="3"/>
  <c r="B161" i="3"/>
  <c r="C161" i="3" s="1"/>
  <c r="U160" i="3"/>
  <c r="S160" i="3"/>
  <c r="Q160" i="3"/>
  <c r="O160" i="3"/>
  <c r="M160" i="3"/>
  <c r="K160" i="3"/>
  <c r="I160" i="3"/>
  <c r="E160" i="3"/>
  <c r="C160" i="3"/>
  <c r="B160" i="3"/>
  <c r="U159" i="3"/>
  <c r="S159" i="3"/>
  <c r="Q159" i="3"/>
  <c r="O159" i="3"/>
  <c r="M159" i="3"/>
  <c r="K159" i="3"/>
  <c r="I159" i="3"/>
  <c r="E159" i="3"/>
  <c r="C159" i="3"/>
  <c r="B159" i="3"/>
  <c r="U158" i="3"/>
  <c r="S158" i="3"/>
  <c r="Q158" i="3"/>
  <c r="O158" i="3"/>
  <c r="M158" i="3"/>
  <c r="K158" i="3"/>
  <c r="I158" i="3"/>
  <c r="E158" i="3"/>
  <c r="B158" i="3"/>
  <c r="C158" i="3" s="1"/>
  <c r="U157" i="3"/>
  <c r="S157" i="3"/>
  <c r="Q157" i="3"/>
  <c r="O157" i="3"/>
  <c r="M157" i="3"/>
  <c r="K157" i="3"/>
  <c r="I157" i="3"/>
  <c r="E157" i="3"/>
  <c r="C157" i="3"/>
  <c r="B157" i="3"/>
  <c r="U156" i="3"/>
  <c r="S156" i="3"/>
  <c r="Q156" i="3"/>
  <c r="O156" i="3"/>
  <c r="M156" i="3"/>
  <c r="K156" i="3"/>
  <c r="I156" i="3"/>
  <c r="E156" i="3"/>
  <c r="B156" i="3"/>
  <c r="C156" i="3" s="1"/>
  <c r="U155" i="3"/>
  <c r="S155" i="3"/>
  <c r="Q155" i="3"/>
  <c r="O155" i="3"/>
  <c r="M155" i="3"/>
  <c r="K155" i="3"/>
  <c r="I155" i="3"/>
  <c r="E155" i="3"/>
  <c r="B155" i="3"/>
  <c r="C155" i="3" s="1"/>
  <c r="U154" i="3"/>
  <c r="S154" i="3"/>
  <c r="Q154" i="3"/>
  <c r="O154" i="3"/>
  <c r="M154" i="3"/>
  <c r="K154" i="3"/>
  <c r="I154" i="3"/>
  <c r="E154" i="3"/>
  <c r="C154" i="3"/>
  <c r="B154" i="3"/>
  <c r="U153" i="3"/>
  <c r="S153" i="3"/>
  <c r="Q153" i="3"/>
  <c r="O153" i="3"/>
  <c r="M153" i="3"/>
  <c r="K153" i="3"/>
  <c r="I153" i="3"/>
  <c r="E153" i="3"/>
  <c r="C153" i="3"/>
  <c r="B153" i="3"/>
  <c r="U152" i="3"/>
  <c r="S152" i="3"/>
  <c r="Q152" i="3"/>
  <c r="O152" i="3"/>
  <c r="M152" i="3"/>
  <c r="K152" i="3"/>
  <c r="I152" i="3"/>
  <c r="E152" i="3"/>
  <c r="B152" i="3"/>
  <c r="C152" i="3" s="1"/>
  <c r="U151" i="3"/>
  <c r="S151" i="3"/>
  <c r="Q151" i="3"/>
  <c r="O151" i="3"/>
  <c r="M151" i="3"/>
  <c r="K151" i="3"/>
  <c r="I151" i="3"/>
  <c r="E151" i="3"/>
  <c r="B151" i="3"/>
  <c r="C151" i="3" s="1"/>
  <c r="U150" i="3"/>
  <c r="S150" i="3"/>
  <c r="Q150" i="3"/>
  <c r="O150" i="3"/>
  <c r="M150" i="3"/>
  <c r="K150" i="3"/>
  <c r="I150" i="3"/>
  <c r="E150" i="3"/>
  <c r="B150" i="3"/>
  <c r="C150" i="3" s="1"/>
  <c r="U149" i="3"/>
  <c r="S149" i="3"/>
  <c r="Q149" i="3"/>
  <c r="O149" i="3"/>
  <c r="M149" i="3"/>
  <c r="K149" i="3"/>
  <c r="I149" i="3"/>
  <c r="E149" i="3"/>
  <c r="B149" i="3"/>
  <c r="C149" i="3" s="1"/>
  <c r="U148" i="3"/>
  <c r="S148" i="3"/>
  <c r="Q148" i="3"/>
  <c r="O148" i="3"/>
  <c r="M148" i="3"/>
  <c r="K148" i="3"/>
  <c r="I148" i="3"/>
  <c r="E148" i="3"/>
  <c r="C148" i="3"/>
  <c r="B148" i="3"/>
  <c r="U147" i="3"/>
  <c r="S147" i="3"/>
  <c r="Q147" i="3"/>
  <c r="O147" i="3"/>
  <c r="M147" i="3"/>
  <c r="K147" i="3"/>
  <c r="I147" i="3"/>
  <c r="E147" i="3"/>
  <c r="C147" i="3"/>
  <c r="B147" i="3"/>
  <c r="U146" i="3"/>
  <c r="S146" i="3"/>
  <c r="Q146" i="3"/>
  <c r="O146" i="3"/>
  <c r="M146" i="3"/>
  <c r="K146" i="3"/>
  <c r="I146" i="3"/>
  <c r="E146" i="3"/>
  <c r="C146" i="3"/>
  <c r="B146" i="3"/>
  <c r="U145" i="3"/>
  <c r="S145" i="3"/>
  <c r="Q145" i="3"/>
  <c r="O145" i="3"/>
  <c r="M145" i="3"/>
  <c r="K145" i="3"/>
  <c r="I145" i="3"/>
  <c r="E145" i="3"/>
  <c r="B145" i="3"/>
  <c r="C145" i="3" s="1"/>
  <c r="U144" i="3"/>
  <c r="S144" i="3"/>
  <c r="Q144" i="3"/>
  <c r="O144" i="3"/>
  <c r="M144" i="3"/>
  <c r="K144" i="3"/>
  <c r="I144" i="3"/>
  <c r="E144" i="3"/>
  <c r="B144" i="3"/>
  <c r="C144" i="3" s="1"/>
  <c r="U143" i="3"/>
  <c r="S143" i="3"/>
  <c r="Q143" i="3"/>
  <c r="O143" i="3"/>
  <c r="M143" i="3"/>
  <c r="K143" i="3"/>
  <c r="I143" i="3"/>
  <c r="E143" i="3"/>
  <c r="B143" i="3"/>
  <c r="C143" i="3" s="1"/>
  <c r="U142" i="3"/>
  <c r="S142" i="3"/>
  <c r="Q142" i="3"/>
  <c r="O142" i="3"/>
  <c r="M142" i="3"/>
  <c r="K142" i="3"/>
  <c r="I142" i="3"/>
  <c r="E142" i="3"/>
  <c r="C142" i="3"/>
  <c r="B142" i="3"/>
  <c r="U141" i="3"/>
  <c r="S141" i="3"/>
  <c r="Q141" i="3"/>
  <c r="O141" i="3"/>
  <c r="M141" i="3"/>
  <c r="K141" i="3"/>
  <c r="I141" i="3"/>
  <c r="E141" i="3"/>
  <c r="C141" i="3"/>
  <c r="B141" i="3"/>
  <c r="U140" i="3"/>
  <c r="S140" i="3"/>
  <c r="Q140" i="3"/>
  <c r="O140" i="3"/>
  <c r="M140" i="3"/>
  <c r="K140" i="3"/>
  <c r="I140" i="3"/>
  <c r="E140" i="3"/>
  <c r="B140" i="3"/>
  <c r="C140" i="3" s="1"/>
  <c r="U139" i="3"/>
  <c r="S139" i="3"/>
  <c r="Q139" i="3"/>
  <c r="O139" i="3"/>
  <c r="M139" i="3"/>
  <c r="K139" i="3"/>
  <c r="I139" i="3"/>
  <c r="E139" i="3"/>
  <c r="B139" i="3"/>
  <c r="C139" i="3" s="1"/>
  <c r="U138" i="3"/>
  <c r="S138" i="3"/>
  <c r="Q138" i="3"/>
  <c r="O138" i="3"/>
  <c r="M138" i="3"/>
  <c r="K138" i="3"/>
  <c r="I138" i="3"/>
  <c r="E138" i="3"/>
  <c r="B138" i="3"/>
  <c r="C138" i="3" s="1"/>
  <c r="U137" i="3"/>
  <c r="S137" i="3"/>
  <c r="Q137" i="3"/>
  <c r="O137" i="3"/>
  <c r="M137" i="3"/>
  <c r="K137" i="3"/>
  <c r="I137" i="3"/>
  <c r="E137" i="3"/>
  <c r="B137" i="3"/>
  <c r="C137" i="3" s="1"/>
  <c r="U136" i="3"/>
  <c r="S136" i="3"/>
  <c r="Q136" i="3"/>
  <c r="O136" i="3"/>
  <c r="M136" i="3"/>
  <c r="K136" i="3"/>
  <c r="I136" i="3"/>
  <c r="E136" i="3"/>
  <c r="C136" i="3"/>
  <c r="B136" i="3"/>
  <c r="U135" i="3"/>
  <c r="S135" i="3"/>
  <c r="Q135" i="3"/>
  <c r="O135" i="3"/>
  <c r="M135" i="3"/>
  <c r="K135" i="3"/>
  <c r="I135" i="3"/>
  <c r="E135" i="3"/>
  <c r="C135" i="3"/>
  <c r="B135" i="3"/>
  <c r="U134" i="3"/>
  <c r="S134" i="3"/>
  <c r="Q134" i="3"/>
  <c r="O134" i="3"/>
  <c r="M134" i="3"/>
  <c r="K134" i="3"/>
  <c r="I134" i="3"/>
  <c r="E134" i="3"/>
  <c r="B134" i="3"/>
  <c r="C134" i="3" s="1"/>
  <c r="U133" i="3"/>
  <c r="S133" i="3"/>
  <c r="Q133" i="3"/>
  <c r="O133" i="3"/>
  <c r="M133" i="3"/>
  <c r="K133" i="3"/>
  <c r="I133" i="3"/>
  <c r="E133" i="3"/>
  <c r="B133" i="3"/>
  <c r="C133" i="3" s="1"/>
  <c r="U132" i="3"/>
  <c r="S132" i="3"/>
  <c r="Q132" i="3"/>
  <c r="O132" i="3"/>
  <c r="M132" i="3"/>
  <c r="K132" i="3"/>
  <c r="I132" i="3"/>
  <c r="E132" i="3"/>
  <c r="B132" i="3"/>
  <c r="C132" i="3" s="1"/>
  <c r="U131" i="3"/>
  <c r="S131" i="3"/>
  <c r="Q131" i="3"/>
  <c r="O131" i="3"/>
  <c r="M131" i="3"/>
  <c r="K131" i="3"/>
  <c r="I131" i="3"/>
  <c r="E131" i="3"/>
  <c r="B131" i="3"/>
  <c r="C131" i="3" s="1"/>
  <c r="U130" i="3"/>
  <c r="S130" i="3"/>
  <c r="Q130" i="3"/>
  <c r="O130" i="3"/>
  <c r="M130" i="3"/>
  <c r="K130" i="3"/>
  <c r="I130" i="3"/>
  <c r="E130" i="3"/>
  <c r="C130" i="3"/>
  <c r="B130" i="3"/>
  <c r="U129" i="3"/>
  <c r="S129" i="3"/>
  <c r="Q129" i="3"/>
  <c r="O129" i="3"/>
  <c r="M129" i="3"/>
  <c r="K129" i="3"/>
  <c r="I129" i="3"/>
  <c r="E129" i="3"/>
  <c r="C129" i="3"/>
  <c r="B129" i="3"/>
  <c r="U128" i="3"/>
  <c r="S128" i="3"/>
  <c r="Q128" i="3"/>
  <c r="O128" i="3"/>
  <c r="M128" i="3"/>
  <c r="K128" i="3"/>
  <c r="I128" i="3"/>
  <c r="E128" i="3"/>
  <c r="B128" i="3"/>
  <c r="C128" i="3" s="1"/>
  <c r="U127" i="3"/>
  <c r="S127" i="3"/>
  <c r="Q127" i="3"/>
  <c r="O127" i="3"/>
  <c r="M127" i="3"/>
  <c r="K127" i="3"/>
  <c r="I127" i="3"/>
  <c r="E127" i="3"/>
  <c r="B127" i="3"/>
  <c r="C127" i="3" s="1"/>
  <c r="U126" i="3"/>
  <c r="S126" i="3"/>
  <c r="Q126" i="3"/>
  <c r="O126" i="3"/>
  <c r="M126" i="3"/>
  <c r="K126" i="3"/>
  <c r="I126" i="3"/>
  <c r="E126" i="3"/>
  <c r="B126" i="3"/>
  <c r="C126" i="3" s="1"/>
  <c r="U125" i="3"/>
  <c r="S125" i="3"/>
  <c r="Q125" i="3"/>
  <c r="O125" i="3"/>
  <c r="M125" i="3"/>
  <c r="K125" i="3"/>
  <c r="I125" i="3"/>
  <c r="E125" i="3"/>
  <c r="B125" i="3"/>
  <c r="C125" i="3" s="1"/>
  <c r="U124" i="3"/>
  <c r="S124" i="3"/>
  <c r="Q124" i="3"/>
  <c r="O124" i="3"/>
  <c r="M124" i="3"/>
  <c r="K124" i="3"/>
  <c r="I124" i="3"/>
  <c r="E124" i="3"/>
  <c r="C124" i="3"/>
  <c r="B124" i="3"/>
  <c r="U123" i="3"/>
  <c r="S123" i="3"/>
  <c r="Q123" i="3"/>
  <c r="O123" i="3"/>
  <c r="M123" i="3"/>
  <c r="K123" i="3"/>
  <c r="I123" i="3"/>
  <c r="E123" i="3"/>
  <c r="C123" i="3"/>
  <c r="B123" i="3"/>
  <c r="U122" i="3"/>
  <c r="S122" i="3"/>
  <c r="Q122" i="3"/>
  <c r="O122" i="3"/>
  <c r="M122" i="3"/>
  <c r="K122" i="3"/>
  <c r="I122" i="3"/>
  <c r="E122" i="3"/>
  <c r="B122" i="3"/>
  <c r="C122" i="3" s="1"/>
  <c r="U121" i="3"/>
  <c r="S121" i="3"/>
  <c r="Q121" i="3"/>
  <c r="O121" i="3"/>
  <c r="M121" i="3"/>
  <c r="K121" i="3"/>
  <c r="I121" i="3"/>
  <c r="E121" i="3"/>
  <c r="B121" i="3"/>
  <c r="C121" i="3" s="1"/>
  <c r="U120" i="3"/>
  <c r="S120" i="3"/>
  <c r="Q120" i="3"/>
  <c r="O120" i="3"/>
  <c r="M120" i="3"/>
  <c r="K120" i="3"/>
  <c r="I120" i="3"/>
  <c r="E120" i="3"/>
  <c r="C120" i="3"/>
  <c r="B120" i="3"/>
  <c r="U119" i="3"/>
  <c r="S119" i="3"/>
  <c r="Q119" i="3"/>
  <c r="O119" i="3"/>
  <c r="M119" i="3"/>
  <c r="K119" i="3"/>
  <c r="I119" i="3"/>
  <c r="E119" i="3"/>
  <c r="B119" i="3"/>
  <c r="C119" i="3" s="1"/>
  <c r="U118" i="3"/>
  <c r="S118" i="3"/>
  <c r="Q118" i="3"/>
  <c r="O118" i="3"/>
  <c r="M118" i="3"/>
  <c r="K118" i="3"/>
  <c r="I118" i="3"/>
  <c r="E118" i="3"/>
  <c r="C118" i="3"/>
  <c r="B118" i="3"/>
  <c r="U117" i="3"/>
  <c r="S117" i="3"/>
  <c r="Q117" i="3"/>
  <c r="O117" i="3"/>
  <c r="M117" i="3"/>
  <c r="K117" i="3"/>
  <c r="I117" i="3"/>
  <c r="E117" i="3"/>
  <c r="C117" i="3"/>
  <c r="B117" i="3"/>
  <c r="U116" i="3"/>
  <c r="S116" i="3"/>
  <c r="Q116" i="3"/>
  <c r="O116" i="3"/>
  <c r="M116" i="3"/>
  <c r="K116" i="3"/>
  <c r="I116" i="3"/>
  <c r="E116" i="3"/>
  <c r="B116" i="3"/>
  <c r="C116" i="3" s="1"/>
  <c r="U115" i="3"/>
  <c r="S115" i="3"/>
  <c r="Q115" i="3"/>
  <c r="O115" i="3"/>
  <c r="M115" i="3"/>
  <c r="K115" i="3"/>
  <c r="I115" i="3"/>
  <c r="E115" i="3"/>
  <c r="B115" i="3"/>
  <c r="C115" i="3" s="1"/>
  <c r="U114" i="3"/>
  <c r="S114" i="3"/>
  <c r="Q114" i="3"/>
  <c r="O114" i="3"/>
  <c r="M114" i="3"/>
  <c r="K114" i="3"/>
  <c r="I114" i="3"/>
  <c r="E114" i="3"/>
  <c r="B114" i="3"/>
  <c r="C114" i="3" s="1"/>
  <c r="U113" i="3"/>
  <c r="S113" i="3"/>
  <c r="Q113" i="3"/>
  <c r="O113" i="3"/>
  <c r="M113" i="3"/>
  <c r="K113" i="3"/>
  <c r="I113" i="3"/>
  <c r="E113" i="3"/>
  <c r="B113" i="3"/>
  <c r="C113" i="3" s="1"/>
  <c r="U112" i="3"/>
  <c r="S112" i="3"/>
  <c r="Q112" i="3"/>
  <c r="O112" i="3"/>
  <c r="M112" i="3"/>
  <c r="K112" i="3"/>
  <c r="I112" i="3"/>
  <c r="E112" i="3"/>
  <c r="C112" i="3"/>
  <c r="B112" i="3"/>
  <c r="U111" i="3"/>
  <c r="S111" i="3"/>
  <c r="Q111" i="3"/>
  <c r="O111" i="3"/>
  <c r="M111" i="3"/>
  <c r="K111" i="3"/>
  <c r="I111" i="3"/>
  <c r="E111" i="3"/>
  <c r="C111" i="3"/>
  <c r="B111" i="3"/>
  <c r="U110" i="3"/>
  <c r="S110" i="3"/>
  <c r="Q110" i="3"/>
  <c r="O110" i="3"/>
  <c r="M110" i="3"/>
  <c r="K110" i="3"/>
  <c r="I110" i="3"/>
  <c r="E110" i="3"/>
  <c r="B110" i="3"/>
  <c r="C110" i="3" s="1"/>
  <c r="U109" i="3"/>
  <c r="S109" i="3"/>
  <c r="Q109" i="3"/>
  <c r="O109" i="3"/>
  <c r="M109" i="3"/>
  <c r="K109" i="3"/>
  <c r="I109" i="3"/>
  <c r="E109" i="3"/>
  <c r="C109" i="3"/>
  <c r="B109" i="3"/>
  <c r="U108" i="3"/>
  <c r="S108" i="3"/>
  <c r="Q108" i="3"/>
  <c r="O108" i="3"/>
  <c r="M108" i="3"/>
  <c r="K108" i="3"/>
  <c r="I108" i="3"/>
  <c r="E108" i="3"/>
  <c r="B108" i="3"/>
  <c r="C108" i="3" s="1"/>
  <c r="U107" i="3"/>
  <c r="S107" i="3"/>
  <c r="Q107" i="3"/>
  <c r="O107" i="3"/>
  <c r="M107" i="3"/>
  <c r="K107" i="3"/>
  <c r="I107" i="3"/>
  <c r="E107" i="3"/>
  <c r="B107" i="3"/>
  <c r="C107" i="3" s="1"/>
  <c r="U106" i="3"/>
  <c r="S106" i="3"/>
  <c r="Q106" i="3"/>
  <c r="O106" i="3"/>
  <c r="M106" i="3"/>
  <c r="K106" i="3"/>
  <c r="I106" i="3"/>
  <c r="E106" i="3"/>
  <c r="C106" i="3"/>
  <c r="B106" i="3"/>
  <c r="U105" i="3"/>
  <c r="S105" i="3"/>
  <c r="Q105" i="3"/>
  <c r="O105" i="3"/>
  <c r="M105" i="3"/>
  <c r="K105" i="3"/>
  <c r="I105" i="3"/>
  <c r="E105" i="3"/>
  <c r="C105" i="3"/>
  <c r="B105" i="3"/>
  <c r="U104" i="3"/>
  <c r="S104" i="3"/>
  <c r="Q104" i="3"/>
  <c r="O104" i="3"/>
  <c r="M104" i="3"/>
  <c r="K104" i="3"/>
  <c r="I104" i="3"/>
  <c r="E104" i="3"/>
  <c r="B104" i="3"/>
  <c r="C104" i="3" s="1"/>
  <c r="U103" i="3"/>
  <c r="S103" i="3"/>
  <c r="Q103" i="3"/>
  <c r="O103" i="3"/>
  <c r="M103" i="3"/>
  <c r="K103" i="3"/>
  <c r="I103" i="3"/>
  <c r="E103" i="3"/>
  <c r="B103" i="3"/>
  <c r="C103" i="3" s="1"/>
  <c r="U102" i="3"/>
  <c r="S102" i="3"/>
  <c r="Q102" i="3"/>
  <c r="O102" i="3"/>
  <c r="M102" i="3"/>
  <c r="K102" i="3"/>
  <c r="I102" i="3"/>
  <c r="E102" i="3"/>
  <c r="B102" i="3"/>
  <c r="C102" i="3" s="1"/>
  <c r="U101" i="3"/>
  <c r="S101" i="3"/>
  <c r="Q101" i="3"/>
  <c r="O101" i="3"/>
  <c r="M101" i="3"/>
  <c r="K101" i="3"/>
  <c r="I101" i="3"/>
  <c r="E101" i="3"/>
  <c r="B101" i="3"/>
  <c r="C101" i="3" s="1"/>
  <c r="U100" i="3"/>
  <c r="S100" i="3"/>
  <c r="Q100" i="3"/>
  <c r="O100" i="3"/>
  <c r="M100" i="3"/>
  <c r="K100" i="3"/>
  <c r="I100" i="3"/>
  <c r="E100" i="3"/>
  <c r="C100" i="3"/>
  <c r="B100" i="3"/>
  <c r="U99" i="3"/>
  <c r="S99" i="3"/>
  <c r="Q99" i="3"/>
  <c r="O99" i="3"/>
  <c r="M99" i="3"/>
  <c r="K99" i="3"/>
  <c r="I99" i="3"/>
  <c r="E99" i="3"/>
  <c r="C99" i="3"/>
  <c r="B99" i="3"/>
  <c r="U98" i="3"/>
  <c r="S98" i="3"/>
  <c r="Q98" i="3"/>
  <c r="O98" i="3"/>
  <c r="M98" i="3"/>
  <c r="K98" i="3"/>
  <c r="I98" i="3"/>
  <c r="E98" i="3"/>
  <c r="C98" i="3"/>
  <c r="B98" i="3"/>
  <c r="U97" i="3"/>
  <c r="S97" i="3"/>
  <c r="Q97" i="3"/>
  <c r="O97" i="3"/>
  <c r="M97" i="3"/>
  <c r="K97" i="3"/>
  <c r="I97" i="3"/>
  <c r="E97" i="3"/>
  <c r="B97" i="3"/>
  <c r="C97" i="3" s="1"/>
  <c r="U96" i="3"/>
  <c r="S96" i="3"/>
  <c r="Q96" i="3"/>
  <c r="O96" i="3"/>
  <c r="M96" i="3"/>
  <c r="K96" i="3"/>
  <c r="I96" i="3"/>
  <c r="E96" i="3"/>
  <c r="C96" i="3"/>
  <c r="B96" i="3"/>
  <c r="U95" i="3"/>
  <c r="S95" i="3"/>
  <c r="Q95" i="3"/>
  <c r="O95" i="3"/>
  <c r="M95" i="3"/>
  <c r="K95" i="3"/>
  <c r="I95" i="3"/>
  <c r="E95" i="3"/>
  <c r="B95" i="3"/>
  <c r="C95" i="3" s="1"/>
  <c r="U94" i="3"/>
  <c r="S94" i="3"/>
  <c r="Q94" i="3"/>
  <c r="O94" i="3"/>
  <c r="M94" i="3"/>
  <c r="K94" i="3"/>
  <c r="I94" i="3"/>
  <c r="E94" i="3"/>
  <c r="C94" i="3"/>
  <c r="B94" i="3"/>
  <c r="U93" i="3"/>
  <c r="S93" i="3"/>
  <c r="Q93" i="3"/>
  <c r="O93" i="3"/>
  <c r="M93" i="3"/>
  <c r="K93" i="3"/>
  <c r="I93" i="3"/>
  <c r="E93" i="3"/>
  <c r="C93" i="3"/>
  <c r="B93" i="3"/>
  <c r="U92" i="3"/>
  <c r="S92" i="3"/>
  <c r="Q92" i="3"/>
  <c r="O92" i="3"/>
  <c r="M92" i="3"/>
  <c r="K92" i="3"/>
  <c r="I92" i="3"/>
  <c r="E92" i="3"/>
  <c r="B92" i="3"/>
  <c r="C92" i="3" s="1"/>
  <c r="U91" i="3"/>
  <c r="S91" i="3"/>
  <c r="Q91" i="3"/>
  <c r="O91" i="3"/>
  <c r="M91" i="3"/>
  <c r="K91" i="3"/>
  <c r="I91" i="3"/>
  <c r="E91" i="3"/>
  <c r="B91" i="3"/>
  <c r="C91" i="3" s="1"/>
  <c r="U90" i="3"/>
  <c r="S90" i="3"/>
  <c r="Q90" i="3"/>
  <c r="O90" i="3"/>
  <c r="M90" i="3"/>
  <c r="K90" i="3"/>
  <c r="I90" i="3"/>
  <c r="E90" i="3"/>
  <c r="B90" i="3"/>
  <c r="C90" i="3" s="1"/>
  <c r="U89" i="3"/>
  <c r="S89" i="3"/>
  <c r="Q89" i="3"/>
  <c r="O89" i="3"/>
  <c r="M89" i="3"/>
  <c r="K89" i="3"/>
  <c r="I89" i="3"/>
  <c r="E89" i="3"/>
  <c r="B89" i="3"/>
  <c r="C89" i="3" s="1"/>
  <c r="U88" i="3"/>
  <c r="S88" i="3"/>
  <c r="Q88" i="3"/>
  <c r="O88" i="3"/>
  <c r="M88" i="3"/>
  <c r="K88" i="3"/>
  <c r="I88" i="3"/>
  <c r="E88" i="3"/>
  <c r="C88" i="3"/>
  <c r="B88" i="3"/>
  <c r="U87" i="3"/>
  <c r="S87" i="3"/>
  <c r="Q87" i="3"/>
  <c r="O87" i="3"/>
  <c r="M87" i="3"/>
  <c r="K87" i="3"/>
  <c r="I87" i="3"/>
  <c r="E87" i="3"/>
  <c r="C87" i="3"/>
  <c r="B87" i="3"/>
  <c r="U86" i="3"/>
  <c r="S86" i="3"/>
  <c r="Q86" i="3"/>
  <c r="O86" i="3"/>
  <c r="M86" i="3"/>
  <c r="K86" i="3"/>
  <c r="I86" i="3"/>
  <c r="E86" i="3"/>
  <c r="B86" i="3"/>
  <c r="C86" i="3" s="1"/>
  <c r="U85" i="3"/>
  <c r="S85" i="3"/>
  <c r="Q85" i="3"/>
  <c r="O85" i="3"/>
  <c r="M85" i="3"/>
  <c r="K85" i="3"/>
  <c r="I85" i="3"/>
  <c r="E85" i="3"/>
  <c r="C85" i="3"/>
  <c r="B85" i="3"/>
  <c r="U84" i="3"/>
  <c r="S84" i="3"/>
  <c r="Q84" i="3"/>
  <c r="O84" i="3"/>
  <c r="M84" i="3"/>
  <c r="K84" i="3"/>
  <c r="I84" i="3"/>
  <c r="E84" i="3"/>
  <c r="B84" i="3"/>
  <c r="C84" i="3" s="1"/>
  <c r="U83" i="3"/>
  <c r="S83" i="3"/>
  <c r="Q83" i="3"/>
  <c r="O83" i="3"/>
  <c r="M83" i="3"/>
  <c r="K83" i="3"/>
  <c r="I83" i="3"/>
  <c r="E83" i="3"/>
  <c r="B83" i="3"/>
  <c r="C83" i="3" s="1"/>
  <c r="U82" i="3"/>
  <c r="S82" i="3"/>
  <c r="Q82" i="3"/>
  <c r="O82" i="3"/>
  <c r="M82" i="3"/>
  <c r="K82" i="3"/>
  <c r="I82" i="3"/>
  <c r="E82" i="3"/>
  <c r="C82" i="3"/>
  <c r="B82" i="3"/>
  <c r="U81" i="3"/>
  <c r="S81" i="3"/>
  <c r="Q81" i="3"/>
  <c r="O81" i="3"/>
  <c r="M81" i="3"/>
  <c r="K81" i="3"/>
  <c r="I81" i="3"/>
  <c r="E81" i="3"/>
  <c r="C81" i="3"/>
  <c r="B81" i="3"/>
  <c r="U80" i="3"/>
  <c r="S80" i="3"/>
  <c r="Q80" i="3"/>
  <c r="O80" i="3"/>
  <c r="M80" i="3"/>
  <c r="K80" i="3"/>
  <c r="I80" i="3"/>
  <c r="E80" i="3"/>
  <c r="B80" i="3"/>
  <c r="C80" i="3" s="1"/>
  <c r="U79" i="3"/>
  <c r="S79" i="3"/>
  <c r="Q79" i="3"/>
  <c r="O79" i="3"/>
  <c r="M79" i="3"/>
  <c r="K79" i="3"/>
  <c r="I79" i="3"/>
  <c r="E79" i="3"/>
  <c r="B79" i="3"/>
  <c r="C79" i="3" s="1"/>
  <c r="U78" i="3"/>
  <c r="S78" i="3"/>
  <c r="Q78" i="3"/>
  <c r="O78" i="3"/>
  <c r="M78" i="3"/>
  <c r="K78" i="3"/>
  <c r="I78" i="3"/>
  <c r="E78" i="3"/>
  <c r="B78" i="3"/>
  <c r="C78" i="3" s="1"/>
  <c r="U77" i="3"/>
  <c r="S77" i="3"/>
  <c r="Q77" i="3"/>
  <c r="O77" i="3"/>
  <c r="M77" i="3"/>
  <c r="K77" i="3"/>
  <c r="I77" i="3"/>
  <c r="E77" i="3"/>
  <c r="B77" i="3"/>
  <c r="C77" i="3" s="1"/>
  <c r="U76" i="3"/>
  <c r="S76" i="3"/>
  <c r="Q76" i="3"/>
  <c r="O76" i="3"/>
  <c r="M76" i="3"/>
  <c r="K76" i="3"/>
  <c r="I76" i="3"/>
  <c r="E76" i="3"/>
  <c r="C76" i="3"/>
  <c r="B76" i="3"/>
  <c r="U75" i="3"/>
  <c r="S75" i="3"/>
  <c r="Q75" i="3"/>
  <c r="O75" i="3"/>
  <c r="M75" i="3"/>
  <c r="K75" i="3"/>
  <c r="I75" i="3"/>
  <c r="E75" i="3"/>
  <c r="C75" i="3"/>
  <c r="B75" i="3"/>
  <c r="U74" i="3"/>
  <c r="S74" i="3"/>
  <c r="Q74" i="3"/>
  <c r="O74" i="3"/>
  <c r="M74" i="3"/>
  <c r="K74" i="3"/>
  <c r="I74" i="3"/>
  <c r="E74" i="3"/>
  <c r="C74" i="3"/>
  <c r="B74" i="3"/>
  <c r="U73" i="3"/>
  <c r="S73" i="3"/>
  <c r="Q73" i="3"/>
  <c r="O73" i="3"/>
  <c r="M73" i="3"/>
  <c r="K73" i="3"/>
  <c r="I73" i="3"/>
  <c r="E73" i="3"/>
  <c r="B73" i="3"/>
  <c r="C73" i="3" s="1"/>
  <c r="U72" i="3"/>
  <c r="S72" i="3"/>
  <c r="Q72" i="3"/>
  <c r="O72" i="3"/>
  <c r="M72" i="3"/>
  <c r="K72" i="3"/>
  <c r="I72" i="3"/>
  <c r="E72" i="3"/>
  <c r="B72" i="3"/>
  <c r="C72" i="3" s="1"/>
  <c r="U71" i="3"/>
  <c r="S71" i="3"/>
  <c r="Q71" i="3"/>
  <c r="O71" i="3"/>
  <c r="M71" i="3"/>
  <c r="K71" i="3"/>
  <c r="I71" i="3"/>
  <c r="E71" i="3"/>
  <c r="B71" i="3"/>
  <c r="C71" i="3" s="1"/>
  <c r="U70" i="3"/>
  <c r="S70" i="3"/>
  <c r="Q70" i="3"/>
  <c r="O70" i="3"/>
  <c r="M70" i="3"/>
  <c r="K70" i="3"/>
  <c r="I70" i="3"/>
  <c r="E70" i="3"/>
  <c r="C70" i="3"/>
  <c r="B70" i="3"/>
  <c r="U69" i="3"/>
  <c r="S69" i="3"/>
  <c r="Q69" i="3"/>
  <c r="O69" i="3"/>
  <c r="M69" i="3"/>
  <c r="K69" i="3"/>
  <c r="I69" i="3"/>
  <c r="E69" i="3"/>
  <c r="C69" i="3"/>
  <c r="B69" i="3"/>
  <c r="U68" i="3"/>
  <c r="S68" i="3"/>
  <c r="Q68" i="3"/>
  <c r="O68" i="3"/>
  <c r="M68" i="3"/>
  <c r="K68" i="3"/>
  <c r="I68" i="3"/>
  <c r="E68" i="3"/>
  <c r="B68" i="3"/>
  <c r="C68" i="3" s="1"/>
  <c r="U67" i="3"/>
  <c r="S67" i="3"/>
  <c r="Q67" i="3"/>
  <c r="O67" i="3"/>
  <c r="M67" i="3"/>
  <c r="K67" i="3"/>
  <c r="I67" i="3"/>
  <c r="E67" i="3"/>
  <c r="B67" i="3"/>
  <c r="C67" i="3" s="1"/>
  <c r="U66" i="3"/>
  <c r="S66" i="3"/>
  <c r="Q66" i="3"/>
  <c r="O66" i="3"/>
  <c r="M66" i="3"/>
  <c r="K66" i="3"/>
  <c r="I66" i="3"/>
  <c r="E66" i="3"/>
  <c r="B66" i="3"/>
  <c r="C66" i="3" s="1"/>
  <c r="U65" i="3"/>
  <c r="S65" i="3"/>
  <c r="Q65" i="3"/>
  <c r="O65" i="3"/>
  <c r="M65" i="3"/>
  <c r="K65" i="3"/>
  <c r="I65" i="3"/>
  <c r="E65" i="3"/>
  <c r="B65" i="3"/>
  <c r="C65" i="3" s="1"/>
  <c r="U64" i="3"/>
  <c r="S64" i="3"/>
  <c r="Q64" i="3"/>
  <c r="O64" i="3"/>
  <c r="M64" i="3"/>
  <c r="K64" i="3"/>
  <c r="I64" i="3"/>
  <c r="E64" i="3"/>
  <c r="C64" i="3"/>
  <c r="B64" i="3"/>
  <c r="U63" i="3"/>
  <c r="S63" i="3"/>
  <c r="Q63" i="3"/>
  <c r="O63" i="3"/>
  <c r="M63" i="3"/>
  <c r="K63" i="3"/>
  <c r="I63" i="3"/>
  <c r="E63" i="3"/>
  <c r="C63" i="3"/>
  <c r="B63" i="3"/>
  <c r="U62" i="3"/>
  <c r="S62" i="3"/>
  <c r="Q62" i="3"/>
  <c r="O62" i="3"/>
  <c r="M62" i="3"/>
  <c r="K62" i="3"/>
  <c r="I62" i="3"/>
  <c r="E62" i="3"/>
  <c r="B62" i="3"/>
  <c r="C62" i="3" s="1"/>
  <c r="U61" i="3"/>
  <c r="S61" i="3"/>
  <c r="Q61" i="3"/>
  <c r="O61" i="3"/>
  <c r="M61" i="3"/>
  <c r="K61" i="3"/>
  <c r="I61" i="3"/>
  <c r="E61" i="3"/>
  <c r="B61" i="3"/>
  <c r="C61" i="3" s="1"/>
  <c r="U60" i="3"/>
  <c r="S60" i="3"/>
  <c r="Q60" i="3"/>
  <c r="O60" i="3"/>
  <c r="M60" i="3"/>
  <c r="K60" i="3"/>
  <c r="I60" i="3"/>
  <c r="E60" i="3"/>
  <c r="B60" i="3"/>
  <c r="C60" i="3" s="1"/>
  <c r="U59" i="3"/>
  <c r="S59" i="3"/>
  <c r="Q59" i="3"/>
  <c r="O59" i="3"/>
  <c r="M59" i="3"/>
  <c r="K59" i="3"/>
  <c r="I59" i="3"/>
  <c r="E59" i="3"/>
  <c r="B59" i="3"/>
  <c r="C59" i="3" s="1"/>
  <c r="U58" i="3"/>
  <c r="S58" i="3"/>
  <c r="Q58" i="3"/>
  <c r="O58" i="3"/>
  <c r="M58" i="3"/>
  <c r="K58" i="3"/>
  <c r="I58" i="3"/>
  <c r="E58" i="3"/>
  <c r="C58" i="3"/>
  <c r="B58" i="3"/>
  <c r="U57" i="3"/>
  <c r="S57" i="3"/>
  <c r="Q57" i="3"/>
  <c r="O57" i="3"/>
  <c r="M57" i="3"/>
  <c r="K57" i="3"/>
  <c r="I57" i="3"/>
  <c r="E57" i="3"/>
  <c r="C57" i="3"/>
  <c r="B57" i="3"/>
  <c r="U56" i="3"/>
  <c r="S56" i="3"/>
  <c r="Q56" i="3"/>
  <c r="O56" i="3"/>
  <c r="M56" i="3"/>
  <c r="K56" i="3"/>
  <c r="I56" i="3"/>
  <c r="E56" i="3"/>
  <c r="B56" i="3"/>
  <c r="C56" i="3" s="1"/>
  <c r="U55" i="3"/>
  <c r="S55" i="3"/>
  <c r="Q55" i="3"/>
  <c r="O55" i="3"/>
  <c r="M55" i="3"/>
  <c r="K55" i="3"/>
  <c r="I55" i="3"/>
  <c r="E55" i="3"/>
  <c r="B55" i="3"/>
  <c r="C55" i="3" s="1"/>
  <c r="U54" i="3"/>
  <c r="S54" i="3"/>
  <c r="Q54" i="3"/>
  <c r="O54" i="3"/>
  <c r="M54" i="3"/>
  <c r="K54" i="3"/>
  <c r="I54" i="3"/>
  <c r="E54" i="3"/>
  <c r="B54" i="3"/>
  <c r="C54" i="3" s="1"/>
  <c r="U53" i="3"/>
  <c r="S53" i="3"/>
  <c r="Q53" i="3"/>
  <c r="O53" i="3"/>
  <c r="M53" i="3"/>
  <c r="K53" i="3"/>
  <c r="I53" i="3"/>
  <c r="E53" i="3"/>
  <c r="B53" i="3"/>
  <c r="C53" i="3" s="1"/>
  <c r="U52" i="3"/>
  <c r="S52" i="3"/>
  <c r="Q52" i="3"/>
  <c r="O52" i="3"/>
  <c r="M52" i="3"/>
  <c r="K52" i="3"/>
  <c r="I52" i="3"/>
  <c r="E52" i="3"/>
  <c r="C52" i="3"/>
  <c r="B52" i="3"/>
  <c r="U51" i="3"/>
  <c r="S51" i="3"/>
  <c r="Q51" i="3"/>
  <c r="O51" i="3"/>
  <c r="M51" i="3"/>
  <c r="K51" i="3"/>
  <c r="I51" i="3"/>
  <c r="E51" i="3"/>
  <c r="C51" i="3"/>
  <c r="B51" i="3"/>
  <c r="U50" i="3"/>
  <c r="S50" i="3"/>
  <c r="Q50" i="3"/>
  <c r="O50" i="3"/>
  <c r="M50" i="3"/>
  <c r="K50" i="3"/>
  <c r="I50" i="3"/>
  <c r="E50" i="3"/>
  <c r="B50" i="3"/>
  <c r="C50" i="3" s="1"/>
  <c r="U49" i="3"/>
  <c r="S49" i="3"/>
  <c r="Q49" i="3"/>
  <c r="O49" i="3"/>
  <c r="M49" i="3"/>
  <c r="K49" i="3"/>
  <c r="I49" i="3"/>
  <c r="E49" i="3"/>
  <c r="B49" i="3"/>
  <c r="C49" i="3" s="1"/>
  <c r="U48" i="3"/>
  <c r="S48" i="3"/>
  <c r="Q48" i="3"/>
  <c r="O48" i="3"/>
  <c r="M48" i="3"/>
  <c r="K48" i="3"/>
  <c r="I48" i="3"/>
  <c r="E48" i="3"/>
  <c r="C48" i="3"/>
  <c r="B48" i="3"/>
  <c r="U47" i="3"/>
  <c r="S47" i="3"/>
  <c r="Q47" i="3"/>
  <c r="O47" i="3"/>
  <c r="M47" i="3"/>
  <c r="K47" i="3"/>
  <c r="I47" i="3"/>
  <c r="E47" i="3"/>
  <c r="B47" i="3"/>
  <c r="C47" i="3" s="1"/>
  <c r="U46" i="3"/>
  <c r="S46" i="3"/>
  <c r="Q46" i="3"/>
  <c r="O46" i="3"/>
  <c r="M46" i="3"/>
  <c r="K46" i="3"/>
  <c r="I46" i="3"/>
  <c r="E46" i="3"/>
  <c r="C46" i="3"/>
  <c r="B46" i="3"/>
  <c r="U45" i="3"/>
  <c r="S45" i="3"/>
  <c r="Q45" i="3"/>
  <c r="O45" i="3"/>
  <c r="M45" i="3"/>
  <c r="K45" i="3"/>
  <c r="I45" i="3"/>
  <c r="E45" i="3"/>
  <c r="C45" i="3"/>
  <c r="B45" i="3"/>
  <c r="U44" i="3"/>
  <c r="S44" i="3"/>
  <c r="Q44" i="3"/>
  <c r="O44" i="3"/>
  <c r="M44" i="3"/>
  <c r="K44" i="3"/>
  <c r="I44" i="3"/>
  <c r="E44" i="3"/>
  <c r="B44" i="3"/>
  <c r="C44" i="3" s="1"/>
  <c r="U43" i="3"/>
  <c r="S43" i="3"/>
  <c r="Q43" i="3"/>
  <c r="O43" i="3"/>
  <c r="M43" i="3"/>
  <c r="K43" i="3"/>
  <c r="I43" i="3"/>
  <c r="E43" i="3"/>
  <c r="B43" i="3"/>
  <c r="C43" i="3" s="1"/>
  <c r="U42" i="3"/>
  <c r="S42" i="3"/>
  <c r="Q42" i="3"/>
  <c r="O42" i="3"/>
  <c r="M42" i="3"/>
  <c r="K42" i="3"/>
  <c r="I42" i="3"/>
  <c r="E42" i="3"/>
  <c r="B42" i="3"/>
  <c r="C42" i="3" s="1"/>
  <c r="U41" i="3"/>
  <c r="S41" i="3"/>
  <c r="Q41" i="3"/>
  <c r="O41" i="3"/>
  <c r="M41" i="3"/>
  <c r="K41" i="3"/>
  <c r="I41" i="3"/>
  <c r="E41" i="3"/>
  <c r="B41" i="3"/>
  <c r="C41" i="3" s="1"/>
  <c r="U40" i="3"/>
  <c r="S40" i="3"/>
  <c r="Q40" i="3"/>
  <c r="O40" i="3"/>
  <c r="M40" i="3"/>
  <c r="K40" i="3"/>
  <c r="I40" i="3"/>
  <c r="E40" i="3"/>
  <c r="C40" i="3"/>
  <c r="B40" i="3"/>
  <c r="U39" i="3"/>
  <c r="S39" i="3"/>
  <c r="Q39" i="3"/>
  <c r="O39" i="3"/>
  <c r="M39" i="3"/>
  <c r="K39" i="3"/>
  <c r="I39" i="3"/>
  <c r="E39" i="3"/>
  <c r="C39" i="3"/>
  <c r="B39" i="3"/>
  <c r="U38" i="3"/>
  <c r="S38" i="3"/>
  <c r="Q38" i="3"/>
  <c r="O38" i="3"/>
  <c r="M38" i="3"/>
  <c r="K38" i="3"/>
  <c r="I38" i="3"/>
  <c r="E38" i="3"/>
  <c r="B38" i="3"/>
  <c r="C38" i="3" s="1"/>
  <c r="U37" i="3"/>
  <c r="S37" i="3"/>
  <c r="Q37" i="3"/>
  <c r="O37" i="3"/>
  <c r="M37" i="3"/>
  <c r="K37" i="3"/>
  <c r="I37" i="3"/>
  <c r="E37" i="3"/>
  <c r="C37" i="3"/>
  <c r="B37" i="3"/>
  <c r="U36" i="3"/>
  <c r="S36" i="3"/>
  <c r="Q36" i="3"/>
  <c r="O36" i="3"/>
  <c r="M36" i="3"/>
  <c r="K36" i="3"/>
  <c r="I36" i="3"/>
  <c r="E36" i="3"/>
  <c r="B36" i="3"/>
  <c r="C36" i="3" s="1"/>
  <c r="U35" i="3"/>
  <c r="S35" i="3"/>
  <c r="Q35" i="3"/>
  <c r="O35" i="3"/>
  <c r="M35" i="3"/>
  <c r="K35" i="3"/>
  <c r="I35" i="3"/>
  <c r="E35" i="3"/>
  <c r="B35" i="3"/>
  <c r="C35" i="3" s="1"/>
  <c r="U34" i="3"/>
  <c r="S34" i="3"/>
  <c r="Q34" i="3"/>
  <c r="O34" i="3"/>
  <c r="M34" i="3"/>
  <c r="K34" i="3"/>
  <c r="I34" i="3"/>
  <c r="E34" i="3"/>
  <c r="C34" i="3"/>
  <c r="B34" i="3"/>
  <c r="U33" i="3"/>
  <c r="S33" i="3"/>
  <c r="Q33" i="3"/>
  <c r="O33" i="3"/>
  <c r="M33" i="3"/>
  <c r="K33" i="3"/>
  <c r="I33" i="3"/>
  <c r="E33" i="3"/>
  <c r="C33" i="3"/>
  <c r="B33" i="3"/>
  <c r="U32" i="3"/>
  <c r="S32" i="3"/>
  <c r="Q32" i="3"/>
  <c r="O32" i="3"/>
  <c r="M32" i="3"/>
  <c r="K32" i="3"/>
  <c r="I32" i="3"/>
  <c r="E32" i="3"/>
  <c r="B32" i="3"/>
  <c r="C32" i="3" s="1"/>
  <c r="U31" i="3"/>
  <c r="S31" i="3"/>
  <c r="Q31" i="3"/>
  <c r="O31" i="3"/>
  <c r="M31" i="3"/>
  <c r="K31" i="3"/>
  <c r="I31" i="3"/>
  <c r="E31" i="3"/>
  <c r="B31" i="3"/>
  <c r="C31" i="3" s="1"/>
  <c r="U30" i="3"/>
  <c r="S30" i="3"/>
  <c r="Q30" i="3"/>
  <c r="O30" i="3"/>
  <c r="M30" i="3"/>
  <c r="K30" i="3"/>
  <c r="I30" i="3"/>
  <c r="E30" i="3"/>
  <c r="B30" i="3"/>
  <c r="C30" i="3" s="1"/>
  <c r="U29" i="3"/>
  <c r="S29" i="3"/>
  <c r="Q29" i="3"/>
  <c r="O29" i="3"/>
  <c r="M29" i="3"/>
  <c r="K29" i="3"/>
  <c r="I29" i="3"/>
  <c r="E29" i="3"/>
  <c r="B29" i="3"/>
  <c r="C29" i="3" s="1"/>
  <c r="U28" i="3"/>
  <c r="S28" i="3"/>
  <c r="Q28" i="3"/>
  <c r="O28" i="3"/>
  <c r="M28" i="3"/>
  <c r="K28" i="3"/>
  <c r="I28" i="3"/>
  <c r="E28" i="3"/>
  <c r="C28" i="3"/>
  <c r="B28" i="3"/>
  <c r="U27" i="3"/>
  <c r="S27" i="3"/>
  <c r="Q27" i="3"/>
  <c r="O27" i="3"/>
  <c r="M27" i="3"/>
  <c r="K27" i="3"/>
  <c r="I27" i="3"/>
  <c r="E27" i="3"/>
  <c r="C27" i="3"/>
  <c r="B27" i="3"/>
  <c r="U26" i="3"/>
  <c r="S26" i="3"/>
  <c r="Q26" i="3"/>
  <c r="O26" i="3"/>
  <c r="M26" i="3"/>
  <c r="K26" i="3"/>
  <c r="I26" i="3"/>
  <c r="E26" i="3"/>
  <c r="C26" i="3"/>
  <c r="B26" i="3"/>
  <c r="U25" i="3"/>
  <c r="S25" i="3"/>
  <c r="Q25" i="3"/>
  <c r="O25" i="3"/>
  <c r="M25" i="3"/>
  <c r="K25" i="3"/>
  <c r="I25" i="3"/>
  <c r="E25" i="3"/>
  <c r="B25" i="3"/>
  <c r="C25" i="3" s="1"/>
  <c r="U24" i="3"/>
  <c r="S24" i="3"/>
  <c r="Q24" i="3"/>
  <c r="O24" i="3"/>
  <c r="M24" i="3"/>
  <c r="K24" i="3"/>
  <c r="I24" i="3"/>
  <c r="E24" i="3"/>
  <c r="C24" i="3"/>
  <c r="B24" i="3"/>
  <c r="U23" i="3"/>
  <c r="S23" i="3"/>
  <c r="Q23" i="3"/>
  <c r="O23" i="3"/>
  <c r="M23" i="3"/>
  <c r="K23" i="3"/>
  <c r="I23" i="3"/>
  <c r="E23" i="3"/>
  <c r="B23" i="3"/>
  <c r="C23" i="3" s="1"/>
  <c r="U22" i="3"/>
  <c r="S22" i="3"/>
  <c r="Q22" i="3"/>
  <c r="O22" i="3"/>
  <c r="M22" i="3"/>
  <c r="K22" i="3"/>
  <c r="I22" i="3"/>
  <c r="E22" i="3"/>
  <c r="C22" i="3"/>
  <c r="B22" i="3"/>
  <c r="U21" i="3"/>
  <c r="S21" i="3"/>
  <c r="Q21" i="3"/>
  <c r="O21" i="3"/>
  <c r="M21" i="3"/>
  <c r="K21" i="3"/>
  <c r="I21" i="3"/>
  <c r="E21" i="3"/>
  <c r="C21" i="3"/>
  <c r="B21" i="3"/>
  <c r="U20" i="3"/>
  <c r="S20" i="3"/>
  <c r="Q20" i="3"/>
  <c r="O20" i="3"/>
  <c r="M20" i="3"/>
  <c r="K20" i="3"/>
  <c r="I20" i="3"/>
  <c r="E20" i="3"/>
  <c r="B20" i="3"/>
  <c r="C20" i="3" s="1"/>
  <c r="U19" i="3"/>
  <c r="S19" i="3"/>
  <c r="Q19" i="3"/>
  <c r="O19" i="3"/>
  <c r="M19" i="3"/>
  <c r="K19" i="3"/>
  <c r="I19" i="3"/>
  <c r="E19" i="3"/>
  <c r="B19" i="3"/>
  <c r="C19" i="3" s="1"/>
  <c r="U18" i="3"/>
  <c r="S18" i="3"/>
  <c r="Q18" i="3"/>
  <c r="O18" i="3"/>
  <c r="M18" i="3"/>
  <c r="K18" i="3"/>
  <c r="I18" i="3"/>
  <c r="E18" i="3"/>
  <c r="C18" i="3"/>
  <c r="B18" i="3"/>
  <c r="U17" i="3"/>
  <c r="S17" i="3"/>
  <c r="Q17" i="3"/>
  <c r="O17" i="3"/>
  <c r="M17" i="3"/>
  <c r="K17" i="3"/>
  <c r="I17" i="3"/>
  <c r="E17" i="3"/>
  <c r="B17" i="3"/>
  <c r="C17" i="3" s="1"/>
  <c r="U16" i="3"/>
  <c r="S16" i="3"/>
  <c r="Q16" i="3"/>
  <c r="O16" i="3"/>
  <c r="M16" i="3"/>
  <c r="K16" i="3"/>
  <c r="I16" i="3"/>
  <c r="E16" i="3"/>
  <c r="C16" i="3"/>
  <c r="B16" i="3"/>
  <c r="U15" i="3"/>
  <c r="S15" i="3"/>
  <c r="Q15" i="3"/>
  <c r="O15" i="3"/>
  <c r="M15" i="3"/>
  <c r="K15" i="3"/>
  <c r="I15" i="3"/>
  <c r="E15" i="3"/>
  <c r="C15" i="3"/>
  <c r="B15" i="3"/>
  <c r="U14" i="3"/>
  <c r="S14" i="3"/>
  <c r="Q14" i="3"/>
  <c r="O14" i="3"/>
  <c r="M14" i="3"/>
  <c r="K14" i="3"/>
  <c r="I14" i="3"/>
  <c r="E14" i="3"/>
  <c r="B14" i="3"/>
  <c r="C14" i="3" s="1"/>
  <c r="U13" i="3"/>
  <c r="S13" i="3"/>
  <c r="Q13" i="3"/>
  <c r="O13" i="3"/>
  <c r="M13" i="3"/>
  <c r="K13" i="3"/>
  <c r="I13" i="3"/>
  <c r="E13" i="3"/>
  <c r="C13" i="3"/>
  <c r="B13" i="3"/>
  <c r="U12" i="3"/>
  <c r="S12" i="3"/>
  <c r="Q12" i="3"/>
  <c r="O12" i="3"/>
  <c r="M12" i="3"/>
  <c r="K12" i="3"/>
  <c r="I12" i="3"/>
  <c r="E12" i="3"/>
  <c r="B12" i="3"/>
  <c r="C12" i="3" s="1"/>
  <c r="U11" i="3"/>
  <c r="S11" i="3"/>
  <c r="Q11" i="3"/>
  <c r="O11" i="3"/>
  <c r="M11" i="3"/>
  <c r="K11" i="3"/>
  <c r="I11" i="3"/>
  <c r="E11" i="3"/>
  <c r="B11" i="3"/>
  <c r="C11" i="3" s="1"/>
  <c r="U10" i="3"/>
  <c r="S10" i="3"/>
  <c r="Q10" i="3"/>
  <c r="O10" i="3"/>
  <c r="M10" i="3"/>
  <c r="K10" i="3"/>
  <c r="I10" i="3"/>
  <c r="E10" i="3"/>
  <c r="C10" i="3"/>
  <c r="B10" i="3"/>
  <c r="U9" i="3"/>
  <c r="S9" i="3"/>
  <c r="Q9" i="3"/>
  <c r="O9" i="3"/>
  <c r="M9" i="3"/>
  <c r="K9" i="3"/>
  <c r="I9" i="3"/>
  <c r="E9" i="3"/>
  <c r="C9" i="3"/>
  <c r="B9" i="3"/>
  <c r="U8" i="3"/>
  <c r="S8" i="3"/>
  <c r="Q8" i="3"/>
  <c r="O8" i="3"/>
  <c r="M8" i="3"/>
  <c r="K8" i="3"/>
  <c r="I8" i="3"/>
  <c r="E8" i="3"/>
  <c r="B8" i="3"/>
  <c r="C8" i="3" s="1"/>
  <c r="U7" i="3"/>
  <c r="S7" i="3"/>
  <c r="Q7" i="3"/>
  <c r="O7" i="3"/>
  <c r="M7" i="3"/>
  <c r="K7" i="3"/>
  <c r="I7" i="3"/>
  <c r="E7" i="3"/>
  <c r="B7" i="3"/>
  <c r="C7" i="3" s="1"/>
  <c r="U6" i="3"/>
  <c r="S6" i="3"/>
  <c r="Q6" i="3"/>
  <c r="O6" i="3"/>
  <c r="M6" i="3"/>
  <c r="K6" i="3"/>
  <c r="I6" i="3"/>
  <c r="E6" i="3"/>
  <c r="C6" i="3"/>
  <c r="B6" i="3"/>
  <c r="U5" i="3"/>
  <c r="S5" i="3"/>
  <c r="Q5" i="3"/>
  <c r="O5" i="3"/>
  <c r="M5" i="3"/>
  <c r="K5" i="3"/>
  <c r="I5" i="3"/>
  <c r="E5" i="3"/>
  <c r="B5" i="3"/>
  <c r="C5" i="3" s="1"/>
  <c r="U4" i="3"/>
  <c r="S4" i="3"/>
  <c r="Q4" i="3"/>
  <c r="O4" i="3"/>
  <c r="M4" i="3"/>
  <c r="K4" i="3"/>
  <c r="I4" i="3"/>
  <c r="E4" i="3"/>
  <c r="C4" i="3"/>
  <c r="B4" i="3"/>
  <c r="U3" i="3"/>
  <c r="S3" i="3"/>
  <c r="Q3" i="3"/>
  <c r="O3" i="3"/>
  <c r="M3" i="3"/>
  <c r="K3" i="3"/>
  <c r="I3" i="3"/>
  <c r="E3" i="3"/>
  <c r="C3" i="3"/>
  <c r="B3" i="3"/>
  <c r="U2" i="3"/>
  <c r="S2" i="3"/>
  <c r="Q2" i="3"/>
  <c r="O2" i="3"/>
  <c r="M2" i="3"/>
  <c r="K2" i="3"/>
  <c r="I2" i="3"/>
  <c r="E2" i="3"/>
  <c r="C2" i="3"/>
  <c r="B2" i="3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C92" i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C129" i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2" i="1"/>
  <c r="C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5" i="1"/>
  <c r="Y406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9" i="1"/>
  <c r="Y700" i="1"/>
  <c r="Y701" i="1"/>
  <c r="Y702" i="1"/>
  <c r="Y703" i="1"/>
  <c r="Y704" i="1"/>
  <c r="Y705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7" i="1"/>
  <c r="Y778" i="1"/>
  <c r="Y779" i="1"/>
  <c r="Y780" i="1"/>
  <c r="Y781" i="1"/>
  <c r="Y782" i="1"/>
  <c r="Y783" i="1"/>
  <c r="Y784" i="1"/>
  <c r="Y785" i="1"/>
  <c r="Y786" i="1"/>
  <c r="Y787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5" i="1"/>
  <c r="M116" i="1"/>
  <c r="M117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80" i="1"/>
  <c r="M181" i="1"/>
  <c r="M182" i="1"/>
  <c r="M183" i="1"/>
  <c r="M184" i="1"/>
  <c r="M185" i="1"/>
  <c r="M186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6" i="1"/>
  <c r="M807" i="1"/>
  <c r="M808" i="1"/>
  <c r="M809" i="1"/>
  <c r="M810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2" i="1"/>
  <c r="M873" i="1"/>
  <c r="M874" i="1"/>
  <c r="M875" i="1"/>
  <c r="M876" i="1"/>
  <c r="M877" i="1"/>
  <c r="M878" i="1"/>
  <c r="M879" i="1"/>
  <c r="M880" i="1"/>
  <c r="M881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3" i="1"/>
  <c r="I2" i="1"/>
</calcChain>
</file>

<file path=xl/sharedStrings.xml><?xml version="1.0" encoding="utf-8"?>
<sst xmlns="http://schemas.openxmlformats.org/spreadsheetml/2006/main" count="21076" uniqueCount="2829">
  <si>
    <t>order_date</t>
  </si>
  <si>
    <t>ship_date</t>
  </si>
  <si>
    <t>customer_id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</si>
  <si>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</si>
  <si>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</si>
  <si>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</si>
  <si>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</si>
  <si>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</si>
  <si>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</si>
  <si>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</si>
  <si>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</si>
  <si>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</si>
  <si>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</si>
  <si>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</si>
  <si>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</si>
  <si>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</si>
  <si>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</si>
  <si>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</si>
  <si>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</si>
  <si>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</si>
  <si>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</si>
  <si>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</si>
  <si>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</si>
  <si>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</si>
  <si>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</si>
  <si>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</si>
  <si>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</si>
  <si>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</si>
  <si>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</si>
  <si>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</si>
  <si>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</si>
  <si>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</si>
  <si>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</si>
  <si>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</si>
  <si>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</si>
  <si>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</si>
  <si>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</si>
  <si>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</si>
  <si>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</si>
  <si>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</si>
  <si>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</si>
  <si>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</si>
  <si>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</si>
  <si>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</si>
  <si>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</si>
  <si>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</si>
  <si>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</si>
  <si>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</si>
  <si>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</si>
  <si>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</si>
  <si>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</si>
  <si>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</si>
  <si>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</si>
  <si>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</si>
  <si>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</si>
  <si>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</si>
  <si>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</si>
  <si>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</si>
  <si>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</si>
  <si>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</si>
  <si>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</si>
  <si>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</si>
  <si>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</si>
  <si>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</si>
  <si>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</si>
  <si>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</si>
  <si>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</si>
  <si>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</si>
  <si>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</si>
  <si>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</si>
  <si>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</si>
  <si>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</si>
  <si>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</si>
  <si>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</si>
  <si>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</si>
  <si>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</si>
  <si>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</si>
  <si>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</si>
  <si>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</si>
  <si>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</si>
  <si>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</si>
  <si>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</si>
  <si>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</si>
  <si>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</si>
  <si>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</si>
  <si>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</si>
  <si>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</si>
  <si>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</si>
  <si>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</si>
  <si>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</si>
  <si>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</si>
  <si>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</si>
  <si>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</si>
  <si>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</si>
  <si>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</si>
  <si>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</si>
  <si>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</si>
  <si>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</si>
  <si>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</si>
  <si>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</si>
  <si>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</si>
  <si>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</si>
  <si>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</si>
  <si>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</si>
  <si>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</si>
  <si>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</si>
  <si>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</si>
  <si>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</si>
  <si>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</si>
  <si>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</si>
  <si>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</si>
  <si>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</si>
  <si>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</si>
  <si>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</si>
  <si>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</si>
  <si>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</si>
  <si>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</si>
  <si>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</si>
  <si>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</si>
  <si>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</si>
  <si>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</si>
  <si>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</si>
  <si>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</si>
  <si>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</si>
  <si>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</si>
  <si>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</si>
  <si>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</si>
  <si>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</si>
  <si>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</si>
  <si>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</si>
  <si>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</si>
  <si>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</si>
  <si>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</si>
  <si>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</si>
  <si>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</si>
  <si>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</si>
  <si>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</si>
  <si>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</si>
  <si>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</si>
  <si>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</si>
  <si>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</si>
  <si>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</si>
  <si>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</si>
  <si>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</si>
  <si>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</si>
  <si>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</si>
  <si>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</si>
  <si>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</si>
  <si>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</si>
  <si>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</si>
  <si>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</si>
  <si>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</si>
  <si>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</si>
  <si>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</si>
  <si>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</si>
  <si>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</si>
  <si>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</si>
  <si>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</si>
  <si>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</si>
  <si>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</si>
  <si>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</si>
  <si>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</si>
  <si>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</si>
  <si>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</si>
  <si>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</si>
  <si>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</si>
  <si>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</si>
  <si>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</si>
  <si>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</si>
  <si>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</si>
  <si>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</si>
  <si>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</si>
  <si>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</si>
  <si>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</si>
  <si>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</si>
  <si>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</si>
  <si>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</si>
  <si>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</si>
  <si>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</si>
  <si>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</si>
  <si>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</si>
  <si>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</si>
  <si>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</si>
  <si>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</si>
  <si>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</si>
  <si>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</si>
  <si>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</si>
  <si>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</si>
  <si>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</si>
  <si>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</si>
  <si>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</si>
  <si>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</si>
  <si>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</si>
  <si>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</si>
  <si>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</si>
  <si>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</si>
  <si>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</si>
  <si>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</si>
  <si>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</si>
  <si>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</si>
  <si>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</si>
  <si>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</si>
  <si>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</si>
  <si>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</si>
  <si>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</si>
  <si>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</si>
  <si>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</si>
  <si>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</si>
  <si>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</si>
  <si>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</si>
  <si>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</si>
  <si>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</si>
  <si>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</si>
  <si>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</si>
  <si>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</si>
  <si>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</si>
  <si>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</si>
  <si>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</si>
  <si>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</si>
  <si>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</si>
  <si>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</si>
  <si>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</si>
  <si>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</si>
  <si>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</si>
  <si>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</si>
  <si>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</si>
  <si>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</si>
  <si>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</si>
  <si>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</si>
  <si>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</si>
  <si>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</si>
  <si>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</si>
  <si>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</si>
  <si>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</si>
  <si>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</si>
  <si>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</si>
  <si>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</si>
  <si>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</si>
  <si>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</si>
  <si>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</si>
  <si>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</si>
  <si>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</si>
  <si>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</si>
  <si>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</si>
  <si>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</si>
  <si>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</si>
  <si>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</si>
  <si>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</si>
  <si>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</si>
  <si>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</si>
  <si>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</si>
  <si>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</si>
  <si>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</si>
  <si>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</si>
  <si>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</si>
  <si>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</si>
  <si>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</si>
  <si>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</si>
  <si>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</si>
  <si>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</si>
  <si>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</si>
  <si>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</si>
  <si>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</si>
  <si>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</si>
  <si>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</si>
  <si>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</si>
  <si>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</si>
  <si>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</si>
  <si>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</si>
  <si>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</si>
  <si>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</si>
  <si>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</si>
  <si>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</si>
  <si>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</si>
  <si>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</si>
  <si>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</si>
  <si>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</si>
  <si>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</si>
  <si>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</si>
  <si>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</si>
  <si>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</si>
  <si>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</si>
  <si>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</si>
  <si>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</si>
  <si>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</si>
  <si>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</si>
  <si>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</si>
  <si>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</si>
  <si>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</si>
  <si>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</si>
  <si>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</si>
  <si>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</si>
  <si>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</si>
  <si>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</si>
  <si>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</si>
  <si>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</si>
  <si>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</si>
  <si>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</si>
  <si>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</si>
  <si>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</si>
  <si>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</si>
  <si>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</si>
  <si>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</si>
  <si>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</si>
  <si>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</si>
  <si>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</si>
  <si>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</si>
  <si>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</si>
  <si>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</si>
  <si>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</si>
  <si>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</si>
  <si>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</si>
  <si>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</si>
  <si>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</si>
  <si>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</si>
  <si>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</si>
  <si>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</si>
  <si>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</si>
  <si>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</si>
  <si>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</si>
  <si>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</si>
  <si>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</si>
  <si>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</si>
  <si>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</si>
  <si>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</si>
  <si>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</si>
  <si>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</si>
  <si>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</si>
  <si>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</si>
  <si>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</si>
  <si>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</si>
  <si>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</si>
  <si>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</si>
  <si>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</si>
  <si>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</si>
  <si>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</si>
  <si>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</si>
  <si>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</si>
  <si>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</si>
  <si>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</si>
  <si>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</si>
  <si>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</si>
  <si>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</si>
  <si>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</si>
  <si>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</si>
  <si>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</si>
  <si>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</si>
  <si>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</si>
  <si>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</si>
  <si>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</si>
  <si>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</si>
  <si>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</si>
  <si>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</si>
  <si>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</si>
  <si>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</si>
  <si>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</si>
  <si>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</si>
  <si>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</si>
  <si>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</si>
  <si>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</si>
  <si>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</si>
  <si>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</si>
  <si>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</si>
  <si>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</si>
  <si>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</si>
  <si>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</si>
  <si>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</si>
  <si>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</si>
  <si>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</si>
  <si>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</si>
  <si>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</si>
  <si>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</si>
  <si>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</si>
  <si>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</si>
  <si>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</si>
  <si>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</si>
  <si>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</si>
  <si>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</si>
  <si>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</si>
  <si>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</si>
  <si>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</si>
  <si>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</si>
  <si>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</si>
  <si>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</si>
  <si>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</si>
  <si>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</si>
  <si>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</si>
  <si>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</si>
  <si>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</si>
  <si>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</si>
  <si>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</si>
  <si>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</si>
  <si>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</si>
  <si>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</si>
  <si>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</si>
  <si>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</si>
  <si>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</si>
  <si>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</si>
  <si>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</si>
  <si>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</si>
  <si>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</si>
  <si>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</si>
  <si>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</si>
  <si>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</si>
  <si>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</si>
  <si>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</si>
  <si>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</si>
  <si>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</si>
  <si>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</si>
  <si>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</si>
  <si>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</si>
  <si>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</si>
  <si>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</si>
  <si>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</si>
  <si>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</si>
  <si>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</si>
  <si>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</si>
  <si>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</si>
  <si>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</si>
  <si>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</si>
  <si>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</si>
  <si>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</si>
  <si>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</si>
  <si>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</si>
  <si>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</si>
  <si>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</si>
  <si>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</si>
  <si>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</si>
  <si>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</si>
  <si>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</si>
  <si>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</si>
  <si>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</si>
  <si>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</si>
  <si>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</si>
  <si>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</si>
  <si>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</si>
  <si>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</si>
  <si>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</si>
  <si>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</si>
  <si>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</si>
  <si>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</si>
  <si>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</si>
  <si>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</si>
  <si>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</si>
  <si>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</si>
  <si>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</si>
  <si>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</si>
  <si>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</si>
  <si>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</si>
  <si>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</si>
  <si>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</si>
  <si>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</si>
  <si>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</si>
  <si>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</si>
  <si>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</si>
  <si>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</si>
  <si>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</si>
  <si>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</si>
  <si>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</si>
  <si>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</si>
  <si>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</si>
  <si>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</si>
  <si>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</si>
  <si>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</si>
  <si>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</si>
  <si>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</si>
  <si>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</si>
  <si>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</si>
  <si>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</si>
  <si>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</si>
  <si>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</si>
  <si>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</si>
  <si>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</si>
  <si>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</si>
  <si>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</si>
  <si>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</si>
  <si>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</si>
  <si>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</si>
  <si>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</si>
  <si>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</si>
  <si>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</si>
  <si>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</si>
  <si>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</si>
  <si>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</si>
  <si>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</si>
  <si>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</si>
  <si>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</si>
  <si>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</si>
  <si>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</si>
  <si>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</si>
  <si>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</si>
  <si>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</si>
  <si>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</si>
  <si>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</si>
  <si>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</si>
  <si>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</si>
  <si>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</si>
  <si>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</si>
  <si>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</si>
  <si>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</si>
  <si>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</si>
  <si>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</si>
  <si>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</si>
  <si>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</si>
  <si>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</si>
  <si>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</si>
  <si>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</si>
  <si>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</si>
  <si>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</si>
  <si>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</si>
  <si>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</si>
  <si>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</si>
  <si>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</si>
  <si>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</si>
  <si>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</si>
  <si>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</si>
  <si>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</si>
  <si>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</si>
  <si>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</si>
  <si>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</si>
  <si>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</si>
  <si>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</si>
  <si>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</si>
  <si>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</si>
  <si>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</si>
  <si>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</si>
  <si>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</si>
  <si>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</si>
  <si>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</si>
  <si>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</si>
  <si>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</si>
  <si>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</si>
  <si>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</si>
  <si>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</si>
  <si>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</si>
  <si>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</si>
  <si>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</si>
  <si>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</si>
  <si>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</si>
  <si>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</si>
  <si>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</si>
  <si>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</si>
  <si>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</si>
  <si>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</si>
  <si>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</si>
  <si>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</si>
  <si>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</si>
  <si>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</si>
  <si>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</si>
  <si>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</si>
  <si>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</si>
  <si>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</si>
  <si>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</si>
  <si>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</si>
  <si>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</si>
  <si>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</si>
  <si>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</si>
  <si>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</si>
  <si>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</si>
  <si>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</si>
  <si>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</si>
  <si>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</si>
  <si>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</si>
  <si>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</si>
  <si>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</si>
  <si>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</si>
  <si>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</si>
  <si>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</si>
  <si>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</si>
  <si>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</si>
  <si>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</si>
  <si>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</si>
  <si>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</si>
  <si>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</si>
  <si>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</si>
  <si>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</si>
  <si>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</si>
  <si>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</si>
  <si>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</si>
  <si>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</si>
  <si>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</si>
  <si>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</si>
  <si>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</si>
  <si>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</si>
  <si>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</si>
  <si>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</si>
  <si>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</si>
  <si>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</si>
  <si>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</si>
  <si>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</si>
  <si>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</si>
  <si>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</si>
  <si>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</si>
  <si>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</si>
  <si>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</si>
  <si>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</si>
  <si>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</si>
  <si>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</si>
  <si>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</si>
  <si>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</si>
  <si>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</si>
  <si>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</si>
  <si>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</si>
  <si>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</si>
  <si>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</si>
  <si>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</si>
  <si>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</si>
  <si>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</si>
  <si>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</si>
  <si>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</si>
  <si>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</si>
  <si>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</si>
  <si>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</si>
  <si>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</si>
  <si>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</si>
  <si>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</si>
  <si>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</si>
  <si>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</si>
  <si>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</si>
  <si>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</si>
  <si>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</si>
  <si>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</si>
  <si>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</si>
  <si>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</si>
  <si>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</si>
  <si>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</si>
  <si>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</si>
  <si>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</si>
  <si>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</si>
  <si>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</si>
  <si>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</si>
  <si>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</si>
  <si>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</si>
  <si>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</si>
  <si>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</si>
  <si>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</si>
  <si>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</si>
  <si>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</si>
  <si>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</si>
  <si>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</si>
  <si>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</si>
  <si>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</si>
  <si>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</si>
  <si>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</si>
  <si>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</si>
  <si>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</si>
  <si>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</si>
  <si>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</si>
  <si>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</si>
  <si>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</si>
  <si>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</si>
  <si>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</si>
  <si>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</si>
  <si>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</si>
  <si>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</si>
  <si>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</si>
  <si>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</si>
  <si>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</si>
  <si>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</si>
  <si>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</si>
  <si>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</si>
  <si>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</si>
  <si>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</si>
  <si>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</si>
  <si>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</si>
  <si>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</si>
  <si>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</si>
  <si>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</si>
  <si>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</si>
  <si>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</si>
  <si>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</si>
  <si>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</si>
  <si>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</si>
  <si>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</si>
  <si>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</si>
  <si>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</si>
  <si>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</si>
  <si>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</si>
  <si>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</si>
  <si>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</si>
  <si>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</si>
  <si>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</si>
  <si>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</si>
  <si>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</si>
  <si>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</si>
  <si>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</si>
  <si>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</si>
  <si>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</si>
  <si>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</si>
  <si>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</si>
  <si>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</si>
  <si>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</si>
  <si>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</si>
  <si>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</si>
  <si>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</si>
  <si>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</si>
  <si>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</si>
  <si>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</si>
  <si>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</si>
  <si>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</si>
  <si>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</si>
  <si>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</si>
  <si>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</si>
  <si>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</si>
  <si>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</si>
  <si>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</si>
  <si>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</si>
  <si>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</si>
  <si>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</si>
  <si>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</si>
  <si>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</si>
  <si>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</si>
  <si>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</si>
  <si>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</si>
  <si>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</si>
  <si>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</si>
  <si>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</si>
  <si>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</si>
  <si>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</si>
  <si>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</si>
  <si>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</si>
  <si>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</si>
  <si>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</si>
  <si>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</si>
  <si>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</si>
  <si>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</si>
  <si>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</si>
  <si>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</si>
  <si>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</si>
  <si>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</si>
  <si>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</si>
  <si>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</si>
  <si>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</si>
  <si>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</si>
  <si>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</si>
  <si>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</si>
  <si>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</si>
  <si>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</si>
  <si>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</si>
  <si>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</si>
  <si>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</si>
  <si>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</si>
  <si>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</si>
  <si>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</si>
  <si>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</si>
  <si>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</si>
  <si>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</si>
  <si>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</si>
  <si>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</si>
  <si>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</si>
  <si>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</si>
  <si>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</si>
  <si>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</si>
  <si>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</si>
  <si>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</si>
  <si>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</si>
  <si>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</si>
  <si>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</si>
  <si>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</si>
  <si>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</si>
  <si>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</si>
  <si>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</si>
  <si>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</si>
  <si>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</si>
  <si>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</si>
  <si>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</si>
  <si>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</si>
  <si>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</si>
  <si>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</si>
  <si>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</si>
  <si>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</si>
  <si>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</si>
  <si>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</si>
  <si>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</si>
  <si>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</si>
  <si>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</si>
  <si>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</si>
  <si>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</si>
  <si>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</si>
  <si>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</si>
  <si>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</si>
  <si>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</si>
  <si>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</si>
  <si>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</si>
  <si>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</si>
  <si>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</si>
  <si>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</si>
  <si>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</si>
  <si>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</si>
  <si>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</si>
  <si>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</si>
  <si>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</si>
  <si>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</si>
  <si>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</si>
  <si>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</si>
  <si>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</si>
  <si>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</si>
  <si>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</si>
  <si>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</si>
  <si>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</si>
  <si>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</si>
  <si>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</si>
  <si>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</si>
  <si>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</si>
  <si>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</si>
  <si>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</si>
  <si>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</si>
  <si>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</si>
  <si>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</si>
  <si>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</si>
  <si>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</si>
  <si>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</si>
  <si>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</si>
  <si>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</si>
  <si>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</si>
  <si>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</si>
  <si>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</si>
  <si>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</si>
  <si>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</si>
  <si>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</si>
  <si>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</si>
  <si>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</si>
  <si>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</si>
  <si>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</si>
  <si>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</si>
  <si>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</si>
  <si>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</si>
  <si>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</si>
  <si>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</si>
  <si>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</si>
  <si>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</si>
  <si>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</si>
  <si>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</si>
  <si>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</si>
  <si>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</si>
  <si>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</si>
  <si>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</si>
  <si>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</si>
  <si>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</si>
  <si>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</si>
  <si>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</si>
  <si>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</si>
  <si>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</si>
  <si>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</si>
  <si>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</si>
  <si>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</si>
  <si>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</si>
  <si>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</si>
  <si>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</si>
  <si>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</si>
  <si>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</si>
  <si>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</si>
  <si>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</si>
  <si>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</si>
  <si>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</si>
  <si>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</si>
  <si>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</si>
  <si>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</si>
  <si>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</si>
  <si>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</si>
  <si>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</si>
  <si>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</si>
  <si>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</si>
  <si>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</si>
  <si>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</si>
  <si>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</si>
  <si>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</si>
  <si>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</si>
  <si>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</si>
  <si>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</si>
  <si>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</si>
  <si>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</si>
  <si>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</si>
  <si>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</si>
  <si>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</si>
  <si>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</si>
  <si>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</si>
  <si>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</si>
  <si>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</si>
  <si>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</si>
  <si>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</si>
  <si>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</si>
  <si>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</si>
  <si>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</si>
  <si>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</si>
  <si>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</si>
  <si>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</si>
  <si>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</si>
  <si>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</si>
  <si>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</si>
  <si>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</si>
  <si>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</si>
  <si>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</si>
  <si>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</si>
  <si>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</si>
  <si>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</si>
  <si>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</si>
  <si>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</si>
  <si>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</si>
  <si>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</si>
  <si>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</si>
  <si>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</si>
  <si>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</si>
  <si>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</si>
  <si>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</si>
  <si>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</si>
  <si>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</si>
  <si>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</si>
  <si>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</si>
  <si>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</si>
  <si>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</si>
  <si>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</si>
  <si>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</si>
  <si>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</si>
  <si>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</si>
  <si>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</si>
  <si>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</si>
  <si>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</si>
  <si>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</si>
  <si>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</si>
  <si>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</si>
  <si>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</si>
  <si>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</si>
  <si>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</si>
  <si>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</si>
  <si>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</si>
  <si>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</si>
  <si>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</si>
  <si>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</si>
  <si>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</si>
  <si>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</si>
  <si>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</si>
  <si>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</si>
  <si>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</si>
  <si>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</si>
  <si>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</si>
  <si>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</si>
  <si>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</si>
  <si>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</si>
  <si>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</si>
  <si>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</si>
  <si>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</si>
  <si>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</si>
  <si>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</si>
  <si>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</si>
  <si>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</si>
  <si>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</si>
  <si>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</si>
  <si>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</si>
  <si>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</si>
  <si>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</si>
  <si>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</si>
  <si>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</si>
  <si>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</si>
  <si>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</si>
  <si>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</si>
  <si>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</si>
  <si>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</si>
  <si>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</si>
  <si>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</si>
  <si>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</si>
  <si>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</si>
  <si>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</si>
  <si>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</si>
  <si>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</si>
  <si>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</si>
  <si>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</si>
  <si>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</si>
  <si>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</si>
  <si>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</si>
  <si>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</si>
  <si>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</si>
  <si>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</si>
  <si>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</si>
  <si>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</si>
  <si>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</si>
  <si>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</si>
  <si>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</si>
  <si>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</si>
  <si>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</si>
  <si>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</si>
  <si>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</si>
  <si>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</si>
  <si>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</si>
  <si>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</si>
  <si>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</si>
  <si>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</si>
  <si>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</si>
  <si>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</si>
  <si>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</si>
  <si>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</si>
  <si>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</si>
  <si>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</si>
  <si>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</si>
  <si>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</si>
  <si>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</si>
  <si>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</si>
  <si>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</si>
  <si>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</si>
  <si>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</si>
  <si>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</si>
  <si>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</si>
  <si>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</si>
  <si>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</si>
  <si>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</si>
  <si>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</si>
  <si>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</si>
  <si>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</si>
  <si>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</si>
  <si>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</si>
  <si>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</si>
  <si>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</si>
  <si>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</si>
  <si>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</si>
  <si>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</si>
  <si>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</si>
  <si>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</si>
  <si>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</si>
  <si>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</si>
  <si>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</si>
  <si>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</si>
  <si>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</si>
  <si>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</si>
  <si>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</si>
  <si>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</si>
  <si>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</si>
  <si>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</si>
  <si>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</si>
  <si>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</si>
  <si>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</si>
  <si>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</si>
  <si>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</si>
  <si>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</si>
  <si>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</si>
  <si>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</si>
  <si>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</si>
  <si>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</si>
  <si>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</si>
  <si>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</si>
  <si>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</si>
  <si>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</si>
  <si>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</si>
  <si>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</si>
  <si>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</si>
  <si>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</si>
  <si>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</si>
  <si>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</si>
  <si>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</si>
  <si>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</si>
  <si>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</si>
  <si>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</si>
  <si>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</si>
  <si>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</si>
  <si>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</si>
  <si>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</si>
  <si>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</si>
  <si>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</si>
  <si>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</si>
  <si>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</si>
  <si>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</si>
  <si>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</si>
  <si>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</si>
  <si>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</si>
  <si>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</si>
  <si>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</si>
  <si>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</si>
  <si>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</si>
  <si>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</si>
  <si>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</si>
  <si>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</si>
  <si>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</si>
  <si>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</si>
  <si>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</si>
  <si>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</si>
  <si>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</si>
  <si>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</si>
  <si>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</si>
  <si>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</si>
  <si>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</si>
  <si>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</si>
  <si>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</si>
  <si>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</si>
  <si>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</si>
  <si>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</si>
  <si>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</si>
  <si>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</si>
  <si>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</si>
  <si>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</si>
  <si>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</si>
  <si>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</si>
  <si>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</si>
  <si>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</si>
  <si>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</si>
  <si>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</si>
  <si>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</si>
  <si>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</si>
  <si>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</si>
  <si>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</si>
  <si>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</si>
  <si>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</si>
  <si>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</si>
  <si>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</si>
  <si>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</si>
  <si>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</si>
  <si>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</si>
  <si>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</si>
  <si>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</si>
  <si>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</si>
  <si>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</si>
  <si>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</si>
  <si>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</si>
  <si>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</si>
  <si>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</si>
  <si>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</si>
  <si>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</si>
  <si>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</si>
  <si>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</si>
  <si>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</si>
  <si>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</si>
  <si>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</si>
  <si>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</si>
  <si>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</si>
  <si>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</si>
  <si>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</si>
  <si>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</si>
  <si>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</si>
  <si>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</si>
  <si>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</si>
  <si>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</si>
  <si>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</si>
  <si>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</si>
  <si>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</si>
  <si>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</si>
  <si>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</si>
  <si>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</si>
  <si>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</si>
  <si>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</si>
  <si>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</si>
  <si>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</si>
  <si>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</si>
  <si>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</si>
  <si>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</si>
  <si>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</si>
  <si>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</si>
  <si>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</si>
  <si>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</si>
  <si>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</si>
  <si>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</si>
  <si>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</si>
  <si>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</si>
  <si>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</si>
  <si>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</si>
  <si>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</si>
  <si>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</si>
  <si>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</si>
  <si>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</si>
  <si>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</si>
  <si>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</si>
  <si>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</si>
  <si>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</si>
  <si>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</si>
  <si>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</si>
  <si>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</si>
  <si>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</si>
  <si>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</si>
  <si>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</si>
  <si>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</si>
  <si>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</si>
  <si>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</si>
  <si>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</si>
  <si>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</si>
  <si>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</si>
  <si>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</si>
  <si>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</si>
  <si>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</si>
  <si>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</si>
  <si>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</si>
  <si>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</si>
  <si>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</si>
  <si>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</si>
  <si>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</si>
  <si>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</si>
  <si>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</si>
  <si>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</si>
  <si>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</si>
  <si>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</si>
  <si>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</si>
  <si>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</si>
  <si>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</si>
  <si>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</si>
  <si>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</si>
  <si>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</si>
  <si>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</si>
  <si>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</si>
  <si>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</si>
  <si>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</si>
  <si>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</si>
  <si>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</si>
  <si>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</si>
  <si>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</si>
  <si>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</si>
  <si>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</si>
  <si>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</si>
  <si>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</si>
  <si>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</si>
  <si>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</si>
  <si>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</si>
  <si>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</si>
  <si>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</si>
  <si>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</si>
  <si>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</si>
  <si>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</si>
  <si>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</si>
  <si>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</si>
  <si>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</si>
  <si>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</si>
  <si>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</si>
  <si>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</si>
  <si>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</si>
  <si>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</si>
  <si>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</si>
  <si>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</si>
  <si>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</si>
  <si>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</si>
  <si>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</si>
  <si>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</si>
  <si>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</si>
  <si>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</si>
  <si>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</si>
  <si>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</si>
  <si>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</si>
  <si>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</si>
  <si>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</si>
  <si>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</si>
  <si>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</si>
  <si>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</si>
  <si>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</si>
  <si>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</si>
  <si>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</si>
  <si>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</si>
  <si>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</si>
  <si>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</si>
  <si>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</si>
  <si>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</si>
  <si>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</si>
  <si>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</si>
  <si>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</si>
  <si>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</si>
  <si>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</si>
  <si>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</si>
  <si>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</si>
  <si>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</si>
  <si>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</si>
  <si>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</si>
  <si>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</si>
  <si>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</si>
  <si>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</si>
  <si>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</si>
  <si>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</si>
  <si>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</si>
  <si>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</si>
  <si>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</si>
  <si>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</si>
  <si>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</si>
  <si>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</si>
  <si>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</si>
  <si>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</si>
  <si>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</si>
  <si>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</si>
  <si>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</si>
  <si>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</si>
  <si>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</si>
  <si>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</si>
  <si>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</si>
  <si>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</si>
  <si>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</si>
  <si>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</si>
  <si>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</si>
  <si>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</si>
  <si>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</si>
  <si>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</si>
  <si>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</si>
  <si>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</si>
  <si>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</si>
  <si>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</si>
  <si>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</si>
  <si>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</si>
  <si>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</si>
  <si>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</si>
  <si>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</si>
  <si>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</si>
  <si>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</si>
  <si>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</si>
  <si>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</si>
  <si>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</si>
  <si>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</si>
  <si>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</si>
  <si>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</si>
  <si>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</si>
  <si>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</si>
  <si>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</si>
  <si>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</si>
  <si>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</si>
  <si>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</si>
  <si>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</si>
  <si>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</si>
  <si>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</si>
  <si>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</si>
  <si>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</si>
  <si>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</si>
  <si>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</si>
  <si>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</si>
  <si>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</si>
  <si>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</si>
  <si>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</si>
  <si>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</si>
  <si>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</si>
  <si>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</si>
  <si>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</si>
  <si>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</si>
  <si>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</si>
  <si>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</si>
  <si>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</si>
  <si>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</si>
  <si>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</si>
  <si>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</si>
  <si>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</si>
  <si>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</si>
  <si>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</si>
  <si>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</si>
  <si>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</si>
  <si>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</si>
  <si>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</si>
  <si>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</si>
  <si>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</si>
  <si>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</si>
  <si>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</si>
  <si>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</si>
  <si>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</si>
  <si>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</si>
  <si>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</si>
  <si>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</si>
  <si>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</si>
  <si>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</si>
  <si>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</si>
  <si>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</si>
  <si>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</si>
  <si>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</si>
  <si>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</si>
  <si>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</si>
  <si>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</si>
  <si>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</si>
  <si>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</si>
  <si>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</si>
  <si>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</si>
  <si>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</si>
  <si>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</si>
  <si>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</si>
  <si>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</si>
  <si>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</si>
  <si>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</si>
  <si>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</si>
  <si>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</si>
  <si>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</si>
  <si>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</si>
  <si>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</si>
  <si>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</si>
  <si>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</si>
  <si>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</si>
  <si>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</si>
  <si>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</si>
  <si>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</si>
  <si>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</si>
  <si>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</si>
  <si>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</si>
  <si>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</si>
  <si>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</si>
  <si>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</si>
  <si>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</si>
  <si>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</si>
  <si>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</si>
  <si>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</si>
  <si>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</si>
  <si>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</si>
  <si>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</si>
  <si>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</si>
  <si>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</si>
  <si>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</si>
  <si>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</si>
  <si>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</si>
  <si>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</si>
  <si>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</si>
  <si>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</si>
  <si>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</si>
  <si>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</si>
  <si>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</si>
  <si>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</si>
  <si>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</si>
  <si>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</si>
  <si>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</si>
  <si>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</si>
  <si>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</si>
  <si>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</si>
  <si>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</si>
  <si>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</si>
  <si>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</si>
  <si>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</si>
  <si>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</si>
  <si>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</si>
  <si>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</si>
  <si>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</si>
  <si>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</si>
  <si>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</si>
  <si>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</si>
  <si>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</si>
  <si>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</si>
  <si>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</si>
  <si>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</si>
  <si>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</si>
  <si>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</si>
  <si>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</si>
  <si>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</si>
  <si>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</si>
  <si>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</si>
  <si>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</si>
  <si>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</si>
  <si>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</si>
  <si>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</si>
  <si>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</si>
  <si>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</si>
  <si>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</si>
  <si>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</si>
  <si>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</si>
  <si>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</si>
  <si>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</si>
  <si>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</si>
  <si>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</si>
  <si>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</si>
  <si>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</si>
  <si>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</si>
  <si>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</si>
  <si>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</si>
  <si>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</si>
  <si>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</si>
  <si>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</si>
  <si>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</si>
  <si>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</si>
  <si>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</si>
  <si>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</si>
  <si>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</si>
  <si>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</si>
  <si>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</si>
  <si>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</si>
  <si>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</si>
  <si>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</si>
  <si>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</si>
  <si>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</si>
  <si>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</si>
  <si>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</si>
  <si>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</si>
  <si>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</si>
  <si>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</si>
  <si>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</si>
  <si>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</si>
  <si>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</si>
  <si>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</si>
  <si>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</si>
  <si>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</si>
  <si>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</si>
  <si>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</si>
  <si>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</si>
  <si>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</si>
  <si>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</si>
  <si>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</si>
  <si>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</si>
  <si>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</si>
  <si>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</si>
  <si>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</si>
  <si>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</si>
  <si>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</si>
  <si>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</si>
  <si>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</si>
  <si>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</si>
  <si>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</si>
  <si>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</si>
  <si>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</si>
  <si>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</si>
  <si>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</si>
  <si>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</si>
  <si>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</si>
  <si>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</si>
  <si>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</si>
  <si>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</si>
  <si>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</si>
  <si>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</si>
  <si>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</si>
  <si>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</si>
  <si>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</si>
  <si>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</si>
  <si>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</si>
  <si>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</si>
  <si>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</si>
  <si>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</si>
  <si>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</si>
  <si>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</si>
  <si>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</si>
  <si>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</si>
  <si>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</si>
  <si>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</si>
  <si>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</si>
  <si>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</si>
  <si>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</si>
  <si>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</si>
  <si>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</si>
  <si>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</si>
  <si>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</si>
  <si>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</si>
  <si>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</si>
  <si>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</si>
  <si>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</si>
  <si>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</si>
  <si>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</si>
  <si>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</si>
  <si>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</si>
  <si>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</si>
  <si>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</si>
  <si>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</si>
  <si>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</si>
  <si>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</si>
  <si>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</si>
  <si>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</si>
  <si>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</si>
  <si>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</si>
  <si>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</si>
  <si>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</si>
  <si>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</si>
  <si>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</si>
  <si>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</si>
  <si>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</si>
  <si>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</si>
  <si>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</si>
  <si>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</si>
  <si>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</si>
  <si>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</si>
  <si>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</si>
  <si>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</si>
  <si>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</si>
  <si>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</si>
  <si>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</si>
  <si>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</si>
  <si>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</si>
  <si>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</si>
  <si>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</si>
  <si>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</si>
  <si>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</si>
  <si>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</si>
  <si>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</si>
  <si>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</si>
  <si>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</si>
  <si>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</si>
  <si>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</si>
  <si>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</si>
  <si>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</si>
  <si>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</si>
  <si>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</si>
  <si>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</si>
  <si>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</si>
  <si>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</si>
  <si>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</si>
  <si>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</si>
  <si>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</si>
  <si>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</si>
  <si>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</si>
  <si>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</si>
  <si>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</si>
  <si>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</si>
  <si>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</si>
  <si>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</si>
  <si>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</si>
  <si>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</si>
  <si>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</si>
  <si>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</si>
  <si>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</si>
  <si>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</si>
  <si>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</si>
  <si>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</si>
  <si>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</si>
  <si>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</si>
  <si>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</si>
  <si>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</si>
  <si>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</si>
  <si>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</si>
  <si>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</si>
  <si>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</si>
  <si>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</si>
  <si>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</si>
  <si>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</si>
  <si>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</si>
  <si>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</si>
  <si>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</si>
  <si>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</si>
  <si>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</si>
  <si>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</si>
  <si>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</si>
  <si>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</si>
  <si>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</si>
  <si>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</si>
  <si>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</si>
  <si>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</si>
  <si>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</si>
  <si>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</si>
  <si>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</si>
  <si>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</si>
  <si>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</si>
  <si>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</si>
  <si>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</si>
  <si>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</si>
  <si>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</si>
  <si>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</si>
  <si>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</si>
  <si>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</si>
  <si>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</si>
  <si>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</si>
  <si>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</si>
  <si>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</si>
  <si>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</si>
  <si>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</si>
  <si>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</si>
  <si>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</si>
  <si>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</si>
  <si>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</si>
  <si>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</si>
  <si>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</si>
  <si>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</si>
  <si>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</si>
  <si>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</si>
  <si>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</si>
  <si>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</si>
  <si>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</si>
  <si>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</si>
  <si>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</si>
  <si>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</si>
  <si>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</si>
  <si>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</si>
  <si>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</si>
  <si>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</si>
  <si>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</si>
  <si>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</si>
  <si>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</si>
  <si>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</si>
  <si>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</si>
  <si>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</si>
  <si>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</si>
  <si>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</si>
  <si>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</si>
  <si>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</si>
  <si>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</si>
  <si>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</si>
  <si>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</si>
  <si>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</si>
  <si>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</si>
  <si>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</si>
  <si>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</si>
  <si>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</si>
  <si>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</si>
  <si>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</si>
  <si>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</si>
  <si>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</si>
  <si>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</si>
  <si>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</si>
  <si>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</si>
  <si>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</si>
  <si>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</si>
  <si>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</si>
  <si>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</si>
  <si>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</si>
  <si>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</si>
  <si>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</si>
  <si>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</si>
  <si>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</si>
  <si>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</si>
  <si>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</si>
  <si>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</si>
  <si>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</si>
  <si>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</si>
  <si>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</si>
  <si>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</si>
  <si>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</si>
  <si>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</si>
  <si>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</si>
  <si>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</si>
  <si>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</si>
  <si>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</si>
  <si>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</si>
  <si>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</si>
  <si>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</si>
  <si>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</si>
  <si>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</si>
  <si>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</si>
  <si>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</si>
  <si>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</si>
  <si>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</si>
  <si>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</si>
  <si>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</si>
  <si>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</si>
  <si>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</si>
  <si>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</si>
  <si>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</si>
  <si>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</si>
  <si>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</si>
  <si>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</si>
  <si>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</si>
  <si>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</si>
  <si>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</si>
  <si>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</si>
  <si>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</si>
  <si>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</si>
  <si>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</si>
  <si>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</si>
  <si>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</si>
  <si>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</si>
  <si>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</si>
  <si>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</si>
  <si>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</si>
  <si>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</si>
  <si>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</si>
  <si>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</si>
  <si>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</si>
  <si>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</si>
  <si>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</si>
  <si>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</si>
  <si>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</si>
  <si>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</si>
  <si>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</si>
  <si>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</si>
  <si>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</si>
  <si>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</si>
  <si>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</si>
  <si>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</si>
  <si>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</si>
  <si>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</si>
  <si>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</si>
  <si>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</si>
  <si>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</si>
  <si>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</si>
  <si>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</si>
  <si>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</si>
  <si>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</si>
  <si>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</si>
  <si>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</si>
  <si>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</si>
  <si>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</si>
  <si>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</si>
  <si>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</si>
  <si>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</si>
  <si>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</si>
  <si>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</si>
  <si>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</si>
  <si>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</si>
  <si>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</si>
  <si>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</si>
  <si>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</si>
  <si>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</si>
  <si>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</si>
  <si>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</si>
  <si>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</si>
  <si>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</si>
  <si>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</si>
  <si>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</si>
  <si>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</si>
  <si>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</si>
  <si>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</si>
  <si>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</si>
  <si>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</si>
  <si>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</si>
  <si>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</si>
  <si>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</si>
  <si>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</si>
  <si>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</si>
  <si>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</si>
  <si>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</si>
  <si>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</si>
  <si>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</si>
  <si>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</si>
  <si>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</si>
  <si>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</si>
  <si>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</si>
  <si>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</si>
  <si>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</si>
  <si>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</si>
  <si>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</si>
  <si>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</si>
  <si>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</si>
  <si>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</si>
  <si>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</si>
  <si>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</si>
  <si>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</si>
  <si>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</si>
  <si>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</si>
  <si>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</si>
  <si>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</si>
  <si>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</si>
  <si>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</si>
  <si>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</si>
  <si>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</si>
  <si>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</si>
  <si>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</si>
  <si>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</si>
  <si>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</si>
  <si>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</si>
  <si>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</si>
  <si>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</si>
  <si>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</si>
  <si>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</si>
  <si>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</si>
  <si>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</si>
  <si>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</si>
  <si>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</si>
  <si>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</si>
  <si>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</si>
  <si>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</si>
  <si>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</si>
  <si>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</si>
  <si>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</si>
  <si>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</si>
  <si>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</si>
  <si>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</si>
  <si>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</si>
  <si>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</si>
  <si>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</si>
  <si>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</si>
  <si>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</si>
  <si>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</si>
  <si>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</si>
  <si>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</si>
  <si>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</si>
  <si>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</si>
  <si>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</si>
  <si>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</si>
  <si>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</si>
  <si>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</si>
  <si>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</si>
  <si>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</si>
  <si>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</si>
  <si>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</si>
  <si>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</si>
  <si>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</si>
  <si>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</si>
  <si>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</si>
  <si>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</si>
  <si>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</si>
  <si>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</si>
  <si>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</si>
  <si>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</si>
  <si>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</si>
  <si>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</si>
  <si>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</si>
  <si>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</si>
  <si>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</si>
  <si>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</si>
  <si>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</si>
  <si>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</si>
  <si>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</si>
  <si>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</si>
  <si>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</si>
  <si>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</si>
  <si>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</si>
  <si>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</si>
  <si>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</si>
  <si>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</si>
  <si>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</si>
  <si>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</si>
  <si>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</si>
  <si>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</si>
  <si>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</si>
  <si>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</si>
  <si>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</si>
  <si>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</si>
  <si>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</si>
  <si>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</si>
  <si>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</si>
  <si>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</si>
  <si>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</si>
  <si>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</si>
  <si>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</si>
  <si>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</si>
  <si>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</si>
  <si>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</si>
  <si>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</si>
  <si>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</si>
  <si>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</si>
  <si>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</si>
  <si>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</si>
  <si>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</si>
  <si>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</si>
  <si>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</si>
  <si>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</si>
  <si>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</si>
  <si>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</si>
  <si>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</si>
  <si>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</si>
  <si>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</si>
  <si>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</si>
  <si>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</si>
  <si>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</si>
  <si>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</si>
  <si>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</si>
  <si>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</si>
  <si>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</si>
  <si>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</si>
  <si>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</si>
  <si>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</si>
  <si>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</si>
  <si>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</si>
  <si>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</si>
  <si>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</si>
  <si>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</si>
  <si>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</si>
  <si>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</si>
  <si>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</si>
  <si>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</si>
  <si>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</si>
  <si>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</si>
  <si>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</si>
  <si>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</si>
  <si>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</si>
  <si>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</si>
  <si>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</si>
  <si>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</si>
  <si>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</si>
  <si>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</si>
  <si>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</si>
  <si>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</si>
  <si>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</si>
  <si>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</si>
  <si>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</si>
  <si>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</si>
  <si>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</si>
  <si>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</si>
  <si>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</si>
  <si>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</si>
  <si>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</si>
  <si>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</si>
  <si>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</si>
  <si>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</si>
  <si>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</si>
  <si>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</si>
  <si>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</si>
  <si>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</si>
  <si>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</si>
  <si>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</si>
  <si>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</si>
  <si>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</si>
  <si>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</si>
  <si>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</si>
  <si>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</si>
  <si>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</si>
  <si>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</si>
  <si>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</si>
  <si>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</si>
  <si>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</si>
  <si>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</si>
  <si>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</si>
  <si>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</si>
  <si>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</si>
  <si>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</si>
  <si>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</si>
  <si>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</si>
  <si>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</si>
  <si>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</si>
  <si>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</si>
  <si>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</si>
  <si>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</si>
  <si>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</si>
  <si>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</si>
  <si>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</si>
  <si>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</si>
  <si>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</si>
  <si>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</si>
  <si>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</si>
  <si>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</si>
  <si>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</si>
  <si>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</si>
  <si>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</si>
  <si>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</si>
  <si>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</si>
  <si>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</si>
  <si>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</si>
  <si>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</si>
  <si>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</si>
  <si>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</si>
  <si>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</si>
  <si>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</si>
  <si>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</si>
  <si>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</si>
  <si>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</si>
  <si>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</si>
  <si>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</si>
  <si>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</si>
  <si>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</si>
  <si>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</si>
  <si>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</si>
  <si>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</si>
  <si>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</si>
  <si>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</si>
  <si>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</si>
  <si>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</si>
  <si>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</si>
  <si>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</si>
  <si>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</si>
  <si>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</si>
  <si>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</si>
  <si>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</si>
  <si>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</si>
  <si>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</si>
  <si>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</si>
  <si>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</si>
  <si>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</si>
  <si>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</si>
  <si>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</si>
  <si>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</si>
  <si>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</si>
  <si>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</si>
  <si>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</si>
  <si>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</si>
  <si>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</si>
  <si>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</si>
  <si>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</si>
  <si>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</si>
  <si>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</si>
  <si>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</si>
  <si>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</si>
  <si>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</si>
  <si>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</si>
  <si>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</si>
  <si>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</si>
  <si>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</si>
  <si>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</si>
  <si>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</si>
  <si>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</si>
  <si>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</si>
  <si>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</si>
  <si>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</si>
  <si>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</si>
  <si>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</si>
  <si>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</si>
  <si>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</si>
  <si>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</si>
  <si>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</si>
  <si>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</si>
  <si>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</si>
  <si>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</si>
  <si>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</si>
  <si>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</si>
  <si>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</si>
  <si>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</si>
  <si>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</si>
  <si>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</si>
  <si>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</si>
  <si>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</si>
  <si>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</si>
  <si>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</si>
  <si>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</si>
  <si>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</si>
  <si>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</si>
  <si>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</si>
  <si>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</si>
  <si>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</si>
  <si>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</si>
  <si>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</si>
  <si>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</si>
  <si>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</si>
  <si>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</si>
  <si>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</si>
  <si>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</si>
  <si>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</si>
  <si>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</si>
  <si>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</si>
  <si>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</si>
  <si>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</si>
  <si>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</si>
  <si>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</si>
  <si>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</si>
  <si>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</si>
  <si>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</si>
  <si>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</si>
  <si>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</si>
  <si>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</si>
  <si>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</si>
  <si>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</si>
  <si>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</si>
  <si>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</si>
  <si>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</si>
  <si>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</si>
  <si>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</si>
  <si>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</si>
  <si>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</si>
  <si>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</si>
  <si>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</si>
  <si>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</si>
  <si>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</si>
  <si>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</si>
  <si>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</si>
  <si>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</si>
  <si>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</si>
  <si>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</si>
  <si>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</si>
  <si>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</si>
  <si>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</si>
  <si>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</si>
  <si>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</si>
  <si>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</si>
  <si>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</si>
  <si>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</si>
  <si>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</si>
  <si>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</si>
  <si>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</si>
  <si>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</si>
  <si>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</si>
  <si>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</si>
  <si>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</si>
  <si>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</si>
  <si>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</si>
  <si>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</si>
  <si>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</si>
  <si>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</si>
  <si>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</si>
  <si>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</si>
  <si>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</si>
  <si>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</si>
  <si>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</si>
  <si>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</si>
  <si>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</si>
  <si>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</si>
  <si>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</si>
  <si>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</si>
  <si>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</si>
  <si>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</si>
  <si>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</si>
  <si>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</si>
  <si>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</si>
  <si>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</si>
  <si>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</si>
  <si>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</si>
  <si>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</si>
  <si>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</si>
  <si>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</si>
  <si>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</si>
  <si>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</si>
  <si>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</si>
  <si>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</si>
  <si>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</si>
  <si>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</si>
  <si>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</si>
  <si>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</si>
  <si>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</si>
  <si>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</si>
  <si>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</si>
  <si>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</si>
  <si>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</si>
  <si>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</si>
  <si>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</si>
  <si>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</si>
  <si>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</si>
  <si>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</si>
  <si>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</si>
  <si>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</si>
  <si>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</si>
  <si>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</si>
  <si>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</si>
  <si>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</si>
  <si>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</si>
  <si>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</si>
  <si>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</si>
  <si>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</si>
  <si>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</si>
  <si>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</si>
  <si>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</si>
  <si>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</si>
  <si>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</si>
  <si>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</si>
  <si>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</si>
  <si>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</si>
  <si>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</si>
  <si>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</si>
  <si>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</si>
  <si>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</si>
  <si>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</si>
  <si>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</si>
  <si>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</si>
  <si>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</si>
  <si>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</si>
  <si>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</si>
  <si>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</si>
  <si>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</si>
  <si>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</si>
  <si>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</si>
  <si>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</si>
  <si>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</si>
  <si>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</si>
  <si>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</si>
  <si>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</si>
  <si>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</si>
  <si>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</si>
  <si>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</si>
  <si>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</si>
  <si>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</si>
  <si>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</si>
  <si>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</si>
  <si>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</si>
  <si>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</si>
  <si>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</si>
  <si>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</si>
  <si>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</si>
  <si>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</si>
  <si>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</si>
  <si>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</si>
  <si>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</si>
  <si>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</si>
  <si>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</si>
  <si>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</si>
  <si>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</si>
  <si>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</si>
  <si>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</si>
  <si>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</si>
  <si>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</si>
  <si>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</si>
  <si>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</si>
  <si>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</si>
  <si>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</si>
  <si>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</si>
  <si>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</si>
  <si>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</si>
  <si>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</si>
  <si>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</si>
  <si>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</si>
  <si>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</si>
  <si>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</si>
  <si>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</si>
  <si>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</si>
  <si>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</si>
  <si>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</si>
  <si>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</si>
  <si>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</si>
  <si>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</si>
  <si>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</si>
  <si>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</si>
  <si>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</si>
  <si>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</si>
  <si>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</si>
  <si>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</si>
  <si>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</si>
  <si>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</si>
  <si>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</si>
  <si>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</si>
  <si>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</si>
  <si>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</si>
  <si>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</si>
  <si>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</si>
  <si>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</si>
  <si>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</si>
  <si>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</si>
  <si>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</si>
  <si>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</si>
  <si>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</si>
  <si>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</si>
  <si>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</si>
  <si>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</si>
  <si>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</si>
  <si>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</si>
  <si>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</si>
  <si>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</si>
  <si>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</si>
  <si>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</si>
  <si>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</si>
  <si>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</si>
  <si>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</si>
  <si>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</si>
  <si>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</si>
  <si>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</si>
  <si>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</si>
  <si>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</si>
  <si>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</si>
  <si>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</si>
  <si>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</si>
  <si>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</si>
  <si>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</si>
  <si>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</si>
  <si>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</si>
  <si>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</si>
  <si>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</si>
  <si>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</si>
  <si>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</si>
  <si>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</si>
  <si>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</si>
  <si>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</si>
  <si>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</si>
  <si>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</si>
  <si>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</si>
  <si>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</si>
  <si>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</si>
  <si>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</si>
  <si>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</si>
  <si>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</si>
  <si>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</si>
  <si>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</si>
  <si>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</si>
  <si>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</si>
  <si>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</si>
  <si>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</si>
  <si>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</si>
  <si>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</si>
  <si>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</si>
  <si>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</si>
  <si>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</si>
  <si>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</si>
  <si>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</si>
  <si>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</si>
  <si>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</si>
  <si>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</si>
  <si>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</si>
  <si>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</si>
  <si>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</si>
  <si>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</si>
  <si>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</si>
  <si>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</si>
  <si>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</si>
  <si>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</si>
  <si>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</si>
  <si>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</si>
  <si>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</si>
  <si>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</si>
  <si>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</si>
  <si>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</si>
  <si>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</si>
  <si>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</si>
  <si>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</si>
  <si>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</si>
  <si>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</si>
  <si>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</si>
  <si>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</si>
  <si>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</si>
  <si>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</si>
  <si>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</si>
  <si>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</si>
  <si>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</si>
  <si>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</si>
  <si>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</si>
  <si>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</si>
  <si>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</si>
  <si>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</si>
  <si>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</si>
  <si>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</si>
  <si>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</si>
  <si>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</si>
  <si>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</si>
  <si>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</si>
  <si>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</si>
  <si>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</si>
  <si>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</si>
  <si>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</si>
  <si>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</si>
  <si>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</si>
  <si>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</si>
  <si>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</si>
  <si>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</si>
  <si>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</si>
  <si>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</si>
  <si>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</si>
  <si>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</si>
  <si>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</si>
  <si>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</si>
  <si>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</si>
  <si>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</si>
  <si>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</si>
  <si>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</si>
  <si>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</si>
  <si>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</si>
  <si>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</si>
  <si>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</si>
  <si>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</si>
  <si>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</si>
  <si>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</si>
  <si>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</si>
  <si>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</si>
  <si>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</si>
  <si>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</si>
  <si>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</si>
  <si>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</si>
  <si>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</si>
  <si>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</si>
  <si>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</si>
  <si>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</si>
  <si>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</si>
  <si>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</si>
  <si>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</si>
  <si>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</si>
  <si>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</si>
  <si>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</si>
  <si>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</si>
  <si>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</si>
  <si>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</si>
  <si>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</si>
  <si>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</si>
  <si>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</si>
  <si>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</si>
  <si>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</si>
  <si>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</si>
  <si>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</si>
  <si>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</si>
  <si>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</si>
  <si>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</si>
  <si>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</si>
  <si>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</si>
  <si>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</si>
  <si>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</si>
  <si>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</si>
  <si>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</si>
  <si>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</si>
  <si>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</si>
  <si>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</si>
  <si>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</si>
  <si>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</si>
  <si>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</si>
  <si>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</si>
  <si>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</si>
  <si>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</si>
  <si>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</si>
  <si>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</si>
  <si>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</si>
  <si>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</si>
  <si>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</si>
  <si>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</si>
  <si>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</si>
  <si>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</si>
  <si>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</si>
  <si>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</si>
  <si>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</si>
  <si>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</si>
  <si>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</si>
  <si>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</si>
  <si>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</si>
  <si>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</si>
  <si>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</si>
  <si>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</si>
  <si>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</si>
  <si>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</si>
  <si>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</si>
  <si>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</si>
  <si>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</si>
  <si>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</si>
  <si>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</si>
  <si>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</si>
  <si>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</si>
  <si>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</si>
  <si>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</si>
  <si>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</si>
  <si>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</si>
  <si>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</si>
  <si>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</si>
  <si>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</si>
  <si>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</si>
  <si>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</si>
  <si>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</si>
  <si>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</si>
  <si>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</si>
  <si>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</si>
  <si>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</si>
  <si>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</si>
  <si>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</si>
  <si>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</si>
  <si>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</si>
  <si>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</si>
  <si>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</si>
  <si>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</si>
  <si>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</si>
  <si>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</si>
  <si>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</si>
  <si>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</si>
  <si>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</si>
  <si>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</si>
  <si>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</si>
  <si>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</si>
  <si>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</si>
  <si>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</si>
  <si>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</si>
  <si>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</si>
  <si>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</si>
  <si>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</si>
  <si>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</si>
  <si>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</si>
  <si>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</si>
  <si>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</si>
  <si>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</si>
  <si>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</si>
  <si>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</si>
  <si>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</si>
  <si>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</si>
  <si>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</si>
  <si>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</si>
  <si>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</si>
  <si>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</si>
  <si>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</si>
  <si>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</si>
  <si>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</si>
  <si>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</si>
  <si>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</si>
  <si>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</si>
  <si>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</si>
  <si>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</si>
  <si>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</si>
  <si>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</si>
  <si>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</si>
  <si>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</si>
  <si>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</si>
  <si>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</si>
  <si>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</si>
  <si>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</si>
  <si>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</si>
  <si>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</si>
  <si>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</si>
  <si>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</si>
  <si>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</si>
  <si>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</si>
  <si>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</si>
  <si>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</si>
  <si>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</si>
  <si>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</si>
  <si>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</si>
  <si>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</si>
  <si>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</si>
  <si>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</si>
  <si>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</si>
  <si>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</si>
  <si>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</si>
  <si>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</si>
  <si>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</si>
  <si>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</si>
  <si>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</si>
  <si>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</si>
  <si>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</si>
  <si>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</si>
  <si>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</si>
  <si>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</si>
  <si>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</si>
  <si>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</si>
  <si>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</si>
  <si>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</si>
  <si>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</si>
  <si>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</si>
  <si>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</si>
  <si>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</si>
  <si>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</si>
  <si>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</si>
  <si>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</si>
  <si>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</si>
  <si>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</si>
  <si>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</si>
  <si>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</si>
  <si>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</si>
  <si>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</si>
  <si>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</si>
  <si>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</si>
  <si>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</si>
  <si>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</si>
  <si>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</si>
  <si>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</si>
  <si>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</si>
  <si>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</si>
  <si>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</si>
  <si>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</si>
  <si>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</si>
  <si>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</si>
  <si>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</si>
  <si>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</si>
  <si>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</si>
  <si>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</si>
  <si>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</si>
  <si>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</si>
  <si>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</si>
  <si>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</si>
  <si>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</si>
  <si>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</si>
  <si>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</si>
  <si>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</si>
  <si>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</si>
  <si>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</si>
  <si>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</si>
  <si>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</si>
  <si>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</si>
  <si>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</si>
  <si>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</si>
  <si>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</si>
  <si>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</si>
  <si>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</si>
  <si>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</si>
  <si>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</si>
  <si>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</si>
  <si>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</si>
  <si>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</si>
  <si>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</si>
  <si>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</si>
  <si>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</si>
  <si>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</si>
  <si>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</si>
  <si>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</si>
  <si>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</si>
  <si>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</si>
  <si>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</si>
  <si>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</si>
  <si>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</si>
  <si>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</si>
  <si>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</si>
  <si>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</si>
  <si>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</si>
  <si>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</si>
  <si>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</si>
  <si>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</si>
  <si>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</si>
  <si>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</si>
  <si>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</si>
  <si>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</si>
  <si>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</si>
  <si>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</si>
  <si>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</si>
  <si>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</si>
  <si>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</si>
  <si>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</si>
  <si>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</si>
  <si>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</si>
  <si>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</si>
  <si>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</si>
  <si>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</si>
  <si>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</si>
  <si>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</si>
  <si>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</si>
  <si>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</si>
  <si>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</si>
  <si>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</si>
  <si>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</si>
  <si>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</si>
  <si>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</si>
  <si>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</si>
  <si>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</si>
  <si>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</si>
  <si>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</si>
  <si>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</si>
  <si>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</si>
  <si>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</si>
  <si>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</si>
  <si>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</si>
  <si>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</si>
  <si>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</si>
  <si>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</si>
  <si>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</si>
  <si>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</si>
  <si>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</si>
  <si>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</si>
  <si>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</si>
  <si>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</si>
  <si>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</si>
  <si>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</si>
  <si>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</si>
  <si>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</si>
  <si>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</si>
  <si>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</si>
  <si>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</si>
  <si>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</si>
  <si>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</si>
  <si>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</si>
  <si>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</si>
  <si>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</si>
  <si>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</si>
  <si>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</si>
  <si>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</si>
  <si>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</si>
  <si>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</si>
  <si>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</si>
  <si>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</si>
  <si>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</si>
  <si>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</si>
  <si>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</si>
  <si>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</si>
  <si>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</si>
  <si>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</si>
  <si>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</si>
  <si>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</si>
  <si>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</si>
  <si>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</si>
  <si>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</si>
  <si>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</si>
  <si>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</si>
  <si>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</si>
  <si>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</si>
  <si>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</si>
  <si>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</si>
  <si>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</si>
  <si>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</si>
  <si>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</si>
  <si>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</si>
  <si>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</si>
  <si>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</si>
  <si>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</si>
  <si>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</si>
  <si>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</si>
  <si>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</si>
  <si>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</si>
  <si>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</si>
  <si>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</si>
  <si>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</si>
  <si>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</si>
  <si>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</si>
  <si>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</si>
  <si>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</si>
  <si>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</si>
  <si>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</si>
  <si>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</si>
  <si>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</si>
  <si>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</si>
  <si>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</si>
  <si>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</si>
  <si>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</si>
  <si>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</si>
  <si>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</si>
  <si>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</si>
  <si>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</si>
  <si>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</si>
  <si>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</si>
  <si>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</si>
  <si>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</si>
  <si>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</si>
  <si>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</si>
  <si>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</si>
  <si>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</si>
  <si>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</si>
  <si>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</si>
  <si>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</si>
  <si>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</si>
  <si>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</si>
  <si>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</si>
  <si>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</si>
  <si>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</si>
  <si>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</si>
  <si>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</si>
  <si>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</si>
  <si>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</si>
  <si>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</si>
  <si>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</si>
  <si>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</si>
  <si>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</si>
  <si>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</si>
  <si>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</si>
  <si>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</si>
  <si>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</si>
  <si>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</si>
  <si>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</si>
  <si>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</si>
  <si>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</si>
  <si>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</si>
  <si>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</si>
  <si>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</si>
  <si>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</si>
  <si>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</si>
  <si>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</si>
  <si>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</si>
  <si>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</si>
  <si>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</si>
  <si>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</si>
  <si>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</si>
  <si>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</si>
  <si>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</si>
  <si>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</si>
  <si>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</si>
  <si>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</si>
  <si>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</si>
  <si>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</si>
  <si>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</si>
  <si>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</si>
  <si>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</si>
  <si>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</si>
  <si>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</si>
  <si>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</si>
  <si>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</si>
  <si>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</si>
  <si>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</si>
  <si>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</si>
  <si>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</si>
  <si>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</si>
  <si>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</si>
  <si>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</si>
  <si>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</si>
  <si>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</si>
  <si>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</si>
  <si>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</si>
  <si>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</si>
  <si>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</si>
  <si>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</si>
  <si>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</si>
  <si>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</si>
  <si>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</si>
  <si>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</si>
  <si>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</si>
  <si>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</si>
  <si>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</si>
  <si>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</si>
  <si>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</si>
  <si>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</si>
  <si>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</si>
  <si>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</si>
  <si>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</si>
  <si>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</si>
  <si>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</si>
  <si>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</si>
  <si>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</si>
  <si>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</si>
  <si>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</si>
  <si>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</si>
  <si>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</si>
  <si>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</si>
  <si>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</si>
  <si>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 xml:space="preserve">customer_name </t>
  </si>
  <si>
    <t xml:space="preserve">Same day </t>
  </si>
  <si>
    <t>Mira das</t>
  </si>
  <si>
    <t>shipping_delay_days</t>
  </si>
  <si>
    <t>duplicate_check</t>
  </si>
  <si>
    <t>review_flag</t>
  </si>
  <si>
    <t>c</t>
  </si>
  <si>
    <t>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</si>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</sst>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01"/>
  <sheetViews>
    <sheetView topLeftCell="A155" zoomScale="23" zoomScaleNormal="24" workbookViewId="0">
      <selection activeCell="M902" sqref="A902:XFD933"/>
    </sheetView>
  </sheetViews>
  <sheetFormatPr defaultRowHeight="14.15"/>
  <cols>
    <col min="1" max="2" width="16" customWidth="1"/>
    <col min="3" max="3" width="17.640625" customWidth="1"/>
    <col min="4" max="4" width="16" style="4" customWidth="1"/>
    <col min="5" max="5" width="20" customWidth="1"/>
    <col min="6" max="6" width="16" style="4" customWidth="1"/>
    <col min="7" max="7" width="16" customWidth="1"/>
    <col min="8" max="8" width="16" hidden="1" customWidth="1"/>
    <col min="9" max="9" width="16" customWidth="1"/>
    <col min="10" max="10" width="16" hidden="1" customWidth="1"/>
    <col min="11" max="11" width="16" customWidth="1"/>
    <col min="12" max="12" width="16" hidden="1" customWidth="1"/>
    <col min="13" max="13" width="16" customWidth="1"/>
    <col min="14" max="14" width="16" hidden="1" customWidth="1"/>
    <col min="15" max="15" width="16" customWidth="1"/>
    <col min="16" max="16" width="16" hidden="1" customWidth="1"/>
    <col min="17" max="17" width="16" customWidth="1"/>
    <col min="18" max="18" width="16" hidden="1" customWidth="1"/>
    <col min="19" max="19" width="16" customWidth="1"/>
    <col min="20" max="20" width="16" hidden="1" customWidth="1"/>
    <col min="21" max="21" width="16" customWidth="1"/>
    <col min="22" max="22" width="21.28515625" customWidth="1"/>
    <col min="23" max="24" width="16" hidden="1" customWidth="1"/>
    <col min="25" max="31" width="16" customWidth="1"/>
    <col min="32" max="32" width="16" hidden="1" customWidth="1"/>
    <col min="33" max="34" width="16" customWidth="1"/>
  </cols>
  <sheetData>
    <row r="1" spans="1:34" ht="16" customHeight="1">
      <c r="A1" s="1" t="s">
        <v>2827</v>
      </c>
      <c r="B1" s="1" t="s">
        <v>2824</v>
      </c>
      <c r="C1" s="1" t="s">
        <v>2825</v>
      </c>
      <c r="D1" s="3" t="s">
        <v>0</v>
      </c>
      <c r="E1" s="1" t="s">
        <v>2823</v>
      </c>
      <c r="F1" s="3" t="s">
        <v>1</v>
      </c>
      <c r="G1" s="1" t="s">
        <v>2</v>
      </c>
      <c r="H1" s="1" t="s">
        <v>2820</v>
      </c>
      <c r="I1" s="1" t="s">
        <v>2820</v>
      </c>
      <c r="J1" s="1" t="s">
        <v>3</v>
      </c>
      <c r="K1" s="1" t="s">
        <v>3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6</v>
      </c>
      <c r="Q1" s="1" t="s">
        <v>6</v>
      </c>
      <c r="S1" s="1" t="s">
        <v>7</v>
      </c>
      <c r="T1" s="1" t="s">
        <v>8</v>
      </c>
      <c r="U1" s="1" t="s">
        <v>8</v>
      </c>
      <c r="V1" s="1" t="s">
        <v>9</v>
      </c>
      <c r="W1" s="1"/>
      <c r="X1" s="1" t="s">
        <v>10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17</v>
      </c>
      <c r="AH1" s="1" t="s">
        <v>18</v>
      </c>
    </row>
    <row r="2" spans="1:34">
      <c r="A2" t="s">
        <v>19</v>
      </c>
      <c r="B2">
        <f>COUNTIF($A:$A,A2)</f>
        <v>1</v>
      </c>
      <c r="C2" t="str">
        <f t="shared" ref="C2:C65" si="0">IF(B2&gt;1,"Review Duplicate ID","Unique")</f>
        <v>Unique</v>
      </c>
      <c r="D2" s="4">
        <v>45494</v>
      </c>
      <c r="E2">
        <f t="shared" ref="E2:E65" si="1">F2-D2</f>
        <v>6</v>
      </c>
      <c r="F2" s="4">
        <v>45500</v>
      </c>
      <c r="G2" t="s">
        <v>20</v>
      </c>
      <c r="H2" t="s">
        <v>21</v>
      </c>
      <c r="I2" t="str">
        <f t="shared" ref="I2:I65" si="2">PROPER(TRIM(H2))</f>
        <v>Karan Malhotra</v>
      </c>
      <c r="J2" t="s">
        <v>22</v>
      </c>
      <c r="K2" t="str">
        <f t="shared" ref="K2:K65" si="3">PROPER(TRIM(J2))</f>
        <v>Consumer</v>
      </c>
      <c r="L2" t="s">
        <v>23</v>
      </c>
      <c r="M2" t="str">
        <f t="shared" ref="M2:M33" si="4">PROPER(TRIM(L2))</f>
        <v>North</v>
      </c>
      <c r="N2" t="s">
        <v>24</v>
      </c>
      <c r="O2" t="str">
        <f t="shared" ref="O2:O65" si="5">PROPER(TRIM(N2))</f>
        <v>Rajasthan</v>
      </c>
      <c r="P2" t="s">
        <v>25</v>
      </c>
      <c r="Q2" t="str">
        <f t="shared" ref="Q2:Q65" si="6">PROPER(TRIM(P2))</f>
        <v>Jaipur</v>
      </c>
      <c r="R2" t="s">
        <v>26</v>
      </c>
      <c r="S2" t="str">
        <f t="shared" ref="S2:S65" si="7">PROPER(TRIM(R2))</f>
        <v>Office Supplies</v>
      </c>
      <c r="T2" t="s">
        <v>27</v>
      </c>
      <c r="U2" t="str">
        <f t="shared" ref="U2:U65" si="8">PROPER(TRIM(T2))</f>
        <v>Paper</v>
      </c>
      <c r="V2" t="s">
        <v>28</v>
      </c>
      <c r="X2" t="s">
        <v>29</v>
      </c>
      <c r="Y2" t="str">
        <f>PROPER(TRIM(X2))</f>
        <v>Second Class</v>
      </c>
      <c r="Z2">
        <v>8</v>
      </c>
      <c r="AA2">
        <v>2976.45</v>
      </c>
      <c r="AB2">
        <v>0.2</v>
      </c>
      <c r="AC2">
        <v>19049.28</v>
      </c>
      <c r="AD2">
        <v>15841.89</v>
      </c>
      <c r="AE2">
        <v>3207.39</v>
      </c>
      <c r="AF2" t="s">
        <v>30</v>
      </c>
      <c r="AG2" t="str">
        <f>PROPER(TRIM(AF2))</f>
        <v>Paid</v>
      </c>
      <c r="AH2" t="s">
        <v>31</v>
      </c>
    </row>
    <row r="3" spans="1:34">
      <c r="A3" t="s">
        <v>32</v>
      </c>
      <c r="B3">
        <f>COUNTIF($A:$A,A3)</f>
        <v>1</v>
      </c>
      <c r="C3" t="str">
        <f t="shared" si="0"/>
        <v>Unique</v>
      </c>
      <c r="D3" s="4">
        <v>45535</v>
      </c>
      <c r="E3">
        <f t="shared" si="1"/>
        <v>-114</v>
      </c>
      <c r="F3" s="4">
        <v>45421</v>
      </c>
      <c r="G3" t="s">
        <v>33</v>
      </c>
      <c r="H3" t="s">
        <v>34</v>
      </c>
      <c r="I3" t="str">
        <f t="shared" si="2"/>
        <v>Mira Das</v>
      </c>
      <c r="J3" t="s">
        <v>35</v>
      </c>
      <c r="K3" t="str">
        <f t="shared" si="3"/>
        <v>Small Business</v>
      </c>
      <c r="L3" t="s">
        <v>36</v>
      </c>
      <c r="M3" t="str">
        <f t="shared" si="4"/>
        <v>East</v>
      </c>
      <c r="N3" t="s">
        <v>37</v>
      </c>
      <c r="O3" t="str">
        <f t="shared" si="5"/>
        <v>Odisha</v>
      </c>
      <c r="P3" t="s">
        <v>38</v>
      </c>
      <c r="Q3" t="str">
        <f t="shared" si="6"/>
        <v>Bhubaneswar</v>
      </c>
      <c r="R3" t="s">
        <v>39</v>
      </c>
      <c r="S3" t="str">
        <f t="shared" si="7"/>
        <v>Furniture</v>
      </c>
      <c r="T3" t="s">
        <v>40</v>
      </c>
      <c r="U3" t="str">
        <f t="shared" si="8"/>
        <v>Tables</v>
      </c>
      <c r="V3" t="s">
        <v>41</v>
      </c>
      <c r="X3" t="s">
        <v>42</v>
      </c>
      <c r="Y3" t="str">
        <f t="shared" ref="Y3:Y66" si="9">PROPER(TRIM(X3))</f>
        <v>Same Day</v>
      </c>
      <c r="Z3">
        <v>3</v>
      </c>
      <c r="AA3">
        <v>2437.5</v>
      </c>
      <c r="AB3">
        <v>0</v>
      </c>
      <c r="AC3">
        <v>7312.5</v>
      </c>
      <c r="AD3">
        <v>4904.7299999999996</v>
      </c>
      <c r="AE3">
        <v>2407.77</v>
      </c>
      <c r="AF3" t="s">
        <v>30</v>
      </c>
      <c r="AG3" t="str">
        <f t="shared" ref="AG3:AG66" si="10">PROPER(TRIM(AF3))</f>
        <v>Paid</v>
      </c>
      <c r="AH3" t="s">
        <v>31</v>
      </c>
    </row>
    <row r="4" spans="1:34">
      <c r="A4" t="s">
        <v>43</v>
      </c>
      <c r="B4">
        <f>COUNTIF($A:$A,A4)</f>
        <v>1</v>
      </c>
      <c r="C4" t="str">
        <f t="shared" si="0"/>
        <v>Unique</v>
      </c>
      <c r="D4" s="4">
        <v>45451</v>
      </c>
      <c r="E4">
        <f t="shared" si="1"/>
        <v>7</v>
      </c>
      <c r="F4" s="4">
        <v>45458</v>
      </c>
      <c r="G4" t="s">
        <v>44</v>
      </c>
      <c r="H4" t="s">
        <v>45</v>
      </c>
      <c r="I4" t="str">
        <f t="shared" si="2"/>
        <v>Isha Nair</v>
      </c>
      <c r="J4" t="s">
        <v>22</v>
      </c>
      <c r="K4" t="str">
        <f t="shared" si="3"/>
        <v>Consumer</v>
      </c>
      <c r="L4" t="s">
        <v>36</v>
      </c>
      <c r="M4" t="str">
        <f t="shared" si="4"/>
        <v>East</v>
      </c>
      <c r="N4" t="s">
        <v>37</v>
      </c>
      <c r="O4" t="str">
        <f t="shared" si="5"/>
        <v>Odisha</v>
      </c>
      <c r="P4" t="s">
        <v>38</v>
      </c>
      <c r="Q4" t="str">
        <f t="shared" si="6"/>
        <v>Bhubaneswar</v>
      </c>
      <c r="R4" t="s">
        <v>26</v>
      </c>
      <c r="S4" t="str">
        <f t="shared" si="7"/>
        <v>Office Supplies</v>
      </c>
      <c r="T4" t="s">
        <v>46</v>
      </c>
      <c r="U4" t="str">
        <f t="shared" si="8"/>
        <v>Art</v>
      </c>
      <c r="V4" t="s">
        <v>47</v>
      </c>
      <c r="X4" t="s">
        <v>48</v>
      </c>
      <c r="Y4" t="str">
        <f t="shared" si="9"/>
        <v>First Class</v>
      </c>
      <c r="Z4">
        <v>4</v>
      </c>
      <c r="AA4">
        <v>1065.43</v>
      </c>
      <c r="AB4">
        <v>0.55000000000000004</v>
      </c>
      <c r="AC4">
        <v>4261.72</v>
      </c>
      <c r="AD4">
        <v>2465.69</v>
      </c>
      <c r="AE4">
        <v>1796.03</v>
      </c>
      <c r="AF4" t="s">
        <v>30</v>
      </c>
      <c r="AG4" t="str">
        <f t="shared" si="10"/>
        <v>Paid</v>
      </c>
      <c r="AH4" t="s">
        <v>31</v>
      </c>
    </row>
    <row r="5" spans="1:34">
      <c r="A5" t="s">
        <v>49</v>
      </c>
      <c r="B5">
        <f>COUNTIF($A:$A,A5)</f>
        <v>1</v>
      </c>
      <c r="C5" t="str">
        <f t="shared" si="0"/>
        <v>Unique</v>
      </c>
      <c r="D5" s="4">
        <v>45624</v>
      </c>
      <c r="E5">
        <f t="shared" si="1"/>
        <v>1</v>
      </c>
      <c r="F5" s="4">
        <v>45625</v>
      </c>
      <c r="G5" t="s">
        <v>50</v>
      </c>
      <c r="H5" t="s">
        <v>51</v>
      </c>
      <c r="I5" t="str">
        <f t="shared" si="2"/>
        <v>Arjun Bose</v>
      </c>
      <c r="J5" t="s">
        <v>35</v>
      </c>
      <c r="K5" t="str">
        <f t="shared" si="3"/>
        <v>Small Business</v>
      </c>
      <c r="L5" t="s">
        <v>52</v>
      </c>
      <c r="M5" t="str">
        <f t="shared" si="4"/>
        <v>South</v>
      </c>
      <c r="N5" t="s">
        <v>53</v>
      </c>
      <c r="O5" t="str">
        <f t="shared" si="5"/>
        <v>Telangana</v>
      </c>
      <c r="P5" t="s">
        <v>54</v>
      </c>
      <c r="Q5" t="str">
        <f t="shared" si="6"/>
        <v>Hyderabad</v>
      </c>
      <c r="R5" t="s">
        <v>39</v>
      </c>
      <c r="S5" t="str">
        <f t="shared" si="7"/>
        <v>Furniture</v>
      </c>
      <c r="T5" t="s">
        <v>55</v>
      </c>
      <c r="U5" t="str">
        <f t="shared" si="8"/>
        <v>Furnishings</v>
      </c>
      <c r="V5" t="s">
        <v>56</v>
      </c>
      <c r="X5" t="s">
        <v>57</v>
      </c>
      <c r="Y5" t="str">
        <f t="shared" si="9"/>
        <v>Standard Class</v>
      </c>
      <c r="Z5">
        <v>6</v>
      </c>
      <c r="AA5">
        <v>1848.43</v>
      </c>
      <c r="AB5">
        <v>0.25</v>
      </c>
      <c r="AC5">
        <v>8317.93</v>
      </c>
      <c r="AD5">
        <v>6796.77</v>
      </c>
      <c r="AE5">
        <v>1521.16</v>
      </c>
      <c r="AF5" t="s">
        <v>30</v>
      </c>
      <c r="AG5" t="str">
        <f t="shared" si="10"/>
        <v>Paid</v>
      </c>
      <c r="AH5" t="s">
        <v>31</v>
      </c>
    </row>
    <row r="6" spans="1:34">
      <c r="A6" t="s">
        <v>58</v>
      </c>
      <c r="B6">
        <f>COUNTIF($A:$A,A6)</f>
        <v>1</v>
      </c>
      <c r="C6" t="str">
        <f t="shared" si="0"/>
        <v>Unique</v>
      </c>
      <c r="D6" s="4">
        <v>45898</v>
      </c>
      <c r="E6">
        <f t="shared" si="1"/>
        <v>-232</v>
      </c>
      <c r="F6" s="4">
        <v>45666</v>
      </c>
      <c r="G6" t="s">
        <v>59</v>
      </c>
      <c r="H6" t="s">
        <v>60</v>
      </c>
      <c r="I6" t="str">
        <f t="shared" si="2"/>
        <v>Ananya Rao</v>
      </c>
      <c r="J6" t="s">
        <v>35</v>
      </c>
      <c r="K6" t="str">
        <f t="shared" si="3"/>
        <v>Small Business</v>
      </c>
      <c r="L6" t="s">
        <v>61</v>
      </c>
      <c r="M6" t="str">
        <f t="shared" si="4"/>
        <v>West</v>
      </c>
      <c r="N6" t="s">
        <v>62</v>
      </c>
      <c r="O6" t="str">
        <f t="shared" si="5"/>
        <v>Maharashtra</v>
      </c>
      <c r="P6" t="s">
        <v>63</v>
      </c>
      <c r="Q6" t="str">
        <f t="shared" si="6"/>
        <v>Mumbai</v>
      </c>
      <c r="R6" t="s">
        <v>39</v>
      </c>
      <c r="S6" t="str">
        <f t="shared" si="7"/>
        <v>Furniture</v>
      </c>
      <c r="T6" t="s">
        <v>64</v>
      </c>
      <c r="U6" t="str">
        <f t="shared" si="8"/>
        <v>Chairs</v>
      </c>
      <c r="V6" t="s">
        <v>65</v>
      </c>
      <c r="X6" t="s">
        <v>48</v>
      </c>
      <c r="Y6" t="str">
        <f t="shared" si="9"/>
        <v>First Class</v>
      </c>
      <c r="Z6">
        <v>7</v>
      </c>
      <c r="AA6">
        <v>2973.76</v>
      </c>
      <c r="AB6">
        <v>0</v>
      </c>
      <c r="AC6">
        <v>20816.32</v>
      </c>
      <c r="AD6">
        <v>17705.37</v>
      </c>
      <c r="AE6">
        <v>3110.95</v>
      </c>
      <c r="AF6" t="s">
        <v>30</v>
      </c>
      <c r="AG6" t="str">
        <f t="shared" si="10"/>
        <v>Paid</v>
      </c>
      <c r="AH6" t="s">
        <v>66</v>
      </c>
    </row>
    <row r="7" spans="1:34">
      <c r="A7" t="s">
        <v>67</v>
      </c>
      <c r="B7">
        <f>COUNTIF($A:$A,A7)</f>
        <v>1</v>
      </c>
      <c r="C7" t="str">
        <f t="shared" si="0"/>
        <v>Unique</v>
      </c>
      <c r="D7" s="4">
        <v>45436</v>
      </c>
      <c r="E7">
        <f t="shared" si="1"/>
        <v>4</v>
      </c>
      <c r="F7" s="4">
        <v>45440</v>
      </c>
      <c r="G7" t="s">
        <v>68</v>
      </c>
      <c r="H7" t="s">
        <v>69</v>
      </c>
      <c r="I7" t="str">
        <f t="shared" si="2"/>
        <v>Vikram Iyer</v>
      </c>
      <c r="J7" t="s">
        <v>35</v>
      </c>
      <c r="K7" t="str">
        <f t="shared" si="3"/>
        <v>Small Business</v>
      </c>
      <c r="L7" t="s">
        <v>61</v>
      </c>
      <c r="M7" t="str">
        <f t="shared" si="4"/>
        <v>West</v>
      </c>
      <c r="N7" t="s">
        <v>70</v>
      </c>
      <c r="O7" t="str">
        <f t="shared" si="5"/>
        <v>Madhya Pradesh</v>
      </c>
      <c r="P7" t="s">
        <v>71</v>
      </c>
      <c r="Q7" t="str">
        <f t="shared" si="6"/>
        <v>Indore</v>
      </c>
      <c r="R7" t="s">
        <v>72</v>
      </c>
      <c r="S7" t="str">
        <f t="shared" si="7"/>
        <v>Technology</v>
      </c>
      <c r="T7" t="s">
        <v>73</v>
      </c>
      <c r="U7" t="str">
        <f t="shared" si="8"/>
        <v>Accessories</v>
      </c>
      <c r="V7" t="s">
        <v>74</v>
      </c>
      <c r="X7" t="s">
        <v>42</v>
      </c>
      <c r="Y7" t="str">
        <f t="shared" si="9"/>
        <v>Same Day</v>
      </c>
      <c r="Z7">
        <v>3</v>
      </c>
      <c r="AA7">
        <v>1053.1099999999999</v>
      </c>
      <c r="AB7">
        <v>0.2</v>
      </c>
      <c r="AC7">
        <v>2527.46</v>
      </c>
      <c r="AD7">
        <v>1533.58</v>
      </c>
      <c r="AE7">
        <v>993.88</v>
      </c>
      <c r="AF7" t="s">
        <v>30</v>
      </c>
      <c r="AG7" t="str">
        <f t="shared" si="10"/>
        <v>Paid</v>
      </c>
      <c r="AH7" t="s">
        <v>31</v>
      </c>
    </row>
    <row r="8" spans="1:34">
      <c r="A8" t="s">
        <v>75</v>
      </c>
      <c r="B8">
        <f>COUNTIF($A:$A,A8)</f>
        <v>1</v>
      </c>
      <c r="C8" t="str">
        <f t="shared" si="0"/>
        <v>Unique</v>
      </c>
      <c r="D8" s="4">
        <v>45757</v>
      </c>
      <c r="E8">
        <f t="shared" si="1"/>
        <v>6</v>
      </c>
      <c r="F8" s="4">
        <v>45763</v>
      </c>
      <c r="G8" t="s">
        <v>76</v>
      </c>
      <c r="H8" t="s">
        <v>77</v>
      </c>
      <c r="I8" t="str">
        <f t="shared" si="2"/>
        <v>Neha Gupta</v>
      </c>
      <c r="J8" t="s">
        <v>22</v>
      </c>
      <c r="K8" t="str">
        <f t="shared" si="3"/>
        <v>Consumer</v>
      </c>
      <c r="L8" t="s">
        <v>36</v>
      </c>
      <c r="M8" t="str">
        <f t="shared" si="4"/>
        <v>East</v>
      </c>
      <c r="N8" t="s">
        <v>37</v>
      </c>
      <c r="O8" t="str">
        <f t="shared" si="5"/>
        <v>Odisha</v>
      </c>
      <c r="P8" t="s">
        <v>38</v>
      </c>
      <c r="Q8" t="str">
        <f t="shared" si="6"/>
        <v>Bhubaneswar</v>
      </c>
      <c r="R8" t="s">
        <v>72</v>
      </c>
      <c r="S8" t="str">
        <f t="shared" si="7"/>
        <v>Technology</v>
      </c>
      <c r="T8" t="s">
        <v>78</v>
      </c>
      <c r="U8" t="str">
        <f t="shared" si="8"/>
        <v>Copiers</v>
      </c>
      <c r="V8" t="s">
        <v>79</v>
      </c>
      <c r="X8" t="s">
        <v>57</v>
      </c>
      <c r="Y8" t="str">
        <f t="shared" si="9"/>
        <v>Standard Class</v>
      </c>
      <c r="Z8">
        <v>4</v>
      </c>
      <c r="AA8">
        <v>1719.87</v>
      </c>
      <c r="AB8">
        <v>0.15</v>
      </c>
      <c r="AC8">
        <v>5847.56</v>
      </c>
      <c r="AD8">
        <v>4727.25</v>
      </c>
      <c r="AE8">
        <v>1120.31</v>
      </c>
      <c r="AF8" t="s">
        <v>30</v>
      </c>
      <c r="AG8" t="str">
        <f t="shared" si="10"/>
        <v>Paid</v>
      </c>
      <c r="AH8" t="s">
        <v>31</v>
      </c>
    </row>
    <row r="9" spans="1:34">
      <c r="A9" t="s">
        <v>80</v>
      </c>
      <c r="B9">
        <f>COUNTIF($A:$A,A9)</f>
        <v>1</v>
      </c>
      <c r="C9" t="str">
        <f t="shared" si="0"/>
        <v>Unique</v>
      </c>
      <c r="D9" s="4">
        <v>45711</v>
      </c>
      <c r="E9">
        <f t="shared" si="1"/>
        <v>3</v>
      </c>
      <c r="F9" s="4">
        <v>45714</v>
      </c>
      <c r="G9" t="s">
        <v>81</v>
      </c>
      <c r="H9" t="s">
        <v>45</v>
      </c>
      <c r="I9" t="str">
        <f t="shared" si="2"/>
        <v>Isha Nair</v>
      </c>
      <c r="J9" t="s">
        <v>35</v>
      </c>
      <c r="K9" t="str">
        <f t="shared" si="3"/>
        <v>Small Business</v>
      </c>
      <c r="L9" t="s">
        <v>52</v>
      </c>
      <c r="M9" t="str">
        <f t="shared" si="4"/>
        <v>South</v>
      </c>
      <c r="N9" t="s">
        <v>82</v>
      </c>
      <c r="O9" t="str">
        <f t="shared" si="5"/>
        <v>Andhra Pradesh</v>
      </c>
      <c r="P9" t="s">
        <v>83</v>
      </c>
      <c r="Q9" t="str">
        <f t="shared" si="6"/>
        <v>Vijayawada</v>
      </c>
      <c r="R9" t="s">
        <v>26</v>
      </c>
      <c r="S9" t="str">
        <f t="shared" si="7"/>
        <v>Office Supplies</v>
      </c>
      <c r="T9" t="s">
        <v>46</v>
      </c>
      <c r="U9" t="str">
        <f t="shared" si="8"/>
        <v>Art</v>
      </c>
      <c r="V9" t="s">
        <v>84</v>
      </c>
      <c r="X9" t="s">
        <v>48</v>
      </c>
      <c r="Y9" t="str">
        <f t="shared" si="9"/>
        <v>First Class</v>
      </c>
      <c r="Z9">
        <v>1</v>
      </c>
      <c r="AA9">
        <v>2980.71</v>
      </c>
      <c r="AB9">
        <v>0</v>
      </c>
      <c r="AC9">
        <v>2980.71</v>
      </c>
      <c r="AD9">
        <v>2357.2199999999998</v>
      </c>
      <c r="AE9">
        <v>623.49</v>
      </c>
      <c r="AF9" t="s">
        <v>30</v>
      </c>
      <c r="AG9" t="str">
        <f t="shared" si="10"/>
        <v>Paid</v>
      </c>
      <c r="AH9" t="s">
        <v>31</v>
      </c>
    </row>
    <row r="10" spans="1:34">
      <c r="A10" t="s">
        <v>85</v>
      </c>
      <c r="B10">
        <f>COUNTIF($A:$A,A10)</f>
        <v>1</v>
      </c>
      <c r="C10" t="str">
        <f t="shared" si="0"/>
        <v>Unique</v>
      </c>
      <c r="D10" s="4">
        <v>45601</v>
      </c>
      <c r="E10">
        <f t="shared" si="1"/>
        <v>5</v>
      </c>
      <c r="F10" s="4">
        <v>45606</v>
      </c>
      <c r="G10" t="s">
        <v>86</v>
      </c>
      <c r="H10" t="s">
        <v>87</v>
      </c>
      <c r="I10" t="str">
        <f t="shared" si="2"/>
        <v>Aditi Sen</v>
      </c>
      <c r="J10" t="s">
        <v>88</v>
      </c>
      <c r="K10" t="str">
        <f t="shared" si="3"/>
        <v>Corporate</v>
      </c>
      <c r="L10" t="s">
        <v>52</v>
      </c>
      <c r="M10" t="str">
        <f t="shared" si="4"/>
        <v>South</v>
      </c>
      <c r="N10" t="s">
        <v>53</v>
      </c>
      <c r="O10" t="str">
        <f t="shared" si="5"/>
        <v>Telangana</v>
      </c>
      <c r="P10" t="s">
        <v>54</v>
      </c>
      <c r="Q10" t="str">
        <f t="shared" si="6"/>
        <v>Hyderabad</v>
      </c>
      <c r="R10" t="s">
        <v>26</v>
      </c>
      <c r="S10" t="str">
        <f t="shared" si="7"/>
        <v>Office Supplies</v>
      </c>
      <c r="T10" t="s">
        <v>89</v>
      </c>
      <c r="U10" t="str">
        <f t="shared" si="8"/>
        <v>Labels</v>
      </c>
      <c r="V10" t="s">
        <v>90</v>
      </c>
      <c r="X10" t="s">
        <v>48</v>
      </c>
      <c r="Y10" t="str">
        <f t="shared" si="9"/>
        <v>First Class</v>
      </c>
      <c r="Z10">
        <v>8</v>
      </c>
      <c r="AA10">
        <v>3134.2</v>
      </c>
      <c r="AB10">
        <v>0</v>
      </c>
      <c r="AC10">
        <v>25073.599999999999</v>
      </c>
      <c r="AD10">
        <v>17347.23</v>
      </c>
      <c r="AE10">
        <v>7726.37</v>
      </c>
      <c r="AF10" t="s">
        <v>30</v>
      </c>
      <c r="AG10" t="str">
        <f t="shared" si="10"/>
        <v>Paid</v>
      </c>
      <c r="AH10" t="s">
        <v>31</v>
      </c>
    </row>
    <row r="11" spans="1:34">
      <c r="A11" t="s">
        <v>91</v>
      </c>
      <c r="B11">
        <f>COUNTIF($A:$A,A11)</f>
        <v>1</v>
      </c>
      <c r="C11" t="str">
        <f t="shared" si="0"/>
        <v>Unique</v>
      </c>
      <c r="D11" s="4">
        <v>45847</v>
      </c>
      <c r="E11">
        <f t="shared" si="1"/>
        <v>65</v>
      </c>
      <c r="F11" s="4">
        <v>45912</v>
      </c>
      <c r="G11" t="s">
        <v>92</v>
      </c>
      <c r="H11" t="s">
        <v>34</v>
      </c>
      <c r="I11" t="str">
        <f t="shared" si="2"/>
        <v>Mira Das</v>
      </c>
      <c r="J11" t="s">
        <v>93</v>
      </c>
      <c r="K11" t="str">
        <f t="shared" si="3"/>
        <v>Home Office</v>
      </c>
      <c r="L11" t="s">
        <v>52</v>
      </c>
      <c r="M11" t="str">
        <f t="shared" si="4"/>
        <v>South</v>
      </c>
      <c r="N11" t="s">
        <v>53</v>
      </c>
      <c r="O11" t="str">
        <f t="shared" si="5"/>
        <v>Telangana</v>
      </c>
      <c r="P11" t="s">
        <v>54</v>
      </c>
      <c r="Q11" t="str">
        <f t="shared" si="6"/>
        <v>Hyderabad</v>
      </c>
      <c r="R11" t="s">
        <v>26</v>
      </c>
      <c r="S11" t="str">
        <f t="shared" si="7"/>
        <v>Office Supplies</v>
      </c>
      <c r="T11" t="s">
        <v>27</v>
      </c>
      <c r="U11" t="str">
        <f t="shared" si="8"/>
        <v>Paper</v>
      </c>
      <c r="V11" t="s">
        <v>94</v>
      </c>
      <c r="X11" t="s">
        <v>29</v>
      </c>
      <c r="Y11" t="str">
        <f t="shared" si="9"/>
        <v>Second Class</v>
      </c>
      <c r="Z11">
        <v>9</v>
      </c>
      <c r="AA11">
        <v>852.04</v>
      </c>
      <c r="AB11">
        <v>0.2</v>
      </c>
      <c r="AC11">
        <v>6134.69</v>
      </c>
      <c r="AD11">
        <v>3800.19</v>
      </c>
      <c r="AE11">
        <v>2334.5</v>
      </c>
      <c r="AF11" t="s">
        <v>30</v>
      </c>
      <c r="AG11" t="str">
        <f t="shared" si="10"/>
        <v>Paid</v>
      </c>
      <c r="AH11" t="s">
        <v>31</v>
      </c>
    </row>
    <row r="12" spans="1:34">
      <c r="A12" t="s">
        <v>95</v>
      </c>
      <c r="B12">
        <f>COUNTIF($A:$A,A12)</f>
        <v>1</v>
      </c>
      <c r="C12" t="str">
        <f t="shared" si="0"/>
        <v>Unique</v>
      </c>
      <c r="D12" s="4">
        <v>45797</v>
      </c>
      <c r="E12">
        <f t="shared" si="1"/>
        <v>0</v>
      </c>
      <c r="F12" s="4">
        <v>45797</v>
      </c>
      <c r="G12" t="s">
        <v>96</v>
      </c>
      <c r="H12" t="s">
        <v>60</v>
      </c>
      <c r="I12" t="str">
        <f t="shared" si="2"/>
        <v>Ananya Rao</v>
      </c>
      <c r="J12" t="s">
        <v>88</v>
      </c>
      <c r="K12" t="str">
        <f t="shared" si="3"/>
        <v>Corporate</v>
      </c>
      <c r="L12" t="s">
        <v>36</v>
      </c>
      <c r="M12" t="str">
        <f t="shared" si="4"/>
        <v>East</v>
      </c>
      <c r="N12" t="s">
        <v>97</v>
      </c>
      <c r="O12" t="str">
        <f t="shared" si="5"/>
        <v>West Bengal</v>
      </c>
      <c r="P12" t="s">
        <v>98</v>
      </c>
      <c r="Q12" t="str">
        <f t="shared" si="6"/>
        <v>Kolkata</v>
      </c>
      <c r="R12" t="s">
        <v>26</v>
      </c>
      <c r="S12" t="str">
        <f t="shared" si="7"/>
        <v>Office Supplies</v>
      </c>
      <c r="T12" t="s">
        <v>89</v>
      </c>
      <c r="U12" t="str">
        <f t="shared" si="8"/>
        <v>Labels</v>
      </c>
      <c r="V12" t="s">
        <v>99</v>
      </c>
      <c r="X12" t="s">
        <v>29</v>
      </c>
      <c r="Y12" t="str">
        <f t="shared" si="9"/>
        <v>Second Class</v>
      </c>
      <c r="Z12">
        <v>3</v>
      </c>
      <c r="AA12">
        <v>3534.83</v>
      </c>
      <c r="AB12">
        <v>0.05</v>
      </c>
      <c r="AC12">
        <v>10074.27</v>
      </c>
      <c r="AD12">
        <v>6048.27</v>
      </c>
      <c r="AE12">
        <v>4026</v>
      </c>
      <c r="AF12" t="s">
        <v>100</v>
      </c>
      <c r="AG12" t="str">
        <f t="shared" si="10"/>
        <v>Refunded</v>
      </c>
      <c r="AH12" t="s">
        <v>101</v>
      </c>
    </row>
    <row r="13" spans="1:34">
      <c r="A13" t="s">
        <v>102</v>
      </c>
      <c r="B13">
        <f>COUNTIF($A:$A,A13)</f>
        <v>1</v>
      </c>
      <c r="C13" t="str">
        <f t="shared" si="0"/>
        <v>Unique</v>
      </c>
      <c r="D13" s="4">
        <v>45495</v>
      </c>
      <c r="E13">
        <f t="shared" si="1"/>
        <v>1</v>
      </c>
      <c r="F13" s="4">
        <v>45496</v>
      </c>
      <c r="G13" t="s">
        <v>103</v>
      </c>
      <c r="H13" t="s">
        <v>69</v>
      </c>
      <c r="I13" t="str">
        <f t="shared" si="2"/>
        <v>Vikram Iyer</v>
      </c>
      <c r="J13" t="s">
        <v>35</v>
      </c>
      <c r="K13" t="str">
        <f t="shared" si="3"/>
        <v>Small Business</v>
      </c>
      <c r="L13" t="s">
        <v>36</v>
      </c>
      <c r="M13" t="str">
        <f t="shared" si="4"/>
        <v>East</v>
      </c>
      <c r="N13" t="s">
        <v>37</v>
      </c>
      <c r="O13" t="str">
        <f t="shared" si="5"/>
        <v>Odisha</v>
      </c>
      <c r="P13" t="s">
        <v>38</v>
      </c>
      <c r="Q13" t="str">
        <f t="shared" si="6"/>
        <v>Bhubaneswar</v>
      </c>
      <c r="R13" t="s">
        <v>72</v>
      </c>
      <c r="S13" t="str">
        <f t="shared" si="7"/>
        <v>Technology</v>
      </c>
      <c r="T13" t="s">
        <v>73</v>
      </c>
      <c r="U13" t="str">
        <f t="shared" si="8"/>
        <v>Accessories</v>
      </c>
      <c r="V13" t="s">
        <v>104</v>
      </c>
      <c r="X13" t="s">
        <v>42</v>
      </c>
      <c r="Y13" t="str">
        <f t="shared" si="9"/>
        <v>Same Day</v>
      </c>
      <c r="Z13">
        <v>6</v>
      </c>
      <c r="AA13">
        <v>2005.95</v>
      </c>
      <c r="AB13">
        <v>0.2</v>
      </c>
      <c r="AC13">
        <v>9628.56</v>
      </c>
      <c r="AD13">
        <v>8038.59</v>
      </c>
      <c r="AE13">
        <v>1589.97</v>
      </c>
      <c r="AF13" t="s">
        <v>30</v>
      </c>
      <c r="AG13" t="str">
        <f t="shared" si="10"/>
        <v>Paid</v>
      </c>
      <c r="AH13" t="s">
        <v>31</v>
      </c>
    </row>
    <row r="14" spans="1:34">
      <c r="A14" t="s">
        <v>105</v>
      </c>
      <c r="B14">
        <f>COUNTIF($A:$A,A14)</f>
        <v>1</v>
      </c>
      <c r="C14" t="str">
        <f t="shared" si="0"/>
        <v>Unique</v>
      </c>
      <c r="D14" s="4">
        <v>45646</v>
      </c>
      <c r="E14">
        <f t="shared" si="1"/>
        <v>1</v>
      </c>
      <c r="F14" s="4">
        <v>45647</v>
      </c>
      <c r="G14" t="s">
        <v>106</v>
      </c>
      <c r="H14" t="s">
        <v>60</v>
      </c>
      <c r="I14" t="str">
        <f t="shared" si="2"/>
        <v>Ananya Rao</v>
      </c>
      <c r="J14" t="s">
        <v>88</v>
      </c>
      <c r="K14" t="str">
        <f t="shared" si="3"/>
        <v>Corporate</v>
      </c>
      <c r="L14" t="s">
        <v>61</v>
      </c>
      <c r="M14" t="str">
        <f t="shared" si="4"/>
        <v>West</v>
      </c>
      <c r="N14" t="s">
        <v>24</v>
      </c>
      <c r="O14" t="str">
        <f t="shared" si="5"/>
        <v>Rajasthan</v>
      </c>
      <c r="P14" t="s">
        <v>107</v>
      </c>
      <c r="Q14" t="str">
        <f t="shared" si="6"/>
        <v>Udaipur</v>
      </c>
      <c r="R14" t="s">
        <v>26</v>
      </c>
      <c r="S14" t="str">
        <f t="shared" si="7"/>
        <v>Office Supplies</v>
      </c>
      <c r="T14" t="s">
        <v>27</v>
      </c>
      <c r="U14" t="str">
        <f t="shared" si="8"/>
        <v>Paper</v>
      </c>
      <c r="V14" t="s">
        <v>108</v>
      </c>
      <c r="X14" t="s">
        <v>48</v>
      </c>
      <c r="Y14" t="str">
        <f t="shared" si="9"/>
        <v>First Class</v>
      </c>
      <c r="Z14">
        <v>1</v>
      </c>
      <c r="AA14">
        <v>702.14</v>
      </c>
      <c r="AB14">
        <v>0.15</v>
      </c>
      <c r="AC14">
        <v>596.82000000000005</v>
      </c>
      <c r="AD14">
        <v>380.25</v>
      </c>
      <c r="AE14">
        <v>216.57</v>
      </c>
      <c r="AF14" t="s">
        <v>109</v>
      </c>
      <c r="AG14" t="str">
        <f t="shared" si="10"/>
        <v>Pending</v>
      </c>
      <c r="AH14" t="s">
        <v>101</v>
      </c>
    </row>
    <row r="15" spans="1:34">
      <c r="A15" t="s">
        <v>110</v>
      </c>
      <c r="B15">
        <f>COUNTIF($A:$A,A15)</f>
        <v>1</v>
      </c>
      <c r="C15" t="str">
        <f t="shared" si="0"/>
        <v>Unique</v>
      </c>
      <c r="D15" s="4">
        <v>46001</v>
      </c>
      <c r="E15">
        <f t="shared" si="1"/>
        <v>-55</v>
      </c>
      <c r="F15" s="4">
        <v>45946</v>
      </c>
      <c r="G15" t="s">
        <v>111</v>
      </c>
      <c r="H15" t="s">
        <v>112</v>
      </c>
      <c r="I15" t="str">
        <f t="shared" si="2"/>
        <v>Priya Menon</v>
      </c>
      <c r="J15" t="s">
        <v>35</v>
      </c>
      <c r="K15" t="str">
        <f t="shared" si="3"/>
        <v>Small Business</v>
      </c>
      <c r="L15" t="s">
        <v>61</v>
      </c>
      <c r="M15" t="str">
        <f t="shared" si="4"/>
        <v>West</v>
      </c>
      <c r="N15" t="s">
        <v>62</v>
      </c>
      <c r="O15" t="str">
        <f t="shared" si="5"/>
        <v>Maharashtra</v>
      </c>
      <c r="P15" t="s">
        <v>63</v>
      </c>
      <c r="Q15" t="str">
        <f t="shared" si="6"/>
        <v>Mumbai</v>
      </c>
      <c r="R15" t="s">
        <v>26</v>
      </c>
      <c r="S15" t="str">
        <f t="shared" si="7"/>
        <v>Office Supplies</v>
      </c>
      <c r="T15" t="s">
        <v>46</v>
      </c>
      <c r="U15" t="str">
        <f t="shared" si="8"/>
        <v>Art</v>
      </c>
      <c r="V15" t="s">
        <v>113</v>
      </c>
      <c r="X15" t="s">
        <v>29</v>
      </c>
      <c r="Y15" t="str">
        <f t="shared" si="9"/>
        <v>Second Class</v>
      </c>
      <c r="Z15">
        <v>7</v>
      </c>
      <c r="AA15">
        <v>3964.72</v>
      </c>
      <c r="AB15">
        <v>0.05</v>
      </c>
      <c r="AC15">
        <v>26365.39</v>
      </c>
      <c r="AD15">
        <v>22306.240000000002</v>
      </c>
      <c r="AE15">
        <v>4059.15</v>
      </c>
      <c r="AF15" t="s">
        <v>30</v>
      </c>
      <c r="AG15" t="str">
        <f t="shared" si="10"/>
        <v>Paid</v>
      </c>
      <c r="AH15" t="s">
        <v>31</v>
      </c>
    </row>
    <row r="16" spans="1:34">
      <c r="A16" t="s">
        <v>114</v>
      </c>
      <c r="B16">
        <f>COUNTIF($A:$A,A16)</f>
        <v>1</v>
      </c>
      <c r="C16" t="str">
        <f t="shared" si="0"/>
        <v>Unique</v>
      </c>
      <c r="D16" s="4">
        <v>45653</v>
      </c>
      <c r="E16">
        <f t="shared" si="1"/>
        <v>1</v>
      </c>
      <c r="F16" s="4">
        <v>45654</v>
      </c>
      <c r="G16" t="s">
        <v>115</v>
      </c>
      <c r="H16" t="s">
        <v>116</v>
      </c>
      <c r="I16" t="str">
        <f t="shared" si="2"/>
        <v>Rahul Verma</v>
      </c>
      <c r="J16" t="s">
        <v>22</v>
      </c>
      <c r="K16" t="str">
        <f t="shared" si="3"/>
        <v>Consumer</v>
      </c>
      <c r="L16" t="s">
        <v>61</v>
      </c>
      <c r="M16" t="str">
        <f t="shared" si="4"/>
        <v>West</v>
      </c>
      <c r="N16" t="s">
        <v>24</v>
      </c>
      <c r="O16" t="str">
        <f t="shared" si="5"/>
        <v>Rajasthan</v>
      </c>
      <c r="P16" t="s">
        <v>107</v>
      </c>
      <c r="Q16" t="str">
        <f t="shared" si="6"/>
        <v>Udaipur</v>
      </c>
      <c r="R16" t="s">
        <v>72</v>
      </c>
      <c r="S16" t="str">
        <f t="shared" si="7"/>
        <v>Technology</v>
      </c>
      <c r="T16" t="s">
        <v>78</v>
      </c>
      <c r="U16" t="str">
        <f t="shared" si="8"/>
        <v>Copiers</v>
      </c>
      <c r="V16" t="s">
        <v>117</v>
      </c>
      <c r="X16" t="s">
        <v>57</v>
      </c>
      <c r="Y16" t="str">
        <f t="shared" si="9"/>
        <v>Standard Class</v>
      </c>
      <c r="Z16">
        <v>2</v>
      </c>
      <c r="AA16">
        <v>2737.83</v>
      </c>
      <c r="AB16">
        <v>0.25</v>
      </c>
      <c r="AC16">
        <v>4106.74</v>
      </c>
      <c r="AD16">
        <v>2666.3</v>
      </c>
      <c r="AE16">
        <v>1440.44</v>
      </c>
      <c r="AF16" t="s">
        <v>30</v>
      </c>
      <c r="AG16" t="str">
        <f t="shared" si="10"/>
        <v>Paid</v>
      </c>
      <c r="AH16" t="s">
        <v>31</v>
      </c>
    </row>
    <row r="17" spans="1:34">
      <c r="A17" t="s">
        <v>118</v>
      </c>
      <c r="B17">
        <f>COUNTIF($A:$A,A17)</f>
        <v>1</v>
      </c>
      <c r="C17" t="str">
        <f t="shared" si="0"/>
        <v>Unique</v>
      </c>
      <c r="D17" s="4">
        <v>45482</v>
      </c>
      <c r="E17">
        <f t="shared" si="1"/>
        <v>60</v>
      </c>
      <c r="F17" s="4">
        <v>45542</v>
      </c>
      <c r="G17" t="s">
        <v>119</v>
      </c>
      <c r="H17" t="s">
        <v>21</v>
      </c>
      <c r="I17" t="str">
        <f t="shared" si="2"/>
        <v>Karan Malhotra</v>
      </c>
      <c r="J17" t="s">
        <v>35</v>
      </c>
      <c r="K17" t="str">
        <f t="shared" si="3"/>
        <v>Small Business</v>
      </c>
      <c r="L17" t="s">
        <v>23</v>
      </c>
      <c r="M17" t="str">
        <f t="shared" si="4"/>
        <v>North</v>
      </c>
      <c r="N17" t="s">
        <v>120</v>
      </c>
      <c r="O17" t="str">
        <f t="shared" si="5"/>
        <v>Punjab</v>
      </c>
      <c r="P17" t="s">
        <v>121</v>
      </c>
      <c r="Q17" t="str">
        <f t="shared" si="6"/>
        <v>Ludhiana</v>
      </c>
      <c r="R17" t="s">
        <v>26</v>
      </c>
      <c r="S17" t="str">
        <f t="shared" si="7"/>
        <v>Office Supplies</v>
      </c>
      <c r="T17" t="s">
        <v>122</v>
      </c>
      <c r="U17" t="str">
        <f t="shared" si="8"/>
        <v>Storage</v>
      </c>
      <c r="V17" t="s">
        <v>123</v>
      </c>
      <c r="X17" t="s">
        <v>29</v>
      </c>
      <c r="Y17" t="str">
        <f t="shared" si="9"/>
        <v>Second Class</v>
      </c>
      <c r="Z17">
        <v>6</v>
      </c>
      <c r="AA17">
        <v>3965.76</v>
      </c>
      <c r="AB17">
        <v>0</v>
      </c>
      <c r="AC17">
        <v>23794.560000000001</v>
      </c>
      <c r="AD17">
        <v>15698.47</v>
      </c>
      <c r="AE17">
        <v>8096.09</v>
      </c>
      <c r="AF17" t="s">
        <v>30</v>
      </c>
      <c r="AG17" t="str">
        <f t="shared" si="10"/>
        <v>Paid</v>
      </c>
      <c r="AH17" t="s">
        <v>31</v>
      </c>
    </row>
    <row r="18" spans="1:34">
      <c r="A18" t="s">
        <v>124</v>
      </c>
      <c r="B18">
        <f>COUNTIF($A:$A,A18)</f>
        <v>1</v>
      </c>
      <c r="C18" t="str">
        <f t="shared" si="0"/>
        <v>Unique</v>
      </c>
      <c r="D18" s="4">
        <v>45420</v>
      </c>
      <c r="E18">
        <f t="shared" si="1"/>
        <v>7</v>
      </c>
      <c r="F18" s="4">
        <v>45427</v>
      </c>
      <c r="G18" t="s">
        <v>125</v>
      </c>
      <c r="H18" t="s">
        <v>126</v>
      </c>
      <c r="I18" t="str">
        <f t="shared" si="2"/>
        <v>Aarav Sharma</v>
      </c>
      <c r="J18" t="s">
        <v>22</v>
      </c>
      <c r="K18" t="str">
        <f t="shared" si="3"/>
        <v>Consumer</v>
      </c>
      <c r="L18" t="s">
        <v>52</v>
      </c>
      <c r="M18" t="str">
        <f t="shared" si="4"/>
        <v>South</v>
      </c>
      <c r="N18" t="s">
        <v>53</v>
      </c>
      <c r="O18" t="str">
        <f t="shared" si="5"/>
        <v>Telangana</v>
      </c>
      <c r="P18" t="s">
        <v>54</v>
      </c>
      <c r="Q18" t="str">
        <f t="shared" si="6"/>
        <v>Hyderabad</v>
      </c>
      <c r="R18" t="s">
        <v>26</v>
      </c>
      <c r="S18" t="str">
        <f t="shared" si="7"/>
        <v>Office Supplies</v>
      </c>
      <c r="T18" t="s">
        <v>46</v>
      </c>
      <c r="U18" t="str">
        <f t="shared" si="8"/>
        <v>Art</v>
      </c>
      <c r="V18" t="s">
        <v>127</v>
      </c>
      <c r="X18" t="s">
        <v>48</v>
      </c>
      <c r="Y18" t="str">
        <f t="shared" si="9"/>
        <v>First Class</v>
      </c>
      <c r="Z18">
        <v>4</v>
      </c>
      <c r="AA18">
        <v>3323.51</v>
      </c>
      <c r="AB18">
        <v>0.25</v>
      </c>
      <c r="AC18">
        <v>9970.5300000000007</v>
      </c>
      <c r="AD18">
        <v>5668.17</v>
      </c>
      <c r="AE18">
        <v>4302.3599999999997</v>
      </c>
      <c r="AF18" t="s">
        <v>30</v>
      </c>
      <c r="AG18" t="str">
        <f t="shared" si="10"/>
        <v>Paid</v>
      </c>
      <c r="AH18" t="s">
        <v>31</v>
      </c>
    </row>
    <row r="19" spans="1:34">
      <c r="A19" t="s">
        <v>128</v>
      </c>
      <c r="B19">
        <f>COUNTIF($A:$A,A19)</f>
        <v>1</v>
      </c>
      <c r="C19" t="str">
        <f t="shared" si="0"/>
        <v>Unique</v>
      </c>
      <c r="D19" s="4">
        <v>45298</v>
      </c>
      <c r="E19">
        <f t="shared" si="1"/>
        <v>207</v>
      </c>
      <c r="F19" s="4">
        <v>45505</v>
      </c>
      <c r="G19" t="s">
        <v>129</v>
      </c>
      <c r="H19" t="s">
        <v>130</v>
      </c>
      <c r="I19" t="str">
        <f t="shared" si="2"/>
        <v>Sneha Kapoor</v>
      </c>
      <c r="J19" t="s">
        <v>35</v>
      </c>
      <c r="K19" t="str">
        <f t="shared" si="3"/>
        <v>Small Business</v>
      </c>
      <c r="L19" t="s">
        <v>23</v>
      </c>
      <c r="M19" t="str">
        <f t="shared" si="4"/>
        <v>North</v>
      </c>
      <c r="N19" t="s">
        <v>24</v>
      </c>
      <c r="O19" t="str">
        <f t="shared" si="5"/>
        <v>Rajasthan</v>
      </c>
      <c r="P19" t="s">
        <v>25</v>
      </c>
      <c r="Q19" t="str">
        <f t="shared" si="6"/>
        <v>Jaipur</v>
      </c>
      <c r="R19" t="s">
        <v>39</v>
      </c>
      <c r="S19" t="str">
        <f t="shared" si="7"/>
        <v>Furniture</v>
      </c>
      <c r="T19" t="s">
        <v>55</v>
      </c>
      <c r="U19" t="str">
        <f t="shared" si="8"/>
        <v>Furnishings</v>
      </c>
      <c r="V19" t="s">
        <v>131</v>
      </c>
      <c r="X19" t="s">
        <v>42</v>
      </c>
      <c r="Y19" t="str">
        <f t="shared" si="9"/>
        <v>Same Day</v>
      </c>
      <c r="Z19">
        <v>5</v>
      </c>
      <c r="AA19">
        <v>1526.78</v>
      </c>
      <c r="AB19">
        <v>0</v>
      </c>
      <c r="AC19">
        <v>7633.9</v>
      </c>
      <c r="AD19">
        <v>4706.91</v>
      </c>
      <c r="AE19">
        <v>2926.99</v>
      </c>
      <c r="AF19" t="s">
        <v>30</v>
      </c>
      <c r="AG19" t="str">
        <f t="shared" si="10"/>
        <v>Paid</v>
      </c>
      <c r="AH19" t="s">
        <v>31</v>
      </c>
    </row>
    <row r="20" spans="1:34">
      <c r="A20" t="s">
        <v>132</v>
      </c>
      <c r="B20">
        <f>COUNTIF($A:$A,A20)</f>
        <v>1</v>
      </c>
      <c r="C20" t="str">
        <f t="shared" si="0"/>
        <v>Unique</v>
      </c>
      <c r="D20" s="4">
        <v>45853</v>
      </c>
      <c r="E20">
        <f t="shared" si="1"/>
        <v>2</v>
      </c>
      <c r="F20" s="4">
        <v>45855</v>
      </c>
      <c r="G20" t="s">
        <v>133</v>
      </c>
      <c r="H20" t="s">
        <v>126</v>
      </c>
      <c r="I20" t="str">
        <f t="shared" si="2"/>
        <v>Aarav Sharma</v>
      </c>
      <c r="J20" t="s">
        <v>93</v>
      </c>
      <c r="K20" t="str">
        <f t="shared" si="3"/>
        <v>Home Office</v>
      </c>
      <c r="L20" t="s">
        <v>23</v>
      </c>
      <c r="M20" t="str">
        <f t="shared" si="4"/>
        <v>North</v>
      </c>
      <c r="N20" t="s">
        <v>134</v>
      </c>
      <c r="O20" t="str">
        <f t="shared" si="5"/>
        <v>Uttar Pradesh</v>
      </c>
      <c r="P20" t="s">
        <v>135</v>
      </c>
      <c r="Q20" t="str">
        <f t="shared" si="6"/>
        <v>Noida</v>
      </c>
      <c r="R20" t="s">
        <v>72</v>
      </c>
      <c r="S20" t="str">
        <f t="shared" si="7"/>
        <v>Technology</v>
      </c>
      <c r="T20" t="s">
        <v>78</v>
      </c>
      <c r="U20" t="str">
        <f t="shared" si="8"/>
        <v>Copiers</v>
      </c>
      <c r="V20" t="s">
        <v>136</v>
      </c>
      <c r="X20" t="s">
        <v>48</v>
      </c>
      <c r="Y20" t="str">
        <f t="shared" si="9"/>
        <v>First Class</v>
      </c>
      <c r="Z20">
        <v>2</v>
      </c>
      <c r="AA20">
        <v>1997.99</v>
      </c>
      <c r="AB20">
        <v>0</v>
      </c>
      <c r="AC20">
        <v>3995.98</v>
      </c>
      <c r="AD20">
        <v>2633.2</v>
      </c>
      <c r="AE20">
        <v>1362.78</v>
      </c>
      <c r="AF20" t="s">
        <v>100</v>
      </c>
      <c r="AG20" t="str">
        <f t="shared" si="10"/>
        <v>Refunded</v>
      </c>
      <c r="AH20" t="s">
        <v>66</v>
      </c>
    </row>
    <row r="21" spans="1:34">
      <c r="A21" t="s">
        <v>137</v>
      </c>
      <c r="B21">
        <f>COUNTIF($A:$A,A21)</f>
        <v>1</v>
      </c>
      <c r="C21" t="str">
        <f t="shared" si="0"/>
        <v>Unique</v>
      </c>
      <c r="D21" s="4">
        <v>45500</v>
      </c>
      <c r="E21">
        <f t="shared" si="1"/>
        <v>4</v>
      </c>
      <c r="F21" s="4">
        <v>45504</v>
      </c>
      <c r="G21" t="s">
        <v>138</v>
      </c>
      <c r="H21" t="s">
        <v>139</v>
      </c>
      <c r="I21" t="str">
        <f t="shared" si="2"/>
        <v>Rohan Mehta</v>
      </c>
      <c r="J21" t="s">
        <v>93</v>
      </c>
      <c r="K21" t="str">
        <f t="shared" si="3"/>
        <v>Home Office</v>
      </c>
      <c r="L21" t="s">
        <v>61</v>
      </c>
      <c r="M21" t="str">
        <f t="shared" si="4"/>
        <v>West</v>
      </c>
      <c r="N21" t="s">
        <v>70</v>
      </c>
      <c r="O21" t="str">
        <f t="shared" si="5"/>
        <v>Madhya Pradesh</v>
      </c>
      <c r="P21" t="s">
        <v>71</v>
      </c>
      <c r="Q21" t="str">
        <f t="shared" si="6"/>
        <v>Indore</v>
      </c>
      <c r="R21" t="s">
        <v>26</v>
      </c>
      <c r="S21" t="str">
        <f t="shared" si="7"/>
        <v>Office Supplies</v>
      </c>
      <c r="T21" t="s">
        <v>122</v>
      </c>
      <c r="U21" t="str">
        <f t="shared" si="8"/>
        <v>Storage</v>
      </c>
      <c r="V21" t="s">
        <v>140</v>
      </c>
      <c r="X21" t="s">
        <v>29</v>
      </c>
      <c r="Y21" t="str">
        <f t="shared" si="9"/>
        <v>Second Class</v>
      </c>
      <c r="Z21">
        <v>3</v>
      </c>
      <c r="AA21">
        <v>3887.94</v>
      </c>
      <c r="AB21">
        <v>-0.19</v>
      </c>
      <c r="AC21">
        <v>9331.06</v>
      </c>
      <c r="AD21">
        <v>7529.31</v>
      </c>
      <c r="AE21">
        <v>1801.75</v>
      </c>
      <c r="AF21" t="s">
        <v>30</v>
      </c>
      <c r="AG21" t="str">
        <f t="shared" si="10"/>
        <v>Paid</v>
      </c>
      <c r="AH21" t="s">
        <v>31</v>
      </c>
    </row>
    <row r="22" spans="1:34">
      <c r="A22" t="s">
        <v>141</v>
      </c>
      <c r="B22">
        <f>COUNTIF($A:$A,A22)</f>
        <v>1</v>
      </c>
      <c r="C22" t="str">
        <f t="shared" si="0"/>
        <v>Unique</v>
      </c>
      <c r="D22" s="4">
        <v>45678</v>
      </c>
      <c r="E22">
        <f t="shared" si="1"/>
        <v>2</v>
      </c>
      <c r="F22" s="4">
        <v>45680</v>
      </c>
      <c r="G22" t="s">
        <v>142</v>
      </c>
      <c r="H22" t="s">
        <v>87</v>
      </c>
      <c r="I22" t="str">
        <f t="shared" si="2"/>
        <v>Aditi Sen</v>
      </c>
      <c r="J22" t="s">
        <v>93</v>
      </c>
      <c r="K22" t="str">
        <f t="shared" si="3"/>
        <v>Home Office</v>
      </c>
      <c r="L22" t="s">
        <v>36</v>
      </c>
      <c r="M22" t="str">
        <f t="shared" si="4"/>
        <v>East</v>
      </c>
      <c r="N22" t="s">
        <v>143</v>
      </c>
      <c r="O22" t="str">
        <f t="shared" si="5"/>
        <v>Bihar</v>
      </c>
      <c r="P22" t="s">
        <v>144</v>
      </c>
      <c r="Q22" t="str">
        <f t="shared" si="6"/>
        <v>Patna</v>
      </c>
      <c r="R22" t="s">
        <v>72</v>
      </c>
      <c r="S22" t="str">
        <f t="shared" si="7"/>
        <v>Technology</v>
      </c>
      <c r="T22" t="s">
        <v>78</v>
      </c>
      <c r="U22" t="str">
        <f t="shared" si="8"/>
        <v>Copiers</v>
      </c>
      <c r="V22" t="s">
        <v>145</v>
      </c>
      <c r="X22" t="s">
        <v>48</v>
      </c>
      <c r="Y22" t="str">
        <f t="shared" si="9"/>
        <v>First Class</v>
      </c>
      <c r="Z22">
        <v>5</v>
      </c>
      <c r="AA22">
        <v>4373.0600000000004</v>
      </c>
      <c r="AB22">
        <v>0.25</v>
      </c>
      <c r="AC22">
        <v>16398.98</v>
      </c>
      <c r="AD22">
        <v>9556.52</v>
      </c>
      <c r="AE22">
        <v>6842.46</v>
      </c>
      <c r="AF22" t="s">
        <v>30</v>
      </c>
      <c r="AG22" t="str">
        <f t="shared" si="10"/>
        <v>Paid</v>
      </c>
      <c r="AH22" t="s">
        <v>31</v>
      </c>
    </row>
    <row r="23" spans="1:34">
      <c r="A23" t="s">
        <v>146</v>
      </c>
      <c r="B23">
        <f>COUNTIF($A:$A,A23)</f>
        <v>1</v>
      </c>
      <c r="C23" t="str">
        <f t="shared" si="0"/>
        <v>Unique</v>
      </c>
      <c r="D23" s="4">
        <v>45681</v>
      </c>
      <c r="E23">
        <f t="shared" si="1"/>
        <v>6</v>
      </c>
      <c r="F23" s="4">
        <v>45687</v>
      </c>
      <c r="G23" t="s">
        <v>147</v>
      </c>
      <c r="H23" t="s">
        <v>130</v>
      </c>
      <c r="I23" t="str">
        <f t="shared" si="2"/>
        <v>Sneha Kapoor</v>
      </c>
      <c r="J23" t="s">
        <v>22</v>
      </c>
      <c r="K23" t="str">
        <f t="shared" si="3"/>
        <v>Consumer</v>
      </c>
      <c r="L23" t="s">
        <v>61</v>
      </c>
      <c r="M23" t="str">
        <f t="shared" si="4"/>
        <v>West</v>
      </c>
      <c r="N23" t="s">
        <v>70</v>
      </c>
      <c r="O23" t="str">
        <f t="shared" si="5"/>
        <v>Madhya Pradesh</v>
      </c>
      <c r="P23" t="s">
        <v>71</v>
      </c>
      <c r="Q23" t="str">
        <f t="shared" si="6"/>
        <v>Indore</v>
      </c>
      <c r="R23" t="s">
        <v>39</v>
      </c>
      <c r="S23" t="str">
        <f t="shared" si="7"/>
        <v>Furniture</v>
      </c>
      <c r="T23" t="s">
        <v>55</v>
      </c>
      <c r="U23" t="str">
        <f t="shared" si="8"/>
        <v>Furnishings</v>
      </c>
      <c r="V23" t="s">
        <v>148</v>
      </c>
      <c r="X23" t="s">
        <v>29</v>
      </c>
      <c r="Y23" t="str">
        <f t="shared" si="9"/>
        <v>Second Class</v>
      </c>
      <c r="Z23">
        <v>4</v>
      </c>
      <c r="AA23">
        <v>697.69</v>
      </c>
      <c r="AB23">
        <v>-0.23</v>
      </c>
      <c r="AC23">
        <v>2790.76</v>
      </c>
      <c r="AD23">
        <v>2037.71</v>
      </c>
      <c r="AE23">
        <v>753.05</v>
      </c>
      <c r="AF23" t="s">
        <v>30</v>
      </c>
      <c r="AG23" t="str">
        <f t="shared" si="10"/>
        <v>Paid</v>
      </c>
      <c r="AH23" t="s">
        <v>31</v>
      </c>
    </row>
    <row r="24" spans="1:34">
      <c r="A24" t="s">
        <v>149</v>
      </c>
      <c r="B24">
        <f>COUNTIF($A:$A,A24)</f>
        <v>1</v>
      </c>
      <c r="C24" t="str">
        <f t="shared" si="0"/>
        <v>Unique</v>
      </c>
      <c r="D24" s="4">
        <v>45676</v>
      </c>
      <c r="E24">
        <f t="shared" si="1"/>
        <v>2</v>
      </c>
      <c r="F24" s="4">
        <v>45678</v>
      </c>
      <c r="G24" t="s">
        <v>150</v>
      </c>
      <c r="H24" t="s">
        <v>34</v>
      </c>
      <c r="I24" t="str">
        <f t="shared" si="2"/>
        <v>Mira Das</v>
      </c>
      <c r="J24" t="s">
        <v>22</v>
      </c>
      <c r="K24" t="str">
        <f t="shared" si="3"/>
        <v>Consumer</v>
      </c>
      <c r="L24" t="s">
        <v>52</v>
      </c>
      <c r="M24" t="str">
        <f t="shared" si="4"/>
        <v>South</v>
      </c>
      <c r="N24" t="s">
        <v>53</v>
      </c>
      <c r="O24" t="str">
        <f t="shared" si="5"/>
        <v>Telangana</v>
      </c>
      <c r="P24" t="s">
        <v>54</v>
      </c>
      <c r="Q24" t="str">
        <f t="shared" si="6"/>
        <v>Hyderabad</v>
      </c>
      <c r="R24" t="s">
        <v>26</v>
      </c>
      <c r="S24" t="str">
        <f t="shared" si="7"/>
        <v>Office Supplies</v>
      </c>
      <c r="T24" t="s">
        <v>151</v>
      </c>
      <c r="U24" t="str">
        <f t="shared" si="8"/>
        <v>Binders</v>
      </c>
      <c r="V24" t="s">
        <v>152</v>
      </c>
      <c r="X24" t="s">
        <v>57</v>
      </c>
      <c r="Y24" t="str">
        <f t="shared" si="9"/>
        <v>Standard Class</v>
      </c>
      <c r="Z24">
        <v>8</v>
      </c>
      <c r="AA24">
        <v>1219.3399999999999</v>
      </c>
      <c r="AB24">
        <v>0.15</v>
      </c>
      <c r="AC24">
        <v>8291.51</v>
      </c>
      <c r="AD24">
        <v>6685.03</v>
      </c>
      <c r="AE24">
        <v>1606.48</v>
      </c>
      <c r="AF24" t="s">
        <v>153</v>
      </c>
      <c r="AG24" t="str">
        <f t="shared" si="10"/>
        <v>Failed</v>
      </c>
      <c r="AH24" t="s">
        <v>101</v>
      </c>
    </row>
    <row r="25" spans="1:34">
      <c r="A25" t="s">
        <v>154</v>
      </c>
      <c r="B25">
        <f>COUNTIF($A:$A,A25)</f>
        <v>1</v>
      </c>
      <c r="C25" t="str">
        <f t="shared" si="0"/>
        <v>Unique</v>
      </c>
      <c r="D25" s="4">
        <v>45898</v>
      </c>
      <c r="E25">
        <f t="shared" si="1"/>
        <v>2</v>
      </c>
      <c r="F25" s="4">
        <v>45900</v>
      </c>
      <c r="G25" t="s">
        <v>155</v>
      </c>
      <c r="H25" t="s">
        <v>116</v>
      </c>
      <c r="I25" t="str">
        <f t="shared" si="2"/>
        <v>Rahul Verma</v>
      </c>
      <c r="J25" t="s">
        <v>93</v>
      </c>
      <c r="K25" t="str">
        <f t="shared" si="3"/>
        <v>Home Office</v>
      </c>
      <c r="L25" t="s">
        <v>36</v>
      </c>
      <c r="M25" t="str">
        <f t="shared" si="4"/>
        <v>East</v>
      </c>
      <c r="N25" t="s">
        <v>143</v>
      </c>
      <c r="O25" t="str">
        <f t="shared" si="5"/>
        <v>Bihar</v>
      </c>
      <c r="P25" t="s">
        <v>144</v>
      </c>
      <c r="Q25" t="str">
        <f t="shared" si="6"/>
        <v>Patna</v>
      </c>
      <c r="R25" t="s">
        <v>39</v>
      </c>
      <c r="S25" t="str">
        <f t="shared" si="7"/>
        <v>Furniture</v>
      </c>
      <c r="T25" t="s">
        <v>156</v>
      </c>
      <c r="U25" t="str">
        <f t="shared" si="8"/>
        <v>Bookcases</v>
      </c>
      <c r="V25" t="s">
        <v>157</v>
      </c>
      <c r="X25" t="s">
        <v>48</v>
      </c>
      <c r="Y25" t="str">
        <f t="shared" si="9"/>
        <v>First Class</v>
      </c>
      <c r="Z25">
        <v>4</v>
      </c>
      <c r="AA25">
        <v>1958.01</v>
      </c>
      <c r="AB25">
        <v>0.2</v>
      </c>
      <c r="AC25">
        <v>6265.63</v>
      </c>
      <c r="AD25">
        <v>4321.8599999999997</v>
      </c>
      <c r="AE25">
        <v>1943.77</v>
      </c>
      <c r="AF25" t="s">
        <v>30</v>
      </c>
      <c r="AG25" t="str">
        <f t="shared" si="10"/>
        <v>Paid</v>
      </c>
      <c r="AH25" t="s">
        <v>31</v>
      </c>
    </row>
    <row r="26" spans="1:34">
      <c r="A26" t="s">
        <v>158</v>
      </c>
      <c r="B26">
        <f>COUNTIF($A:$A,A26)</f>
        <v>1</v>
      </c>
      <c r="C26" t="str">
        <f t="shared" si="0"/>
        <v>Unique</v>
      </c>
      <c r="D26" s="4">
        <v>45385</v>
      </c>
      <c r="E26">
        <f t="shared" si="1"/>
        <v>-33</v>
      </c>
      <c r="F26" s="4">
        <v>45352</v>
      </c>
      <c r="G26" t="s">
        <v>159</v>
      </c>
      <c r="H26" t="s">
        <v>160</v>
      </c>
      <c r="I26" t="str">
        <f t="shared" si="2"/>
        <v>Diya Patel</v>
      </c>
      <c r="J26" t="s">
        <v>22</v>
      </c>
      <c r="K26" t="str">
        <f t="shared" si="3"/>
        <v>Consumer</v>
      </c>
      <c r="L26" t="s">
        <v>23</v>
      </c>
      <c r="M26" t="str">
        <f t="shared" si="4"/>
        <v>North</v>
      </c>
      <c r="N26" t="s">
        <v>120</v>
      </c>
      <c r="O26" t="str">
        <f t="shared" si="5"/>
        <v>Punjab</v>
      </c>
      <c r="P26" t="s">
        <v>121</v>
      </c>
      <c r="Q26" t="str">
        <f t="shared" si="6"/>
        <v>Ludhiana</v>
      </c>
      <c r="R26" t="s">
        <v>26</v>
      </c>
      <c r="S26" t="str">
        <f t="shared" si="7"/>
        <v>Office Supplies</v>
      </c>
      <c r="T26" t="s">
        <v>46</v>
      </c>
      <c r="U26" t="str">
        <f t="shared" si="8"/>
        <v>Art</v>
      </c>
      <c r="V26" t="s">
        <v>161</v>
      </c>
      <c r="X26" t="s">
        <v>57</v>
      </c>
      <c r="Y26" t="str">
        <f t="shared" si="9"/>
        <v>Standard Class</v>
      </c>
      <c r="Z26">
        <v>4</v>
      </c>
      <c r="AA26">
        <v>4492.9399999999996</v>
      </c>
      <c r="AB26">
        <v>0.25</v>
      </c>
      <c r="AC26">
        <v>13478.82</v>
      </c>
      <c r="AD26">
        <v>10937.35</v>
      </c>
      <c r="AE26">
        <v>2541.4699999999998</v>
      </c>
      <c r="AF26" t="s">
        <v>109</v>
      </c>
      <c r="AG26" t="str">
        <f t="shared" si="10"/>
        <v>Pending</v>
      </c>
      <c r="AH26" t="s">
        <v>66</v>
      </c>
    </row>
    <row r="27" spans="1:34">
      <c r="A27" t="s">
        <v>162</v>
      </c>
      <c r="B27">
        <f>COUNTIF($A:$A,A27)</f>
        <v>1</v>
      </c>
      <c r="C27" t="str">
        <f t="shared" si="0"/>
        <v>Unique</v>
      </c>
      <c r="D27" s="4">
        <v>45606</v>
      </c>
      <c r="E27">
        <f t="shared" si="1"/>
        <v>-22</v>
      </c>
      <c r="F27" s="4">
        <v>45584</v>
      </c>
      <c r="G27" t="s">
        <v>163</v>
      </c>
      <c r="H27" t="s">
        <v>51</v>
      </c>
      <c r="I27" t="str">
        <f t="shared" si="2"/>
        <v>Arjun Bose</v>
      </c>
      <c r="J27" t="s">
        <v>88</v>
      </c>
      <c r="K27" t="str">
        <f t="shared" si="3"/>
        <v>Corporate</v>
      </c>
      <c r="L27" t="s">
        <v>36</v>
      </c>
      <c r="M27" t="str">
        <f t="shared" si="4"/>
        <v>East</v>
      </c>
      <c r="N27" t="s">
        <v>164</v>
      </c>
      <c r="O27" t="str">
        <f t="shared" si="5"/>
        <v>Assam</v>
      </c>
      <c r="P27" t="s">
        <v>165</v>
      </c>
      <c r="Q27" t="str">
        <f t="shared" si="6"/>
        <v>Guwahati</v>
      </c>
      <c r="R27" t="s">
        <v>72</v>
      </c>
      <c r="S27" t="str">
        <f t="shared" si="7"/>
        <v>Technology</v>
      </c>
      <c r="T27" t="s">
        <v>73</v>
      </c>
      <c r="U27" t="str">
        <f t="shared" si="8"/>
        <v>Accessories</v>
      </c>
      <c r="V27" t="s">
        <v>166</v>
      </c>
      <c r="X27" t="s">
        <v>48</v>
      </c>
      <c r="Y27" t="str">
        <f t="shared" si="9"/>
        <v>First Class</v>
      </c>
      <c r="Z27">
        <v>2</v>
      </c>
      <c r="AA27">
        <v>4315.2</v>
      </c>
      <c r="AB27">
        <v>0.15</v>
      </c>
      <c r="AC27">
        <v>7335.84</v>
      </c>
      <c r="AD27">
        <v>4968.41</v>
      </c>
      <c r="AE27">
        <v>2367.4299999999998</v>
      </c>
      <c r="AF27" t="s">
        <v>30</v>
      </c>
      <c r="AG27" t="str">
        <f t="shared" si="10"/>
        <v>Paid</v>
      </c>
      <c r="AH27" t="s">
        <v>31</v>
      </c>
    </row>
    <row r="28" spans="1:34">
      <c r="A28" t="s">
        <v>167</v>
      </c>
      <c r="B28">
        <f>COUNTIF($A:$A,A28)</f>
        <v>1</v>
      </c>
      <c r="C28" t="str">
        <f t="shared" si="0"/>
        <v>Unique</v>
      </c>
      <c r="D28" s="4">
        <v>45619</v>
      </c>
      <c r="E28">
        <f t="shared" si="1"/>
        <v>0</v>
      </c>
      <c r="F28" s="4">
        <v>45619</v>
      </c>
      <c r="G28" t="s">
        <v>168</v>
      </c>
      <c r="H28" t="s">
        <v>160</v>
      </c>
      <c r="I28" t="str">
        <f t="shared" si="2"/>
        <v>Diya Patel</v>
      </c>
      <c r="J28" t="s">
        <v>88</v>
      </c>
      <c r="K28" t="str">
        <f t="shared" si="3"/>
        <v>Corporate</v>
      </c>
      <c r="L28" t="s">
        <v>23</v>
      </c>
      <c r="M28" t="str">
        <f t="shared" si="4"/>
        <v>North</v>
      </c>
      <c r="N28" t="s">
        <v>134</v>
      </c>
      <c r="O28" t="str">
        <f t="shared" si="5"/>
        <v>Uttar Pradesh</v>
      </c>
      <c r="P28" t="s">
        <v>135</v>
      </c>
      <c r="Q28" t="str">
        <f t="shared" si="6"/>
        <v>Noida</v>
      </c>
      <c r="R28" t="s">
        <v>72</v>
      </c>
      <c r="S28" t="str">
        <f t="shared" si="7"/>
        <v>Technology</v>
      </c>
      <c r="T28" t="s">
        <v>169</v>
      </c>
      <c r="U28" t="str">
        <f t="shared" si="8"/>
        <v>Phones</v>
      </c>
      <c r="V28" t="s">
        <v>170</v>
      </c>
      <c r="X28" t="s">
        <v>57</v>
      </c>
      <c r="Y28" t="str">
        <f t="shared" si="9"/>
        <v>Standard Class</v>
      </c>
      <c r="Z28">
        <v>4</v>
      </c>
      <c r="AA28">
        <v>716.13</v>
      </c>
      <c r="AB28">
        <v>0.1</v>
      </c>
      <c r="AC28">
        <v>2578.0700000000002</v>
      </c>
      <c r="AD28">
        <v>1527.55</v>
      </c>
      <c r="AE28">
        <v>1050.52</v>
      </c>
      <c r="AF28" t="s">
        <v>30</v>
      </c>
      <c r="AG28" t="str">
        <f t="shared" si="10"/>
        <v>Paid</v>
      </c>
      <c r="AH28" t="s">
        <v>101</v>
      </c>
    </row>
    <row r="29" spans="1:34">
      <c r="A29" t="s">
        <v>171</v>
      </c>
      <c r="B29">
        <f>COUNTIF($A:$A,A29)</f>
        <v>1</v>
      </c>
      <c r="C29" t="str">
        <f t="shared" si="0"/>
        <v>Unique</v>
      </c>
      <c r="D29" s="4">
        <v>45929</v>
      </c>
      <c r="E29">
        <f t="shared" si="1"/>
        <v>-142</v>
      </c>
      <c r="F29" s="4">
        <v>45787</v>
      </c>
      <c r="G29" t="s">
        <v>172</v>
      </c>
      <c r="H29" t="s">
        <v>51</v>
      </c>
      <c r="I29" t="str">
        <f t="shared" si="2"/>
        <v>Arjun Bose</v>
      </c>
      <c r="J29" t="s">
        <v>35</v>
      </c>
      <c r="K29" t="str">
        <f t="shared" si="3"/>
        <v>Small Business</v>
      </c>
      <c r="L29" t="s">
        <v>52</v>
      </c>
      <c r="M29" t="str">
        <f t="shared" si="4"/>
        <v>South</v>
      </c>
      <c r="N29" t="s">
        <v>173</v>
      </c>
      <c r="O29" t="str">
        <f t="shared" si="5"/>
        <v>Karnataka</v>
      </c>
      <c r="P29" t="s">
        <v>174</v>
      </c>
      <c r="Q29" t="str">
        <f t="shared" si="6"/>
        <v>Bengaluru</v>
      </c>
      <c r="R29" t="s">
        <v>26</v>
      </c>
      <c r="S29" t="str">
        <f t="shared" si="7"/>
        <v>Office Supplies</v>
      </c>
      <c r="T29" t="s">
        <v>27</v>
      </c>
      <c r="U29" t="str">
        <f t="shared" si="8"/>
        <v>Paper</v>
      </c>
      <c r="V29" t="s">
        <v>175</v>
      </c>
      <c r="X29" t="s">
        <v>29</v>
      </c>
      <c r="Y29" t="str">
        <f t="shared" si="9"/>
        <v>Second Class</v>
      </c>
      <c r="Z29">
        <v>5</v>
      </c>
      <c r="AA29">
        <v>1806.51</v>
      </c>
      <c r="AB29">
        <v>0.25</v>
      </c>
      <c r="AC29">
        <v>6774.41</v>
      </c>
      <c r="AD29">
        <v>4710.3599999999997</v>
      </c>
      <c r="AE29">
        <v>2064.0500000000002</v>
      </c>
      <c r="AF29" t="s">
        <v>153</v>
      </c>
      <c r="AG29" t="str">
        <f t="shared" si="10"/>
        <v>Failed</v>
      </c>
      <c r="AH29" t="s">
        <v>101</v>
      </c>
    </row>
    <row r="30" spans="1:34">
      <c r="A30" t="s">
        <v>176</v>
      </c>
      <c r="B30">
        <f>COUNTIF($A:$A,A30)</f>
        <v>1</v>
      </c>
      <c r="C30" t="str">
        <f t="shared" si="0"/>
        <v>Unique</v>
      </c>
      <c r="D30" s="4">
        <v>45606</v>
      </c>
      <c r="E30">
        <f t="shared" si="1"/>
        <v>-23</v>
      </c>
      <c r="F30" s="4">
        <v>45583</v>
      </c>
      <c r="G30" t="s">
        <v>177</v>
      </c>
      <c r="H30" t="s">
        <v>60</v>
      </c>
      <c r="I30" t="str">
        <f t="shared" si="2"/>
        <v>Ananya Rao</v>
      </c>
      <c r="J30" t="s">
        <v>93</v>
      </c>
      <c r="K30" t="str">
        <f t="shared" si="3"/>
        <v>Home Office</v>
      </c>
      <c r="L30" t="s">
        <v>61</v>
      </c>
      <c r="M30" t="str">
        <f t="shared" si="4"/>
        <v>West</v>
      </c>
      <c r="N30" t="s">
        <v>178</v>
      </c>
      <c r="O30" t="str">
        <f t="shared" si="5"/>
        <v>Gujarat</v>
      </c>
      <c r="P30" t="s">
        <v>179</v>
      </c>
      <c r="Q30" t="str">
        <f t="shared" si="6"/>
        <v>Ahmedabad</v>
      </c>
      <c r="R30" t="s">
        <v>72</v>
      </c>
      <c r="S30" t="str">
        <f t="shared" si="7"/>
        <v>Technology</v>
      </c>
      <c r="T30" t="s">
        <v>169</v>
      </c>
      <c r="U30" t="str">
        <f t="shared" si="8"/>
        <v>Phones</v>
      </c>
      <c r="V30" t="s">
        <v>180</v>
      </c>
      <c r="X30" t="s">
        <v>29</v>
      </c>
      <c r="Y30" t="str">
        <f t="shared" si="9"/>
        <v>Second Class</v>
      </c>
      <c r="Z30">
        <v>2</v>
      </c>
      <c r="AA30">
        <v>1942.22</v>
      </c>
      <c r="AB30">
        <v>0.25</v>
      </c>
      <c r="AC30">
        <v>2913.33</v>
      </c>
      <c r="AD30">
        <v>2122.33</v>
      </c>
      <c r="AE30">
        <v>791</v>
      </c>
      <c r="AF30" t="s">
        <v>100</v>
      </c>
      <c r="AG30" t="str">
        <f t="shared" si="10"/>
        <v>Refunded</v>
      </c>
      <c r="AH30" t="s">
        <v>66</v>
      </c>
    </row>
    <row r="31" spans="1:34">
      <c r="A31" t="s">
        <v>181</v>
      </c>
      <c r="B31">
        <f>COUNTIF($A:$A,A31)</f>
        <v>1</v>
      </c>
      <c r="C31" t="str">
        <f t="shared" si="0"/>
        <v>Unique</v>
      </c>
      <c r="D31" s="4">
        <v>45882</v>
      </c>
      <c r="E31">
        <f t="shared" si="1"/>
        <v>0</v>
      </c>
      <c r="F31" s="4">
        <v>45882</v>
      </c>
      <c r="G31" t="s">
        <v>182</v>
      </c>
      <c r="H31" t="s">
        <v>139</v>
      </c>
      <c r="I31" t="str">
        <f t="shared" si="2"/>
        <v>Rohan Mehta</v>
      </c>
      <c r="J31" t="s">
        <v>93</v>
      </c>
      <c r="K31" t="str">
        <f t="shared" si="3"/>
        <v>Home Office</v>
      </c>
      <c r="L31" t="s">
        <v>52</v>
      </c>
      <c r="M31" t="str">
        <f t="shared" si="4"/>
        <v>South</v>
      </c>
      <c r="N31" t="s">
        <v>183</v>
      </c>
      <c r="O31" t="str">
        <f t="shared" si="5"/>
        <v>Kerala</v>
      </c>
      <c r="P31" t="s">
        <v>184</v>
      </c>
      <c r="Q31" t="str">
        <f t="shared" si="6"/>
        <v>Kochi</v>
      </c>
      <c r="R31" t="s">
        <v>72</v>
      </c>
      <c r="S31" t="str">
        <f t="shared" si="7"/>
        <v>Technology</v>
      </c>
      <c r="T31" t="s">
        <v>169</v>
      </c>
      <c r="U31" t="str">
        <f t="shared" si="8"/>
        <v>Phones</v>
      </c>
      <c r="V31" t="s">
        <v>185</v>
      </c>
      <c r="X31" t="s">
        <v>57</v>
      </c>
      <c r="Y31" t="str">
        <f t="shared" si="9"/>
        <v>Standard Class</v>
      </c>
      <c r="Z31">
        <v>1</v>
      </c>
      <c r="AA31">
        <v>256.01</v>
      </c>
      <c r="AB31">
        <v>0.15</v>
      </c>
      <c r="AC31">
        <v>217.61</v>
      </c>
      <c r="AD31">
        <v>119.77</v>
      </c>
      <c r="AE31">
        <v>97.84</v>
      </c>
      <c r="AF31" t="s">
        <v>30</v>
      </c>
      <c r="AG31" t="str">
        <f t="shared" si="10"/>
        <v>Paid</v>
      </c>
      <c r="AH31" t="s">
        <v>31</v>
      </c>
    </row>
    <row r="32" spans="1:34">
      <c r="A32" t="s">
        <v>186</v>
      </c>
      <c r="B32">
        <f>COUNTIF($A:$A,A32)</f>
        <v>1</v>
      </c>
      <c r="C32" t="str">
        <f t="shared" si="0"/>
        <v>Unique</v>
      </c>
      <c r="D32" s="4">
        <v>45537</v>
      </c>
      <c r="E32">
        <f t="shared" si="1"/>
        <v>-203</v>
      </c>
      <c r="F32" s="4">
        <v>45334</v>
      </c>
      <c r="G32" t="s">
        <v>187</v>
      </c>
      <c r="H32" t="s">
        <v>60</v>
      </c>
      <c r="I32" t="str">
        <f t="shared" si="2"/>
        <v>Ananya Rao</v>
      </c>
      <c r="J32" t="s">
        <v>88</v>
      </c>
      <c r="K32" t="str">
        <f t="shared" si="3"/>
        <v>Corporate</v>
      </c>
      <c r="L32" t="s">
        <v>61</v>
      </c>
      <c r="M32" t="str">
        <f t="shared" si="4"/>
        <v>West</v>
      </c>
      <c r="N32" t="s">
        <v>188</v>
      </c>
      <c r="O32" t="str">
        <f t="shared" si="5"/>
        <v>Goa</v>
      </c>
      <c r="P32" t="s">
        <v>189</v>
      </c>
      <c r="Q32" t="str">
        <f t="shared" si="6"/>
        <v>Panaji</v>
      </c>
      <c r="R32" t="s">
        <v>26</v>
      </c>
      <c r="S32" t="str">
        <f t="shared" si="7"/>
        <v>Office Supplies</v>
      </c>
      <c r="T32" t="s">
        <v>89</v>
      </c>
      <c r="U32" t="str">
        <f t="shared" si="8"/>
        <v>Labels</v>
      </c>
      <c r="V32" t="s">
        <v>190</v>
      </c>
      <c r="X32" t="s">
        <v>48</v>
      </c>
      <c r="Y32" t="str">
        <f t="shared" si="9"/>
        <v>First Class</v>
      </c>
      <c r="Z32">
        <v>1</v>
      </c>
      <c r="AA32">
        <v>3421.77</v>
      </c>
      <c r="AB32">
        <v>0.1</v>
      </c>
      <c r="AC32">
        <v>3079.59</v>
      </c>
      <c r="AD32">
        <v>2001.89</v>
      </c>
      <c r="AE32">
        <v>1077.7</v>
      </c>
      <c r="AF32" t="s">
        <v>30</v>
      </c>
      <c r="AG32" t="str">
        <f t="shared" si="10"/>
        <v>Paid</v>
      </c>
      <c r="AH32" t="s">
        <v>31</v>
      </c>
    </row>
    <row r="33" spans="1:34">
      <c r="A33" t="s">
        <v>191</v>
      </c>
      <c r="B33">
        <f>COUNTIF($A:$A,A33)</f>
        <v>1</v>
      </c>
      <c r="C33" t="str">
        <f t="shared" si="0"/>
        <v>Unique</v>
      </c>
      <c r="D33" s="4">
        <v>45823</v>
      </c>
      <c r="E33">
        <f t="shared" si="1"/>
        <v>4</v>
      </c>
      <c r="F33" s="4">
        <v>45827</v>
      </c>
      <c r="G33" t="s">
        <v>192</v>
      </c>
      <c r="H33" t="s">
        <v>21</v>
      </c>
      <c r="I33" t="str">
        <f t="shared" si="2"/>
        <v>Karan Malhotra</v>
      </c>
      <c r="J33" t="s">
        <v>35</v>
      </c>
      <c r="K33" t="str">
        <f t="shared" si="3"/>
        <v>Small Business</v>
      </c>
      <c r="L33" t="s">
        <v>61</v>
      </c>
      <c r="M33" t="str">
        <f t="shared" si="4"/>
        <v>West</v>
      </c>
      <c r="N33" t="s">
        <v>70</v>
      </c>
      <c r="O33" t="str">
        <f t="shared" si="5"/>
        <v>Madhya Pradesh</v>
      </c>
      <c r="P33" t="s">
        <v>71</v>
      </c>
      <c r="Q33" t="str">
        <f t="shared" si="6"/>
        <v>Indore</v>
      </c>
      <c r="R33" t="s">
        <v>26</v>
      </c>
      <c r="S33" t="str">
        <f t="shared" si="7"/>
        <v>Office Supplies</v>
      </c>
      <c r="T33" t="s">
        <v>27</v>
      </c>
      <c r="U33" t="str">
        <f t="shared" si="8"/>
        <v>Paper</v>
      </c>
      <c r="V33" t="s">
        <v>193</v>
      </c>
      <c r="X33" t="s">
        <v>29</v>
      </c>
      <c r="Y33" t="str">
        <f t="shared" si="9"/>
        <v>Second Class</v>
      </c>
      <c r="Z33">
        <v>9</v>
      </c>
      <c r="AA33">
        <v>3092.55</v>
      </c>
      <c r="AB33">
        <v>0</v>
      </c>
      <c r="AC33">
        <v>27832.95</v>
      </c>
      <c r="AD33">
        <v>17769.75</v>
      </c>
      <c r="AE33">
        <v>10063.200000000001</v>
      </c>
      <c r="AF33" t="s">
        <v>153</v>
      </c>
      <c r="AG33" t="str">
        <f t="shared" si="10"/>
        <v>Failed</v>
      </c>
      <c r="AH33" t="s">
        <v>101</v>
      </c>
    </row>
    <row r="34" spans="1:34">
      <c r="A34" t="s">
        <v>194</v>
      </c>
      <c r="B34">
        <f>COUNTIF($A:$A,A34)</f>
        <v>1</v>
      </c>
      <c r="C34" t="str">
        <f t="shared" si="0"/>
        <v>Unique</v>
      </c>
      <c r="D34" s="4">
        <v>45618</v>
      </c>
      <c r="E34">
        <f t="shared" si="1"/>
        <v>4</v>
      </c>
      <c r="F34" s="4">
        <v>45622</v>
      </c>
      <c r="G34" t="s">
        <v>195</v>
      </c>
      <c r="H34" t="s">
        <v>126</v>
      </c>
      <c r="I34" t="str">
        <f t="shared" si="2"/>
        <v>Aarav Sharma</v>
      </c>
      <c r="J34" t="s">
        <v>88</v>
      </c>
      <c r="K34" t="str">
        <f t="shared" si="3"/>
        <v>Corporate</v>
      </c>
      <c r="L34" t="s">
        <v>52</v>
      </c>
      <c r="M34" t="str">
        <f t="shared" ref="M34:M65" si="11">PROPER(TRIM(L34))</f>
        <v>South</v>
      </c>
      <c r="N34" t="s">
        <v>82</v>
      </c>
      <c r="O34" t="str">
        <f t="shared" si="5"/>
        <v>Andhra Pradesh</v>
      </c>
      <c r="P34" t="s">
        <v>83</v>
      </c>
      <c r="Q34" t="str">
        <f t="shared" si="6"/>
        <v>Vijayawada</v>
      </c>
      <c r="R34" t="s">
        <v>72</v>
      </c>
      <c r="S34" t="str">
        <f t="shared" si="7"/>
        <v>Technology</v>
      </c>
      <c r="T34" t="s">
        <v>169</v>
      </c>
      <c r="U34" t="str">
        <f t="shared" si="8"/>
        <v>Phones</v>
      </c>
      <c r="V34" t="s">
        <v>196</v>
      </c>
      <c r="X34" t="s">
        <v>29</v>
      </c>
      <c r="Y34" t="str">
        <f t="shared" si="9"/>
        <v>Second Class</v>
      </c>
      <c r="Z34">
        <v>3</v>
      </c>
      <c r="AA34">
        <v>4001.25</v>
      </c>
      <c r="AC34">
        <v>9002.81</v>
      </c>
      <c r="AD34">
        <v>7529.92</v>
      </c>
      <c r="AE34">
        <v>1472.89</v>
      </c>
      <c r="AF34" t="s">
        <v>30</v>
      </c>
      <c r="AG34" t="str">
        <f t="shared" si="10"/>
        <v>Paid</v>
      </c>
      <c r="AH34" t="s">
        <v>31</v>
      </c>
    </row>
    <row r="35" spans="1:34">
      <c r="A35" t="s">
        <v>197</v>
      </c>
      <c r="B35">
        <f>COUNTIF($A:$A,A35)</f>
        <v>1</v>
      </c>
      <c r="C35" t="str">
        <f t="shared" si="0"/>
        <v>Unique</v>
      </c>
      <c r="D35" s="4">
        <v>45495</v>
      </c>
      <c r="E35">
        <f t="shared" si="1"/>
        <v>5</v>
      </c>
      <c r="F35" s="4">
        <v>45500</v>
      </c>
      <c r="G35" t="s">
        <v>198</v>
      </c>
      <c r="H35" t="s">
        <v>112</v>
      </c>
      <c r="I35" t="str">
        <f t="shared" si="2"/>
        <v>Priya Menon</v>
      </c>
      <c r="J35" t="s">
        <v>93</v>
      </c>
      <c r="K35" t="str">
        <f t="shared" si="3"/>
        <v>Home Office</v>
      </c>
      <c r="L35" t="s">
        <v>61</v>
      </c>
      <c r="M35" t="str">
        <f t="shared" si="11"/>
        <v>West</v>
      </c>
      <c r="N35" t="s">
        <v>188</v>
      </c>
      <c r="O35" t="str">
        <f t="shared" si="5"/>
        <v>Goa</v>
      </c>
      <c r="P35" t="s">
        <v>189</v>
      </c>
      <c r="Q35" t="str">
        <f t="shared" si="6"/>
        <v>Panaji</v>
      </c>
      <c r="R35" t="s">
        <v>39</v>
      </c>
      <c r="S35" t="str">
        <f t="shared" si="7"/>
        <v>Furniture</v>
      </c>
      <c r="T35" t="s">
        <v>40</v>
      </c>
      <c r="U35" t="str">
        <f t="shared" si="8"/>
        <v>Tables</v>
      </c>
      <c r="V35" t="s">
        <v>199</v>
      </c>
      <c r="X35" t="s">
        <v>42</v>
      </c>
      <c r="Y35" t="str">
        <f t="shared" si="9"/>
        <v>Same Day</v>
      </c>
      <c r="Z35">
        <v>7</v>
      </c>
      <c r="AA35">
        <v>492.41</v>
      </c>
      <c r="AB35">
        <v>0.25</v>
      </c>
      <c r="AC35">
        <v>2585.15</v>
      </c>
      <c r="AD35">
        <v>2070.73</v>
      </c>
      <c r="AE35">
        <v>514.41999999999996</v>
      </c>
      <c r="AF35" t="s">
        <v>30</v>
      </c>
      <c r="AG35" t="str">
        <f t="shared" si="10"/>
        <v>Paid</v>
      </c>
      <c r="AH35" t="s">
        <v>31</v>
      </c>
    </row>
    <row r="36" spans="1:34">
      <c r="A36" t="s">
        <v>200</v>
      </c>
      <c r="B36">
        <f>COUNTIF($A:$A,A36)</f>
        <v>1</v>
      </c>
      <c r="C36" t="str">
        <f t="shared" si="0"/>
        <v>Unique</v>
      </c>
      <c r="D36" s="4">
        <v>45688</v>
      </c>
      <c r="E36">
        <f t="shared" si="1"/>
        <v>91</v>
      </c>
      <c r="F36" s="4">
        <v>45779</v>
      </c>
      <c r="G36" t="s">
        <v>201</v>
      </c>
      <c r="H36" t="s">
        <v>112</v>
      </c>
      <c r="I36" t="str">
        <f t="shared" si="2"/>
        <v>Priya Menon</v>
      </c>
      <c r="J36" t="s">
        <v>93</v>
      </c>
      <c r="K36" t="str">
        <f t="shared" si="3"/>
        <v>Home Office</v>
      </c>
      <c r="L36" t="s">
        <v>36</v>
      </c>
      <c r="M36" t="str">
        <f t="shared" si="11"/>
        <v>East</v>
      </c>
      <c r="N36" t="s">
        <v>97</v>
      </c>
      <c r="O36" t="str">
        <f t="shared" si="5"/>
        <v>West Bengal</v>
      </c>
      <c r="P36" t="s">
        <v>98</v>
      </c>
      <c r="Q36" t="str">
        <f t="shared" si="6"/>
        <v>Kolkata</v>
      </c>
      <c r="R36" t="s">
        <v>39</v>
      </c>
      <c r="S36" t="str">
        <f t="shared" si="7"/>
        <v>Furniture</v>
      </c>
      <c r="T36" t="s">
        <v>64</v>
      </c>
      <c r="U36" t="str">
        <f t="shared" si="8"/>
        <v>Chairs</v>
      </c>
      <c r="V36" t="s">
        <v>202</v>
      </c>
      <c r="Y36" t="s">
        <v>2828</v>
      </c>
      <c r="Z36">
        <v>2</v>
      </c>
      <c r="AA36">
        <v>4159.6899999999996</v>
      </c>
      <c r="AB36">
        <v>0.2</v>
      </c>
      <c r="AC36">
        <v>6655.5</v>
      </c>
      <c r="AD36">
        <v>4340.21</v>
      </c>
      <c r="AE36">
        <v>2607.3200000000002</v>
      </c>
      <c r="AF36" t="s">
        <v>30</v>
      </c>
      <c r="AG36" t="str">
        <f t="shared" si="10"/>
        <v>Paid</v>
      </c>
      <c r="AH36" t="s">
        <v>31</v>
      </c>
    </row>
    <row r="37" spans="1:34">
      <c r="A37" t="s">
        <v>203</v>
      </c>
      <c r="B37">
        <f>COUNTIF($A:$A,A37)</f>
        <v>1</v>
      </c>
      <c r="C37" t="str">
        <f t="shared" si="0"/>
        <v>Unique</v>
      </c>
      <c r="D37" s="4">
        <v>45441</v>
      </c>
      <c r="E37">
        <f t="shared" si="1"/>
        <v>0</v>
      </c>
      <c r="F37" s="4">
        <v>45441</v>
      </c>
      <c r="G37" t="s">
        <v>204</v>
      </c>
      <c r="H37" t="s">
        <v>130</v>
      </c>
      <c r="I37" t="str">
        <f t="shared" si="2"/>
        <v>Sneha Kapoor</v>
      </c>
      <c r="J37" t="s">
        <v>35</v>
      </c>
      <c r="K37" t="str">
        <f t="shared" si="3"/>
        <v>Small Business</v>
      </c>
      <c r="L37" t="s">
        <v>61</v>
      </c>
      <c r="M37" t="str">
        <f t="shared" si="11"/>
        <v>West</v>
      </c>
      <c r="N37" t="s">
        <v>178</v>
      </c>
      <c r="O37" t="str">
        <f t="shared" si="5"/>
        <v>Gujarat</v>
      </c>
      <c r="P37" t="s">
        <v>179</v>
      </c>
      <c r="Q37" t="str">
        <f t="shared" si="6"/>
        <v>Ahmedabad</v>
      </c>
      <c r="R37" t="s">
        <v>39</v>
      </c>
      <c r="S37" t="str">
        <f t="shared" si="7"/>
        <v>Furniture</v>
      </c>
      <c r="T37" t="s">
        <v>156</v>
      </c>
      <c r="U37" t="str">
        <f t="shared" si="8"/>
        <v>Bookcases</v>
      </c>
      <c r="V37" t="s">
        <v>205</v>
      </c>
      <c r="X37" t="s">
        <v>29</v>
      </c>
      <c r="Y37" t="str">
        <f t="shared" si="9"/>
        <v>Second Class</v>
      </c>
      <c r="Z37">
        <v>8</v>
      </c>
      <c r="AA37">
        <v>2507.12</v>
      </c>
      <c r="AB37">
        <v>0.05</v>
      </c>
      <c r="AC37">
        <v>19054.11</v>
      </c>
      <c r="AD37">
        <v>15313.83</v>
      </c>
      <c r="AE37">
        <v>3740.28</v>
      </c>
      <c r="AF37" t="s">
        <v>109</v>
      </c>
      <c r="AG37" t="str">
        <f t="shared" si="10"/>
        <v>Pending</v>
      </c>
      <c r="AH37" t="s">
        <v>101</v>
      </c>
    </row>
    <row r="38" spans="1:34">
      <c r="A38" t="s">
        <v>206</v>
      </c>
      <c r="B38">
        <f>COUNTIF($A:$A,A38)</f>
        <v>1</v>
      </c>
      <c r="C38" t="str">
        <f t="shared" si="0"/>
        <v>Unique</v>
      </c>
      <c r="D38" s="4">
        <v>45590</v>
      </c>
      <c r="E38">
        <f t="shared" si="1"/>
        <v>3</v>
      </c>
      <c r="F38" s="4">
        <v>45593</v>
      </c>
      <c r="G38" t="s">
        <v>207</v>
      </c>
      <c r="H38" t="s">
        <v>139</v>
      </c>
      <c r="I38" t="str">
        <f t="shared" si="2"/>
        <v>Rohan Mehta</v>
      </c>
      <c r="J38" t="s">
        <v>88</v>
      </c>
      <c r="K38" t="str">
        <f t="shared" si="3"/>
        <v>Corporate</v>
      </c>
      <c r="L38" t="s">
        <v>61</v>
      </c>
      <c r="M38" t="str">
        <f t="shared" si="11"/>
        <v>West</v>
      </c>
      <c r="N38" t="s">
        <v>62</v>
      </c>
      <c r="O38" t="str">
        <f t="shared" si="5"/>
        <v>Maharashtra</v>
      </c>
      <c r="P38" t="s">
        <v>63</v>
      </c>
      <c r="Q38" t="str">
        <f t="shared" si="6"/>
        <v>Mumbai</v>
      </c>
      <c r="R38" t="s">
        <v>39</v>
      </c>
      <c r="S38" t="str">
        <f t="shared" si="7"/>
        <v>Furniture</v>
      </c>
      <c r="T38" t="s">
        <v>156</v>
      </c>
      <c r="U38" t="str">
        <f t="shared" si="8"/>
        <v>Bookcases</v>
      </c>
      <c r="V38" t="s">
        <v>208</v>
      </c>
      <c r="X38" t="s">
        <v>29</v>
      </c>
      <c r="Y38" t="str">
        <f t="shared" si="9"/>
        <v>Second Class</v>
      </c>
      <c r="Z38">
        <v>3</v>
      </c>
      <c r="AA38">
        <v>3126.47</v>
      </c>
      <c r="AB38">
        <v>0</v>
      </c>
      <c r="AC38">
        <v>9379.41</v>
      </c>
      <c r="AD38">
        <v>6670.85</v>
      </c>
      <c r="AE38">
        <v>2708.56</v>
      </c>
      <c r="AF38" t="s">
        <v>30</v>
      </c>
      <c r="AG38" t="str">
        <f t="shared" si="10"/>
        <v>Paid</v>
      </c>
      <c r="AH38" t="s">
        <v>101</v>
      </c>
    </row>
    <row r="39" spans="1:34">
      <c r="A39" t="s">
        <v>209</v>
      </c>
      <c r="B39">
        <f>COUNTIF($A:$A,A39)</f>
        <v>1</v>
      </c>
      <c r="C39" t="str">
        <f t="shared" si="0"/>
        <v>Unique</v>
      </c>
      <c r="D39" s="4">
        <v>45867</v>
      </c>
      <c r="E39">
        <f t="shared" si="1"/>
        <v>0</v>
      </c>
      <c r="F39" s="4">
        <v>45867</v>
      </c>
      <c r="G39" t="s">
        <v>210</v>
      </c>
      <c r="H39" t="s">
        <v>160</v>
      </c>
      <c r="I39" t="str">
        <f t="shared" si="2"/>
        <v>Diya Patel</v>
      </c>
      <c r="J39" t="s">
        <v>22</v>
      </c>
      <c r="K39" t="str">
        <f t="shared" si="3"/>
        <v>Consumer</v>
      </c>
      <c r="L39" t="s">
        <v>61</v>
      </c>
      <c r="M39" t="str">
        <f t="shared" si="11"/>
        <v>West</v>
      </c>
      <c r="N39" t="s">
        <v>62</v>
      </c>
      <c r="O39" t="str">
        <f t="shared" si="5"/>
        <v>Maharashtra</v>
      </c>
      <c r="P39" t="s">
        <v>63</v>
      </c>
      <c r="Q39" t="str">
        <f t="shared" si="6"/>
        <v>Mumbai</v>
      </c>
      <c r="R39" t="s">
        <v>72</v>
      </c>
      <c r="S39" t="str">
        <f t="shared" si="7"/>
        <v>Technology</v>
      </c>
      <c r="T39" t="s">
        <v>78</v>
      </c>
      <c r="U39" t="str">
        <f t="shared" si="8"/>
        <v>Copiers</v>
      </c>
      <c r="V39" t="s">
        <v>211</v>
      </c>
      <c r="X39" t="s">
        <v>212</v>
      </c>
      <c r="Y39" t="str">
        <f t="shared" si="9"/>
        <v>Standard Class</v>
      </c>
      <c r="Z39">
        <v>4</v>
      </c>
      <c r="AA39">
        <v>1327.54</v>
      </c>
      <c r="AB39">
        <v>0.2</v>
      </c>
      <c r="AC39">
        <v>4248.13</v>
      </c>
      <c r="AD39">
        <v>3321.09</v>
      </c>
      <c r="AE39">
        <v>927.04</v>
      </c>
      <c r="AF39" t="s">
        <v>30</v>
      </c>
      <c r="AG39" t="str">
        <f t="shared" si="10"/>
        <v>Paid</v>
      </c>
      <c r="AH39" t="s">
        <v>31</v>
      </c>
    </row>
    <row r="40" spans="1:34">
      <c r="A40" t="s">
        <v>213</v>
      </c>
      <c r="B40">
        <f>COUNTIF($A:$A,A40)</f>
        <v>1</v>
      </c>
      <c r="C40" t="str">
        <f t="shared" si="0"/>
        <v>Unique</v>
      </c>
      <c r="D40" s="4">
        <v>45460</v>
      </c>
      <c r="E40">
        <f t="shared" si="1"/>
        <v>5</v>
      </c>
      <c r="F40" s="4">
        <v>45465</v>
      </c>
      <c r="G40" t="s">
        <v>214</v>
      </c>
      <c r="H40" t="s">
        <v>126</v>
      </c>
      <c r="I40" t="str">
        <f t="shared" si="2"/>
        <v>Aarav Sharma</v>
      </c>
      <c r="J40" t="s">
        <v>88</v>
      </c>
      <c r="K40" t="str">
        <f t="shared" si="3"/>
        <v>Corporate</v>
      </c>
      <c r="L40" t="s">
        <v>61</v>
      </c>
      <c r="M40" t="str">
        <f t="shared" si="11"/>
        <v>West</v>
      </c>
      <c r="N40" t="s">
        <v>178</v>
      </c>
      <c r="O40" t="str">
        <f t="shared" si="5"/>
        <v>Gujarat</v>
      </c>
      <c r="P40" t="s">
        <v>179</v>
      </c>
      <c r="Q40" t="str">
        <f t="shared" si="6"/>
        <v>Ahmedabad</v>
      </c>
      <c r="R40" t="s">
        <v>72</v>
      </c>
      <c r="S40" t="str">
        <f t="shared" si="7"/>
        <v>Technology</v>
      </c>
      <c r="T40" t="s">
        <v>169</v>
      </c>
      <c r="U40" t="str">
        <f t="shared" si="8"/>
        <v>Phones</v>
      </c>
      <c r="V40" t="s">
        <v>215</v>
      </c>
      <c r="X40" t="s">
        <v>48</v>
      </c>
      <c r="Y40" t="str">
        <f t="shared" si="9"/>
        <v>First Class</v>
      </c>
      <c r="Z40">
        <v>7</v>
      </c>
      <c r="AA40">
        <v>2210.6799999999998</v>
      </c>
      <c r="AB40">
        <v>0.1</v>
      </c>
      <c r="AC40">
        <v>13927.28</v>
      </c>
      <c r="AD40">
        <v>10504.87</v>
      </c>
      <c r="AE40">
        <v>3422.41</v>
      </c>
      <c r="AF40" t="s">
        <v>30</v>
      </c>
      <c r="AG40" t="str">
        <f t="shared" si="10"/>
        <v>Paid</v>
      </c>
      <c r="AH40" t="s">
        <v>31</v>
      </c>
    </row>
    <row r="41" spans="1:34">
      <c r="A41" t="s">
        <v>216</v>
      </c>
      <c r="B41">
        <f>COUNTIF($A:$A,A41)</f>
        <v>1</v>
      </c>
      <c r="C41" t="str">
        <f t="shared" si="0"/>
        <v>Unique</v>
      </c>
      <c r="D41" s="4">
        <v>45637</v>
      </c>
      <c r="E41">
        <f t="shared" si="1"/>
        <v>-29</v>
      </c>
      <c r="F41" s="4">
        <v>45608</v>
      </c>
      <c r="G41" t="s">
        <v>217</v>
      </c>
      <c r="H41" t="s">
        <v>34</v>
      </c>
      <c r="I41" t="str">
        <f t="shared" si="2"/>
        <v>Mira Das</v>
      </c>
      <c r="J41" t="s">
        <v>35</v>
      </c>
      <c r="K41" t="str">
        <f t="shared" si="3"/>
        <v>Small Business</v>
      </c>
      <c r="L41" t="s">
        <v>61</v>
      </c>
      <c r="M41" t="str">
        <f t="shared" si="11"/>
        <v>West</v>
      </c>
      <c r="N41" t="s">
        <v>70</v>
      </c>
      <c r="O41" t="str">
        <f t="shared" si="5"/>
        <v>Madhya Pradesh</v>
      </c>
      <c r="P41" t="s">
        <v>71</v>
      </c>
      <c r="Q41" t="str">
        <f t="shared" si="6"/>
        <v>Indore</v>
      </c>
      <c r="R41" t="s">
        <v>72</v>
      </c>
      <c r="S41" t="str">
        <f t="shared" si="7"/>
        <v>Technology</v>
      </c>
      <c r="T41" t="s">
        <v>78</v>
      </c>
      <c r="U41" t="str">
        <f t="shared" si="8"/>
        <v>Copiers</v>
      </c>
      <c r="V41" t="s">
        <v>218</v>
      </c>
      <c r="X41" t="s">
        <v>48</v>
      </c>
      <c r="Y41" t="str">
        <f t="shared" si="9"/>
        <v>First Class</v>
      </c>
      <c r="Z41">
        <v>4</v>
      </c>
      <c r="AA41">
        <v>1370.92</v>
      </c>
      <c r="AB41">
        <v>0.1</v>
      </c>
      <c r="AC41">
        <v>4935.3100000000004</v>
      </c>
      <c r="AD41">
        <v>3374.77</v>
      </c>
      <c r="AE41">
        <v>1560.54</v>
      </c>
      <c r="AF41" t="s">
        <v>109</v>
      </c>
      <c r="AG41" t="str">
        <f t="shared" si="10"/>
        <v>Pending</v>
      </c>
      <c r="AH41" t="s">
        <v>101</v>
      </c>
    </row>
    <row r="42" spans="1:34">
      <c r="A42" t="s">
        <v>219</v>
      </c>
      <c r="B42">
        <f>COUNTIF($A:$A,A42)</f>
        <v>1</v>
      </c>
      <c r="C42" t="str">
        <f t="shared" si="0"/>
        <v>Unique</v>
      </c>
      <c r="D42" s="4">
        <v>45575</v>
      </c>
      <c r="E42">
        <f t="shared" si="1"/>
        <v>6</v>
      </c>
      <c r="F42" s="4">
        <v>45581</v>
      </c>
      <c r="G42" t="s">
        <v>220</v>
      </c>
      <c r="H42" t="s">
        <v>45</v>
      </c>
      <c r="I42" t="str">
        <f t="shared" si="2"/>
        <v>Isha Nair</v>
      </c>
      <c r="J42" t="s">
        <v>93</v>
      </c>
      <c r="K42" t="str">
        <f t="shared" si="3"/>
        <v>Home Office</v>
      </c>
      <c r="L42" t="s">
        <v>61</v>
      </c>
      <c r="M42" t="str">
        <f t="shared" si="11"/>
        <v>West</v>
      </c>
      <c r="N42" t="s">
        <v>24</v>
      </c>
      <c r="O42" t="str">
        <f t="shared" si="5"/>
        <v>Rajasthan</v>
      </c>
      <c r="P42" t="s">
        <v>107</v>
      </c>
      <c r="Q42" t="str">
        <f t="shared" si="6"/>
        <v>Udaipur</v>
      </c>
      <c r="R42" t="s">
        <v>72</v>
      </c>
      <c r="S42" t="str">
        <f t="shared" si="7"/>
        <v>Technology</v>
      </c>
      <c r="T42" t="s">
        <v>78</v>
      </c>
      <c r="U42" t="str">
        <f t="shared" si="8"/>
        <v>Copiers</v>
      </c>
      <c r="V42" t="s">
        <v>221</v>
      </c>
      <c r="X42" t="s">
        <v>57</v>
      </c>
      <c r="Y42" t="str">
        <f t="shared" si="9"/>
        <v>Standard Class</v>
      </c>
      <c r="Z42">
        <v>7</v>
      </c>
      <c r="AA42">
        <v>2509.27</v>
      </c>
      <c r="AB42">
        <v>0.2</v>
      </c>
      <c r="AC42">
        <v>14051.91</v>
      </c>
      <c r="AD42">
        <v>11990.37</v>
      </c>
      <c r="AE42">
        <v>2061.54</v>
      </c>
      <c r="AF42" t="s">
        <v>30</v>
      </c>
      <c r="AG42" t="str">
        <f t="shared" si="10"/>
        <v>Paid</v>
      </c>
      <c r="AH42" t="s">
        <v>31</v>
      </c>
    </row>
    <row r="43" spans="1:34">
      <c r="A43" t="s">
        <v>222</v>
      </c>
      <c r="B43">
        <f>COUNTIF($A:$A,A43)</f>
        <v>1</v>
      </c>
      <c r="C43" t="str">
        <f t="shared" si="0"/>
        <v>Unique</v>
      </c>
      <c r="D43" s="4">
        <v>45363</v>
      </c>
      <c r="E43">
        <f t="shared" si="1"/>
        <v>5</v>
      </c>
      <c r="F43" s="4">
        <v>45368</v>
      </c>
      <c r="G43" t="s">
        <v>223</v>
      </c>
      <c r="H43" t="s">
        <v>126</v>
      </c>
      <c r="I43" t="str">
        <f t="shared" si="2"/>
        <v>Aarav Sharma</v>
      </c>
      <c r="J43" t="s">
        <v>35</v>
      </c>
      <c r="K43" t="str">
        <f t="shared" si="3"/>
        <v>Small Business</v>
      </c>
      <c r="L43" t="s">
        <v>36</v>
      </c>
      <c r="M43" t="str">
        <f t="shared" si="11"/>
        <v>East</v>
      </c>
      <c r="N43" t="s">
        <v>37</v>
      </c>
      <c r="O43" t="str">
        <f t="shared" si="5"/>
        <v>Odisha</v>
      </c>
      <c r="P43" t="s">
        <v>38</v>
      </c>
      <c r="Q43" t="str">
        <f t="shared" si="6"/>
        <v>Bhubaneswar</v>
      </c>
      <c r="R43" t="s">
        <v>39</v>
      </c>
      <c r="S43" t="str">
        <f t="shared" si="7"/>
        <v>Furniture</v>
      </c>
      <c r="T43" t="s">
        <v>156</v>
      </c>
      <c r="U43" t="str">
        <f t="shared" si="8"/>
        <v>Bookcases</v>
      </c>
      <c r="V43" t="s">
        <v>224</v>
      </c>
      <c r="X43" t="s">
        <v>42</v>
      </c>
      <c r="Y43" t="str">
        <f t="shared" si="9"/>
        <v>Same Day</v>
      </c>
      <c r="Z43">
        <v>8</v>
      </c>
      <c r="AA43">
        <v>855.81</v>
      </c>
      <c r="AB43">
        <v>0</v>
      </c>
      <c r="AC43">
        <v>6846.48</v>
      </c>
      <c r="AD43">
        <v>4239.8900000000003</v>
      </c>
      <c r="AE43">
        <v>2606.59</v>
      </c>
      <c r="AF43" t="s">
        <v>109</v>
      </c>
      <c r="AG43" t="str">
        <f t="shared" si="10"/>
        <v>Pending</v>
      </c>
      <c r="AH43" t="s">
        <v>66</v>
      </c>
    </row>
    <row r="44" spans="1:34">
      <c r="A44" t="s">
        <v>225</v>
      </c>
      <c r="B44">
        <f>COUNTIF($A:$A,A44)</f>
        <v>1</v>
      </c>
      <c r="C44" t="str">
        <f t="shared" si="0"/>
        <v>Unique</v>
      </c>
      <c r="D44" s="4">
        <v>45940</v>
      </c>
      <c r="E44">
        <f t="shared" si="1"/>
        <v>5</v>
      </c>
      <c r="F44" s="4">
        <v>45945</v>
      </c>
      <c r="G44" t="s">
        <v>226</v>
      </c>
      <c r="H44" t="s">
        <v>51</v>
      </c>
      <c r="I44" t="str">
        <f t="shared" si="2"/>
        <v>Arjun Bose</v>
      </c>
      <c r="J44" t="s">
        <v>88</v>
      </c>
      <c r="K44" t="str">
        <f t="shared" si="3"/>
        <v>Corporate</v>
      </c>
      <c r="L44" t="s">
        <v>36</v>
      </c>
      <c r="M44" t="str">
        <f t="shared" si="11"/>
        <v>East</v>
      </c>
      <c r="N44" t="s">
        <v>227</v>
      </c>
      <c r="O44" t="str">
        <f t="shared" si="5"/>
        <v>Jharkhand</v>
      </c>
      <c r="P44" t="s">
        <v>228</v>
      </c>
      <c r="Q44" t="str">
        <f t="shared" si="6"/>
        <v>Ranchi</v>
      </c>
      <c r="R44" t="s">
        <v>72</v>
      </c>
      <c r="S44" t="str">
        <f t="shared" si="7"/>
        <v>Technology</v>
      </c>
      <c r="T44" t="s">
        <v>169</v>
      </c>
      <c r="U44" t="str">
        <f t="shared" si="8"/>
        <v>Phones</v>
      </c>
      <c r="V44" t="s">
        <v>229</v>
      </c>
      <c r="X44" t="s">
        <v>57</v>
      </c>
      <c r="Y44" t="str">
        <f t="shared" si="9"/>
        <v>Standard Class</v>
      </c>
      <c r="Z44">
        <v>8</v>
      </c>
      <c r="AA44">
        <v>979.87</v>
      </c>
      <c r="AB44">
        <v>0.05</v>
      </c>
      <c r="AC44">
        <v>7447.01</v>
      </c>
      <c r="AD44">
        <v>4496.22</v>
      </c>
      <c r="AE44">
        <v>2950.79</v>
      </c>
      <c r="AF44" t="s">
        <v>30</v>
      </c>
      <c r="AG44" t="str">
        <f t="shared" si="10"/>
        <v>Paid</v>
      </c>
      <c r="AH44" t="s">
        <v>31</v>
      </c>
    </row>
    <row r="45" spans="1:34">
      <c r="A45" t="s">
        <v>230</v>
      </c>
      <c r="B45">
        <f>COUNTIF($A:$A,A45)</f>
        <v>1</v>
      </c>
      <c r="C45" t="str">
        <f t="shared" si="0"/>
        <v>Unique</v>
      </c>
      <c r="D45" s="4">
        <v>45481</v>
      </c>
      <c r="E45">
        <f t="shared" si="1"/>
        <v>6</v>
      </c>
      <c r="F45" s="4">
        <v>45487</v>
      </c>
      <c r="G45" t="s">
        <v>231</v>
      </c>
      <c r="H45" t="s">
        <v>112</v>
      </c>
      <c r="I45" t="str">
        <f t="shared" si="2"/>
        <v>Priya Menon</v>
      </c>
      <c r="J45" t="s">
        <v>35</v>
      </c>
      <c r="K45" t="str">
        <f t="shared" si="3"/>
        <v>Small Business</v>
      </c>
      <c r="L45" t="s">
        <v>36</v>
      </c>
      <c r="M45" t="str">
        <f t="shared" si="11"/>
        <v>East</v>
      </c>
      <c r="N45" t="s">
        <v>37</v>
      </c>
      <c r="O45" t="str">
        <f t="shared" si="5"/>
        <v>Odisha</v>
      </c>
      <c r="P45" t="s">
        <v>38</v>
      </c>
      <c r="Q45" t="str">
        <f t="shared" si="6"/>
        <v>Bhubaneswar</v>
      </c>
      <c r="R45" t="s">
        <v>39</v>
      </c>
      <c r="S45" t="str">
        <f t="shared" si="7"/>
        <v>Furniture</v>
      </c>
      <c r="T45" t="s">
        <v>55</v>
      </c>
      <c r="U45" t="str">
        <f t="shared" si="8"/>
        <v>Furnishings</v>
      </c>
      <c r="V45" t="s">
        <v>232</v>
      </c>
      <c r="X45" t="s">
        <v>42</v>
      </c>
      <c r="Y45" t="str">
        <f t="shared" si="9"/>
        <v>Same Day</v>
      </c>
      <c r="Z45">
        <v>3</v>
      </c>
      <c r="AA45">
        <v>1010.23</v>
      </c>
      <c r="AB45">
        <v>0</v>
      </c>
      <c r="AC45">
        <v>3030.69</v>
      </c>
      <c r="AD45">
        <v>1721.08</v>
      </c>
      <c r="AE45">
        <v>1309.6099999999999</v>
      </c>
      <c r="AF45" t="s">
        <v>30</v>
      </c>
      <c r="AG45" t="str">
        <f t="shared" si="10"/>
        <v>Paid</v>
      </c>
      <c r="AH45" t="s">
        <v>31</v>
      </c>
    </row>
    <row r="46" spans="1:34">
      <c r="A46" t="s">
        <v>233</v>
      </c>
      <c r="B46">
        <f>COUNTIF($A:$A,A46)</f>
        <v>1</v>
      </c>
      <c r="C46" t="str">
        <f t="shared" si="0"/>
        <v>Unique</v>
      </c>
      <c r="D46" s="4">
        <v>45465</v>
      </c>
      <c r="E46">
        <f t="shared" si="1"/>
        <v>3</v>
      </c>
      <c r="F46" s="4">
        <v>45468</v>
      </c>
      <c r="G46" t="s">
        <v>234</v>
      </c>
      <c r="H46" t="s">
        <v>139</v>
      </c>
      <c r="I46" t="str">
        <f t="shared" si="2"/>
        <v>Rohan Mehta</v>
      </c>
      <c r="J46" t="s">
        <v>35</v>
      </c>
      <c r="K46" t="str">
        <f t="shared" si="3"/>
        <v>Small Business</v>
      </c>
      <c r="L46" t="s">
        <v>23</v>
      </c>
      <c r="M46" t="str">
        <f t="shared" si="11"/>
        <v>North</v>
      </c>
      <c r="N46" t="s">
        <v>235</v>
      </c>
      <c r="O46" t="str">
        <f t="shared" si="5"/>
        <v>Haryana</v>
      </c>
      <c r="P46" t="s">
        <v>236</v>
      </c>
      <c r="Q46" t="str">
        <f t="shared" si="6"/>
        <v>Gurugram</v>
      </c>
      <c r="R46" t="s">
        <v>39</v>
      </c>
      <c r="S46" t="str">
        <f t="shared" si="7"/>
        <v>Furniture</v>
      </c>
      <c r="T46" t="s">
        <v>64</v>
      </c>
      <c r="U46" t="str">
        <f t="shared" si="8"/>
        <v>Chairs</v>
      </c>
      <c r="V46" t="s">
        <v>237</v>
      </c>
      <c r="X46" t="s">
        <v>57</v>
      </c>
      <c r="Y46" t="str">
        <f t="shared" si="9"/>
        <v>Standard Class</v>
      </c>
      <c r="Z46">
        <v>9</v>
      </c>
      <c r="AA46">
        <v>3329.77</v>
      </c>
      <c r="AB46">
        <v>0.1</v>
      </c>
      <c r="AC46">
        <v>26971.14</v>
      </c>
      <c r="AD46">
        <v>17376.2</v>
      </c>
      <c r="AE46">
        <v>9594.94</v>
      </c>
      <c r="AF46" t="s">
        <v>30</v>
      </c>
      <c r="AG46" t="str">
        <f t="shared" si="10"/>
        <v>Paid</v>
      </c>
      <c r="AH46" t="s">
        <v>31</v>
      </c>
    </row>
    <row r="47" spans="1:34">
      <c r="A47" t="s">
        <v>238</v>
      </c>
      <c r="B47">
        <f>COUNTIF($A:$A,A47)</f>
        <v>1</v>
      </c>
      <c r="C47" t="str">
        <f t="shared" si="0"/>
        <v>Unique</v>
      </c>
      <c r="D47" s="4">
        <v>45309</v>
      </c>
      <c r="E47">
        <f t="shared" si="1"/>
        <v>6</v>
      </c>
      <c r="F47" s="4">
        <v>45315</v>
      </c>
      <c r="G47" t="s">
        <v>239</v>
      </c>
      <c r="H47" t="s">
        <v>45</v>
      </c>
      <c r="I47" t="str">
        <f t="shared" si="2"/>
        <v>Isha Nair</v>
      </c>
      <c r="J47" t="s">
        <v>93</v>
      </c>
      <c r="K47" t="str">
        <f t="shared" si="3"/>
        <v>Home Office</v>
      </c>
      <c r="L47" t="s">
        <v>36</v>
      </c>
      <c r="M47" t="str">
        <f t="shared" si="11"/>
        <v>East</v>
      </c>
      <c r="N47" t="s">
        <v>143</v>
      </c>
      <c r="O47" t="str">
        <f t="shared" si="5"/>
        <v>Bihar</v>
      </c>
      <c r="P47" t="s">
        <v>144</v>
      </c>
      <c r="Q47" t="str">
        <f t="shared" si="6"/>
        <v>Patna</v>
      </c>
      <c r="R47" t="s">
        <v>26</v>
      </c>
      <c r="S47" t="str">
        <f t="shared" si="7"/>
        <v>Office Supplies</v>
      </c>
      <c r="T47" t="s">
        <v>46</v>
      </c>
      <c r="U47" t="str">
        <f t="shared" si="8"/>
        <v>Art</v>
      </c>
      <c r="V47" t="s">
        <v>240</v>
      </c>
      <c r="X47" t="s">
        <v>29</v>
      </c>
      <c r="Y47" t="str">
        <f t="shared" si="9"/>
        <v>Second Class</v>
      </c>
      <c r="Z47">
        <v>8</v>
      </c>
      <c r="AA47">
        <v>3927.82</v>
      </c>
      <c r="AB47">
        <v>0.05</v>
      </c>
      <c r="AC47">
        <v>29851.43</v>
      </c>
      <c r="AD47">
        <v>17487.48</v>
      </c>
      <c r="AE47">
        <v>12363.95</v>
      </c>
      <c r="AF47" t="s">
        <v>109</v>
      </c>
      <c r="AG47" t="str">
        <f t="shared" si="10"/>
        <v>Pending</v>
      </c>
      <c r="AH47" t="s">
        <v>101</v>
      </c>
    </row>
    <row r="48" spans="1:34">
      <c r="A48" t="s">
        <v>241</v>
      </c>
      <c r="B48">
        <f>COUNTIF($A:$A,A48)</f>
        <v>1</v>
      </c>
      <c r="C48" t="str">
        <f t="shared" si="0"/>
        <v>Unique</v>
      </c>
      <c r="D48" s="4">
        <v>45492</v>
      </c>
      <c r="E48">
        <f t="shared" si="1"/>
        <v>0</v>
      </c>
      <c r="F48" s="4">
        <v>45492</v>
      </c>
      <c r="G48" t="s">
        <v>242</v>
      </c>
      <c r="H48" t="s">
        <v>60</v>
      </c>
      <c r="I48" t="str">
        <f t="shared" si="2"/>
        <v>Ananya Rao</v>
      </c>
      <c r="J48" t="s">
        <v>35</v>
      </c>
      <c r="K48" t="str">
        <f t="shared" si="3"/>
        <v>Small Business</v>
      </c>
      <c r="L48" t="s">
        <v>52</v>
      </c>
      <c r="M48" t="str">
        <f t="shared" si="11"/>
        <v>South</v>
      </c>
      <c r="N48" t="s">
        <v>183</v>
      </c>
      <c r="O48" t="str">
        <f t="shared" si="5"/>
        <v>Kerala</v>
      </c>
      <c r="P48" t="s">
        <v>184</v>
      </c>
      <c r="Q48" t="str">
        <f t="shared" si="6"/>
        <v>Kochi</v>
      </c>
      <c r="R48" t="s">
        <v>39</v>
      </c>
      <c r="S48" t="str">
        <f t="shared" si="7"/>
        <v>Furniture</v>
      </c>
      <c r="T48" t="s">
        <v>156</v>
      </c>
      <c r="U48" t="str">
        <f t="shared" si="8"/>
        <v>Bookcases</v>
      </c>
      <c r="V48" t="s">
        <v>243</v>
      </c>
      <c r="X48" t="s">
        <v>57</v>
      </c>
      <c r="Y48" t="str">
        <f t="shared" si="9"/>
        <v>Standard Class</v>
      </c>
      <c r="Z48">
        <v>9</v>
      </c>
      <c r="AA48">
        <v>2386.79</v>
      </c>
      <c r="AB48">
        <v>0.25</v>
      </c>
      <c r="AC48">
        <v>16110.83</v>
      </c>
      <c r="AD48">
        <v>10680.03</v>
      </c>
      <c r="AE48">
        <v>5430.8</v>
      </c>
      <c r="AF48" t="s">
        <v>100</v>
      </c>
      <c r="AG48" t="str">
        <f t="shared" si="10"/>
        <v>Refunded</v>
      </c>
      <c r="AH48" t="s">
        <v>101</v>
      </c>
    </row>
    <row r="49" spans="1:34">
      <c r="A49" t="s">
        <v>244</v>
      </c>
      <c r="B49">
        <f>COUNTIF($A:$A,A49)</f>
        <v>1</v>
      </c>
      <c r="C49" t="str">
        <f t="shared" si="0"/>
        <v>Unique</v>
      </c>
      <c r="D49" s="4">
        <v>45634</v>
      </c>
      <c r="E49">
        <f t="shared" si="1"/>
        <v>0</v>
      </c>
      <c r="F49" s="4">
        <v>45634</v>
      </c>
      <c r="G49" t="s">
        <v>245</v>
      </c>
      <c r="H49" t="s">
        <v>116</v>
      </c>
      <c r="I49" t="str">
        <f t="shared" si="2"/>
        <v>Rahul Verma</v>
      </c>
      <c r="J49" t="s">
        <v>88</v>
      </c>
      <c r="K49" t="str">
        <f t="shared" si="3"/>
        <v>Corporate</v>
      </c>
      <c r="L49" t="s">
        <v>52</v>
      </c>
      <c r="M49" t="str">
        <f t="shared" si="11"/>
        <v>South</v>
      </c>
      <c r="N49" t="s">
        <v>246</v>
      </c>
      <c r="O49" t="str">
        <f t="shared" si="5"/>
        <v>Tamil Nadu</v>
      </c>
      <c r="P49" t="s">
        <v>247</v>
      </c>
      <c r="Q49" t="str">
        <f t="shared" si="6"/>
        <v>Chennai</v>
      </c>
      <c r="R49" t="s">
        <v>26</v>
      </c>
      <c r="S49" t="str">
        <f t="shared" si="7"/>
        <v>Office Supplies</v>
      </c>
      <c r="T49" t="s">
        <v>122</v>
      </c>
      <c r="U49" t="str">
        <f t="shared" si="8"/>
        <v>Storage</v>
      </c>
      <c r="V49" t="s">
        <v>248</v>
      </c>
      <c r="X49" t="s">
        <v>57</v>
      </c>
      <c r="Y49" t="str">
        <f t="shared" si="9"/>
        <v>Standard Class</v>
      </c>
      <c r="Z49">
        <v>8</v>
      </c>
      <c r="AA49">
        <v>2445.31</v>
      </c>
      <c r="AB49">
        <v>0.1</v>
      </c>
      <c r="AC49">
        <v>17606.23</v>
      </c>
      <c r="AD49">
        <v>12438.96</v>
      </c>
      <c r="AE49">
        <v>5167.2700000000004</v>
      </c>
      <c r="AF49" t="s">
        <v>30</v>
      </c>
      <c r="AG49" t="str">
        <f t="shared" si="10"/>
        <v>Paid</v>
      </c>
      <c r="AH49" t="s">
        <v>31</v>
      </c>
    </row>
    <row r="50" spans="1:34">
      <c r="A50" t="s">
        <v>249</v>
      </c>
      <c r="B50">
        <f>COUNTIF($A:$A,A50)</f>
        <v>1</v>
      </c>
      <c r="C50" t="str">
        <f t="shared" si="0"/>
        <v>Unique</v>
      </c>
      <c r="D50" s="4">
        <v>45687</v>
      </c>
      <c r="E50">
        <f t="shared" si="1"/>
        <v>92</v>
      </c>
      <c r="F50" s="4">
        <v>45779</v>
      </c>
      <c r="G50" t="s">
        <v>250</v>
      </c>
      <c r="H50" t="s">
        <v>77</v>
      </c>
      <c r="I50" t="str">
        <f t="shared" si="2"/>
        <v>Neha Gupta</v>
      </c>
      <c r="J50" t="s">
        <v>88</v>
      </c>
      <c r="K50" t="str">
        <f t="shared" si="3"/>
        <v>Corporate</v>
      </c>
      <c r="L50" t="s">
        <v>61</v>
      </c>
      <c r="M50" t="str">
        <f t="shared" si="11"/>
        <v>West</v>
      </c>
      <c r="N50" t="s">
        <v>62</v>
      </c>
      <c r="O50" t="str">
        <f t="shared" si="5"/>
        <v>Maharashtra</v>
      </c>
      <c r="P50" t="s">
        <v>63</v>
      </c>
      <c r="Q50" t="str">
        <f t="shared" si="6"/>
        <v>Mumbai</v>
      </c>
      <c r="R50" t="s">
        <v>39</v>
      </c>
      <c r="S50" t="str">
        <f t="shared" si="7"/>
        <v>Furniture</v>
      </c>
      <c r="T50" t="s">
        <v>64</v>
      </c>
      <c r="U50" t="str">
        <f t="shared" si="8"/>
        <v>Chairs</v>
      </c>
      <c r="V50" t="s">
        <v>251</v>
      </c>
      <c r="X50" t="s">
        <v>29</v>
      </c>
      <c r="Y50" t="str">
        <f t="shared" si="9"/>
        <v>Second Class</v>
      </c>
      <c r="Z50">
        <v>7</v>
      </c>
      <c r="AA50">
        <v>4063.66</v>
      </c>
      <c r="AB50">
        <v>0</v>
      </c>
      <c r="AC50">
        <v>28445.62</v>
      </c>
      <c r="AD50">
        <v>20938.59</v>
      </c>
      <c r="AE50">
        <v>7507.03</v>
      </c>
      <c r="AF50" t="s">
        <v>30</v>
      </c>
      <c r="AG50" t="str">
        <f t="shared" si="10"/>
        <v>Paid</v>
      </c>
      <c r="AH50" t="s">
        <v>31</v>
      </c>
    </row>
    <row r="51" spans="1:34">
      <c r="A51" t="s">
        <v>252</v>
      </c>
      <c r="B51">
        <f>COUNTIF($A:$A,A51)</f>
        <v>1</v>
      </c>
      <c r="C51" t="str">
        <f t="shared" si="0"/>
        <v>Unique</v>
      </c>
      <c r="D51" s="4">
        <v>45447</v>
      </c>
      <c r="E51">
        <f t="shared" si="1"/>
        <v>-52</v>
      </c>
      <c r="F51" s="4">
        <v>45395</v>
      </c>
      <c r="G51" t="s">
        <v>253</v>
      </c>
      <c r="H51" t="s">
        <v>126</v>
      </c>
      <c r="I51" t="str">
        <f t="shared" si="2"/>
        <v>Aarav Sharma</v>
      </c>
      <c r="J51" t="s">
        <v>93</v>
      </c>
      <c r="K51" t="str">
        <f t="shared" si="3"/>
        <v>Home Office</v>
      </c>
      <c r="L51" t="s">
        <v>23</v>
      </c>
      <c r="M51" t="str">
        <f t="shared" si="11"/>
        <v>North</v>
      </c>
      <c r="N51" t="s">
        <v>134</v>
      </c>
      <c r="O51" t="str">
        <f t="shared" si="5"/>
        <v>Uttar Pradesh</v>
      </c>
      <c r="P51" t="s">
        <v>135</v>
      </c>
      <c r="Q51" t="str">
        <f t="shared" si="6"/>
        <v>Noida</v>
      </c>
      <c r="R51" t="s">
        <v>72</v>
      </c>
      <c r="S51" t="str">
        <f t="shared" si="7"/>
        <v>Technology</v>
      </c>
      <c r="T51" t="s">
        <v>78</v>
      </c>
      <c r="U51" t="str">
        <f t="shared" si="8"/>
        <v>Copiers</v>
      </c>
      <c r="V51" t="s">
        <v>254</v>
      </c>
      <c r="X51" t="s">
        <v>29</v>
      </c>
      <c r="Y51" t="str">
        <f t="shared" si="9"/>
        <v>Second Class</v>
      </c>
      <c r="Z51">
        <v>9</v>
      </c>
      <c r="AA51">
        <v>792.11</v>
      </c>
      <c r="AB51">
        <v>0.05</v>
      </c>
      <c r="AC51">
        <v>6772.54</v>
      </c>
      <c r="AD51">
        <v>5755.46</v>
      </c>
      <c r="AE51">
        <v>1017.08</v>
      </c>
      <c r="AF51" t="s">
        <v>30</v>
      </c>
      <c r="AG51" t="str">
        <f t="shared" si="10"/>
        <v>Paid</v>
      </c>
      <c r="AH51" t="s">
        <v>31</v>
      </c>
    </row>
    <row r="52" spans="1:34">
      <c r="A52" t="s">
        <v>255</v>
      </c>
      <c r="B52">
        <f>COUNTIF($A:$A,A52)</f>
        <v>1</v>
      </c>
      <c r="C52" t="str">
        <f t="shared" si="0"/>
        <v>Unique</v>
      </c>
      <c r="D52" s="4">
        <v>45788</v>
      </c>
      <c r="E52">
        <f t="shared" si="1"/>
        <v>8</v>
      </c>
      <c r="F52" s="4">
        <v>45796</v>
      </c>
      <c r="G52" t="s">
        <v>256</v>
      </c>
      <c r="H52" t="s">
        <v>130</v>
      </c>
      <c r="I52" t="str">
        <f t="shared" si="2"/>
        <v>Sneha Kapoor</v>
      </c>
      <c r="J52" t="s">
        <v>22</v>
      </c>
      <c r="K52" t="str">
        <f t="shared" si="3"/>
        <v>Consumer</v>
      </c>
      <c r="L52" t="s">
        <v>36</v>
      </c>
      <c r="M52" t="str">
        <f t="shared" si="11"/>
        <v>East</v>
      </c>
      <c r="N52" t="s">
        <v>97</v>
      </c>
      <c r="O52" t="str">
        <f t="shared" si="5"/>
        <v>West Bengal</v>
      </c>
      <c r="P52" t="s">
        <v>98</v>
      </c>
      <c r="Q52" t="str">
        <f t="shared" si="6"/>
        <v>Kolkata</v>
      </c>
      <c r="R52" t="s">
        <v>72</v>
      </c>
      <c r="S52" t="str">
        <f t="shared" si="7"/>
        <v>Technology</v>
      </c>
      <c r="T52" t="s">
        <v>78</v>
      </c>
      <c r="U52" t="str">
        <f t="shared" si="8"/>
        <v>Copiers</v>
      </c>
      <c r="V52" t="s">
        <v>257</v>
      </c>
      <c r="X52" t="s">
        <v>57</v>
      </c>
      <c r="Y52" t="str">
        <f t="shared" si="9"/>
        <v>Standard Class</v>
      </c>
      <c r="Z52">
        <v>1</v>
      </c>
      <c r="AA52">
        <v>2382.8000000000002</v>
      </c>
      <c r="AB52">
        <v>0.15</v>
      </c>
      <c r="AC52">
        <v>2025.38</v>
      </c>
      <c r="AD52">
        <v>1140.6500000000001</v>
      </c>
      <c r="AE52">
        <v>884.73</v>
      </c>
      <c r="AF52" t="s">
        <v>30</v>
      </c>
      <c r="AG52" t="str">
        <f t="shared" si="10"/>
        <v>Paid</v>
      </c>
      <c r="AH52" t="s">
        <v>31</v>
      </c>
    </row>
    <row r="53" spans="1:34">
      <c r="A53" t="s">
        <v>258</v>
      </c>
      <c r="B53">
        <f>COUNTIF($A:$A,A53)</f>
        <v>1</v>
      </c>
      <c r="C53" t="str">
        <f t="shared" si="0"/>
        <v>Unique</v>
      </c>
      <c r="D53" s="4">
        <v>45406</v>
      </c>
      <c r="E53">
        <f t="shared" si="1"/>
        <v>5</v>
      </c>
      <c r="F53" s="4">
        <v>45411</v>
      </c>
      <c r="G53" t="s">
        <v>259</v>
      </c>
      <c r="H53" t="s">
        <v>60</v>
      </c>
      <c r="I53" t="str">
        <f t="shared" si="2"/>
        <v>Ananya Rao</v>
      </c>
      <c r="J53" t="s">
        <v>88</v>
      </c>
      <c r="K53" t="str">
        <f t="shared" si="3"/>
        <v>Corporate</v>
      </c>
      <c r="L53" t="s">
        <v>52</v>
      </c>
      <c r="M53" t="str">
        <f t="shared" si="11"/>
        <v>South</v>
      </c>
      <c r="N53" t="s">
        <v>53</v>
      </c>
      <c r="O53" t="str">
        <f t="shared" si="5"/>
        <v>Telangana</v>
      </c>
      <c r="P53" t="s">
        <v>54</v>
      </c>
      <c r="Q53" t="str">
        <f t="shared" si="6"/>
        <v>Hyderabad</v>
      </c>
      <c r="R53" t="s">
        <v>26</v>
      </c>
      <c r="S53" t="str">
        <f t="shared" si="7"/>
        <v>Office Supplies</v>
      </c>
      <c r="T53" t="s">
        <v>46</v>
      </c>
      <c r="U53" t="str">
        <f t="shared" si="8"/>
        <v>Art</v>
      </c>
      <c r="V53" t="s">
        <v>260</v>
      </c>
      <c r="X53" t="s">
        <v>57</v>
      </c>
      <c r="Y53" t="str">
        <f t="shared" si="9"/>
        <v>Standard Class</v>
      </c>
      <c r="Z53">
        <v>6</v>
      </c>
      <c r="AA53">
        <v>1528.08</v>
      </c>
      <c r="AB53">
        <v>0</v>
      </c>
      <c r="AC53">
        <v>9168.48</v>
      </c>
      <c r="AD53">
        <v>7439.77</v>
      </c>
      <c r="AE53">
        <v>1728.71</v>
      </c>
      <c r="AF53" t="s">
        <v>30</v>
      </c>
      <c r="AG53" t="str">
        <f t="shared" si="10"/>
        <v>Paid</v>
      </c>
      <c r="AH53" t="s">
        <v>31</v>
      </c>
    </row>
    <row r="54" spans="1:34">
      <c r="A54" t="s">
        <v>261</v>
      </c>
      <c r="B54">
        <f>COUNTIF($A:$A,A54)</f>
        <v>1</v>
      </c>
      <c r="C54" t="str">
        <f t="shared" si="0"/>
        <v>Unique</v>
      </c>
      <c r="D54" s="4">
        <v>45591</v>
      </c>
      <c r="E54">
        <f t="shared" si="1"/>
        <v>2</v>
      </c>
      <c r="F54" s="4">
        <v>45593</v>
      </c>
      <c r="G54" t="s">
        <v>262</v>
      </c>
      <c r="H54" t="s">
        <v>263</v>
      </c>
      <c r="I54" t="str">
        <f t="shared" si="2"/>
        <v>Kabir Singh</v>
      </c>
      <c r="J54" t="s">
        <v>35</v>
      </c>
      <c r="K54" t="str">
        <f t="shared" si="3"/>
        <v>Small Business</v>
      </c>
      <c r="L54" t="s">
        <v>23</v>
      </c>
      <c r="M54" t="str">
        <f t="shared" si="11"/>
        <v>North</v>
      </c>
      <c r="N54" t="s">
        <v>24</v>
      </c>
      <c r="O54" t="str">
        <f t="shared" si="5"/>
        <v>Rajasthan</v>
      </c>
      <c r="P54" t="s">
        <v>25</v>
      </c>
      <c r="Q54" t="str">
        <f t="shared" si="6"/>
        <v>Jaipur</v>
      </c>
      <c r="R54" t="s">
        <v>39</v>
      </c>
      <c r="S54" t="str">
        <f t="shared" si="7"/>
        <v>Furniture</v>
      </c>
      <c r="T54" t="s">
        <v>64</v>
      </c>
      <c r="U54" t="str">
        <f t="shared" si="8"/>
        <v>Chairs</v>
      </c>
      <c r="V54" t="s">
        <v>264</v>
      </c>
      <c r="X54" t="s">
        <v>48</v>
      </c>
      <c r="Y54" t="str">
        <f t="shared" si="9"/>
        <v>First Class</v>
      </c>
      <c r="Z54">
        <v>9</v>
      </c>
      <c r="AA54">
        <v>1399.63</v>
      </c>
      <c r="AB54">
        <v>0</v>
      </c>
      <c r="AC54">
        <v>12596.67</v>
      </c>
      <c r="AD54">
        <v>10603.29</v>
      </c>
      <c r="AE54">
        <v>1993.38</v>
      </c>
      <c r="AF54" t="s">
        <v>153</v>
      </c>
      <c r="AG54" t="str">
        <f t="shared" si="10"/>
        <v>Failed</v>
      </c>
      <c r="AH54" t="s">
        <v>66</v>
      </c>
    </row>
    <row r="55" spans="1:34">
      <c r="A55" t="s">
        <v>265</v>
      </c>
      <c r="B55">
        <f>COUNTIF($A:$A,A55)</f>
        <v>1</v>
      </c>
      <c r="C55" t="str">
        <f t="shared" si="0"/>
        <v>Unique</v>
      </c>
      <c r="D55" s="4">
        <v>45747</v>
      </c>
      <c r="E55">
        <f t="shared" si="1"/>
        <v>0</v>
      </c>
      <c r="F55" s="4">
        <v>45747</v>
      </c>
      <c r="G55" t="s">
        <v>266</v>
      </c>
      <c r="H55" t="s">
        <v>263</v>
      </c>
      <c r="I55" t="str">
        <f t="shared" si="2"/>
        <v>Kabir Singh</v>
      </c>
      <c r="J55" t="s">
        <v>93</v>
      </c>
      <c r="K55" t="str">
        <f t="shared" si="3"/>
        <v>Home Office</v>
      </c>
      <c r="L55" t="s">
        <v>61</v>
      </c>
      <c r="M55" t="str">
        <f t="shared" si="11"/>
        <v>West</v>
      </c>
      <c r="N55" t="s">
        <v>178</v>
      </c>
      <c r="O55" t="str">
        <f t="shared" si="5"/>
        <v>Gujarat</v>
      </c>
      <c r="P55" t="s">
        <v>179</v>
      </c>
      <c r="Q55" t="str">
        <f t="shared" si="6"/>
        <v>Ahmedabad</v>
      </c>
      <c r="R55" t="s">
        <v>26</v>
      </c>
      <c r="S55" t="str">
        <f t="shared" si="7"/>
        <v>Office Supplies</v>
      </c>
      <c r="T55" t="s">
        <v>122</v>
      </c>
      <c r="U55" t="str">
        <f t="shared" si="8"/>
        <v>Storage</v>
      </c>
      <c r="V55" t="s">
        <v>267</v>
      </c>
      <c r="X55" t="s">
        <v>48</v>
      </c>
      <c r="Y55" t="str">
        <f t="shared" si="9"/>
        <v>First Class</v>
      </c>
      <c r="Z55">
        <v>5</v>
      </c>
      <c r="AA55">
        <v>1207.47</v>
      </c>
      <c r="AB55">
        <v>0.15</v>
      </c>
      <c r="AC55">
        <v>5131.75</v>
      </c>
      <c r="AD55">
        <v>2838.68</v>
      </c>
      <c r="AE55">
        <v>2293.0700000000002</v>
      </c>
      <c r="AF55" t="s">
        <v>30</v>
      </c>
      <c r="AG55" t="str">
        <f t="shared" si="10"/>
        <v>Paid</v>
      </c>
      <c r="AH55" t="s">
        <v>31</v>
      </c>
    </row>
    <row r="56" spans="1:34">
      <c r="A56" t="s">
        <v>268</v>
      </c>
      <c r="B56">
        <f>COUNTIF($A:$A,A56)</f>
        <v>1</v>
      </c>
      <c r="C56" t="str">
        <f t="shared" si="0"/>
        <v>Unique</v>
      </c>
      <c r="D56" s="4">
        <v>45807</v>
      </c>
      <c r="E56">
        <f t="shared" si="1"/>
        <v>-113</v>
      </c>
      <c r="F56" s="4">
        <v>45694</v>
      </c>
      <c r="G56" t="s">
        <v>269</v>
      </c>
      <c r="H56" t="s">
        <v>51</v>
      </c>
      <c r="I56" t="str">
        <f t="shared" si="2"/>
        <v>Arjun Bose</v>
      </c>
      <c r="J56" t="s">
        <v>88</v>
      </c>
      <c r="K56" t="str">
        <f t="shared" si="3"/>
        <v>Corporate</v>
      </c>
      <c r="L56" t="s">
        <v>52</v>
      </c>
      <c r="M56" t="str">
        <f t="shared" si="11"/>
        <v>South</v>
      </c>
      <c r="N56" t="s">
        <v>246</v>
      </c>
      <c r="O56" t="str">
        <f t="shared" si="5"/>
        <v>Tamil Nadu</v>
      </c>
      <c r="P56" t="s">
        <v>247</v>
      </c>
      <c r="Q56" t="str">
        <f t="shared" si="6"/>
        <v>Chennai</v>
      </c>
      <c r="R56" t="s">
        <v>26</v>
      </c>
      <c r="S56" t="str">
        <f t="shared" si="7"/>
        <v>Office Supplies</v>
      </c>
      <c r="T56" t="s">
        <v>89</v>
      </c>
      <c r="U56" t="str">
        <f t="shared" si="8"/>
        <v>Labels</v>
      </c>
      <c r="V56" t="s">
        <v>270</v>
      </c>
      <c r="X56" t="s">
        <v>42</v>
      </c>
      <c r="Y56" t="str">
        <f t="shared" si="9"/>
        <v>Same Day</v>
      </c>
      <c r="Z56">
        <v>8</v>
      </c>
      <c r="AA56">
        <v>474.37</v>
      </c>
      <c r="AB56">
        <v>0.1</v>
      </c>
      <c r="AC56">
        <v>3415.46</v>
      </c>
      <c r="AD56">
        <v>1993.23</v>
      </c>
      <c r="AE56">
        <v>1422.23</v>
      </c>
      <c r="AF56" t="s">
        <v>153</v>
      </c>
      <c r="AG56" t="str">
        <f t="shared" si="10"/>
        <v>Failed</v>
      </c>
      <c r="AH56" t="s">
        <v>66</v>
      </c>
    </row>
    <row r="57" spans="1:34">
      <c r="A57" t="s">
        <v>271</v>
      </c>
      <c r="B57">
        <f>COUNTIF($A:$A,A57)</f>
        <v>1</v>
      </c>
      <c r="C57" t="str">
        <f t="shared" si="0"/>
        <v>Unique</v>
      </c>
      <c r="D57" s="4">
        <v>45664</v>
      </c>
      <c r="E57">
        <f t="shared" si="1"/>
        <v>59</v>
      </c>
      <c r="F57" s="4">
        <v>45723</v>
      </c>
      <c r="G57" t="s">
        <v>272</v>
      </c>
      <c r="H57" t="s">
        <v>34</v>
      </c>
      <c r="I57" t="str">
        <f t="shared" si="2"/>
        <v>Mira Das</v>
      </c>
      <c r="J57" t="s">
        <v>35</v>
      </c>
      <c r="K57" t="str">
        <f t="shared" si="3"/>
        <v>Small Business</v>
      </c>
      <c r="L57" t="s">
        <v>52</v>
      </c>
      <c r="M57" t="str">
        <f t="shared" si="11"/>
        <v>South</v>
      </c>
      <c r="N57" t="s">
        <v>82</v>
      </c>
      <c r="O57" t="str">
        <f t="shared" si="5"/>
        <v>Andhra Pradesh</v>
      </c>
      <c r="P57" t="s">
        <v>83</v>
      </c>
      <c r="Q57" t="str">
        <f t="shared" si="6"/>
        <v>Vijayawada</v>
      </c>
      <c r="R57" t="s">
        <v>72</v>
      </c>
      <c r="S57" t="str">
        <f t="shared" si="7"/>
        <v>Technology</v>
      </c>
      <c r="T57" t="s">
        <v>273</v>
      </c>
      <c r="U57" t="str">
        <f t="shared" si="8"/>
        <v>Machines</v>
      </c>
      <c r="V57" t="s">
        <v>274</v>
      </c>
      <c r="X57" t="s">
        <v>42</v>
      </c>
      <c r="Y57" t="str">
        <f t="shared" si="9"/>
        <v>Same Day</v>
      </c>
      <c r="Z57">
        <v>3</v>
      </c>
      <c r="AA57">
        <v>1516.24</v>
      </c>
      <c r="AB57">
        <v>0.25</v>
      </c>
      <c r="AC57">
        <v>3411.54</v>
      </c>
      <c r="AD57">
        <v>2803.13</v>
      </c>
      <c r="AE57">
        <v>608.41</v>
      </c>
      <c r="AF57" t="s">
        <v>30</v>
      </c>
      <c r="AG57" t="str">
        <f t="shared" si="10"/>
        <v>Paid</v>
      </c>
      <c r="AH57" t="s">
        <v>31</v>
      </c>
    </row>
    <row r="58" spans="1:34">
      <c r="A58" t="s">
        <v>275</v>
      </c>
      <c r="B58">
        <f>COUNTIF($A:$A,A58)</f>
        <v>1</v>
      </c>
      <c r="C58" t="str">
        <f t="shared" si="0"/>
        <v>Unique</v>
      </c>
      <c r="D58" s="4">
        <v>45778</v>
      </c>
      <c r="E58">
        <f t="shared" si="1"/>
        <v>31</v>
      </c>
      <c r="F58" s="4">
        <v>45809</v>
      </c>
      <c r="G58" t="s">
        <v>276</v>
      </c>
      <c r="H58" t="s">
        <v>21</v>
      </c>
      <c r="I58" t="str">
        <f t="shared" si="2"/>
        <v>Karan Malhotra</v>
      </c>
      <c r="J58" t="s">
        <v>22</v>
      </c>
      <c r="K58" t="str">
        <f t="shared" si="3"/>
        <v>Consumer</v>
      </c>
      <c r="L58" t="s">
        <v>52</v>
      </c>
      <c r="M58" t="str">
        <f t="shared" si="11"/>
        <v>South</v>
      </c>
      <c r="N58" t="s">
        <v>173</v>
      </c>
      <c r="O58" t="str">
        <f t="shared" si="5"/>
        <v>Karnataka</v>
      </c>
      <c r="P58" t="s">
        <v>174</v>
      </c>
      <c r="Q58" t="str">
        <f t="shared" si="6"/>
        <v>Bengaluru</v>
      </c>
      <c r="R58" t="s">
        <v>26</v>
      </c>
      <c r="S58" t="str">
        <f t="shared" si="7"/>
        <v>Office Supplies</v>
      </c>
      <c r="T58" t="s">
        <v>151</v>
      </c>
      <c r="U58" t="str">
        <f t="shared" si="8"/>
        <v>Binders</v>
      </c>
      <c r="V58" t="s">
        <v>277</v>
      </c>
      <c r="X58" t="s">
        <v>29</v>
      </c>
      <c r="Y58" t="str">
        <f t="shared" si="9"/>
        <v>Second Class</v>
      </c>
      <c r="Z58">
        <v>3</v>
      </c>
      <c r="AA58">
        <v>3155.61</v>
      </c>
      <c r="AB58">
        <v>0</v>
      </c>
      <c r="AC58">
        <v>9466.83</v>
      </c>
      <c r="AD58">
        <v>6557.83</v>
      </c>
      <c r="AE58">
        <v>2909</v>
      </c>
      <c r="AF58" t="s">
        <v>100</v>
      </c>
      <c r="AG58" t="str">
        <f t="shared" si="10"/>
        <v>Refunded</v>
      </c>
      <c r="AH58" t="s">
        <v>66</v>
      </c>
    </row>
    <row r="59" spans="1:34">
      <c r="A59" t="s">
        <v>278</v>
      </c>
      <c r="B59">
        <f>COUNTIF($A:$A,A59)</f>
        <v>1</v>
      </c>
      <c r="C59" t="str">
        <f t="shared" si="0"/>
        <v>Unique</v>
      </c>
      <c r="D59" s="4">
        <v>45475</v>
      </c>
      <c r="E59">
        <f t="shared" si="1"/>
        <v>-138</v>
      </c>
      <c r="F59" s="4">
        <v>45337</v>
      </c>
      <c r="G59" t="s">
        <v>279</v>
      </c>
      <c r="H59" t="s">
        <v>112</v>
      </c>
      <c r="I59" t="str">
        <f t="shared" si="2"/>
        <v>Priya Menon</v>
      </c>
      <c r="J59" t="s">
        <v>22</v>
      </c>
      <c r="K59" t="str">
        <f t="shared" si="3"/>
        <v>Consumer</v>
      </c>
      <c r="L59" t="s">
        <v>61</v>
      </c>
      <c r="M59" t="str">
        <f t="shared" si="11"/>
        <v>West</v>
      </c>
      <c r="N59" t="s">
        <v>188</v>
      </c>
      <c r="O59" t="str">
        <f t="shared" si="5"/>
        <v>Goa</v>
      </c>
      <c r="P59" t="s">
        <v>189</v>
      </c>
      <c r="Q59" t="str">
        <f t="shared" si="6"/>
        <v>Panaji</v>
      </c>
      <c r="R59" t="s">
        <v>39</v>
      </c>
      <c r="S59" t="str">
        <f t="shared" si="7"/>
        <v>Furniture</v>
      </c>
      <c r="T59" t="s">
        <v>64</v>
      </c>
      <c r="U59" t="str">
        <f t="shared" si="8"/>
        <v>Chairs</v>
      </c>
      <c r="V59" t="s">
        <v>280</v>
      </c>
      <c r="X59" t="s">
        <v>42</v>
      </c>
      <c r="Y59" t="str">
        <f t="shared" si="9"/>
        <v>Same Day</v>
      </c>
      <c r="Z59">
        <v>5</v>
      </c>
      <c r="AA59">
        <v>255.87</v>
      </c>
      <c r="AB59">
        <v>0</v>
      </c>
      <c r="AC59">
        <v>1279.3499999999999</v>
      </c>
      <c r="AD59">
        <v>1091.54</v>
      </c>
      <c r="AE59">
        <v>187.81</v>
      </c>
      <c r="AF59" t="s">
        <v>30</v>
      </c>
      <c r="AG59" t="str">
        <f t="shared" si="10"/>
        <v>Paid</v>
      </c>
      <c r="AH59" t="s">
        <v>31</v>
      </c>
    </row>
    <row r="60" spans="1:34">
      <c r="A60" t="s">
        <v>281</v>
      </c>
      <c r="B60">
        <f>COUNTIF($A:$A,A60)</f>
        <v>1</v>
      </c>
      <c r="C60" t="str">
        <f t="shared" si="0"/>
        <v>Unique</v>
      </c>
      <c r="D60" s="4">
        <v>45300</v>
      </c>
      <c r="E60">
        <f t="shared" si="1"/>
        <v>182</v>
      </c>
      <c r="F60" s="4">
        <v>45482</v>
      </c>
      <c r="G60" t="s">
        <v>282</v>
      </c>
      <c r="H60" t="s">
        <v>45</v>
      </c>
      <c r="I60" t="str">
        <f t="shared" si="2"/>
        <v>Isha Nair</v>
      </c>
      <c r="J60" t="s">
        <v>93</v>
      </c>
      <c r="K60" t="str">
        <f t="shared" si="3"/>
        <v>Home Office</v>
      </c>
      <c r="L60" t="s">
        <v>23</v>
      </c>
      <c r="M60" t="str">
        <f t="shared" si="11"/>
        <v>North</v>
      </c>
      <c r="N60" t="s">
        <v>24</v>
      </c>
      <c r="O60" t="str">
        <f t="shared" si="5"/>
        <v>Rajasthan</v>
      </c>
      <c r="P60" t="s">
        <v>25</v>
      </c>
      <c r="Q60" t="str">
        <f t="shared" si="6"/>
        <v>Jaipur</v>
      </c>
      <c r="R60" t="s">
        <v>26</v>
      </c>
      <c r="S60" t="str">
        <f t="shared" si="7"/>
        <v>Office Supplies</v>
      </c>
      <c r="T60" t="s">
        <v>122</v>
      </c>
      <c r="U60" t="str">
        <f t="shared" si="8"/>
        <v>Storage</v>
      </c>
      <c r="V60" t="s">
        <v>283</v>
      </c>
      <c r="Y60" t="s">
        <v>2821</v>
      </c>
      <c r="Z60">
        <v>9</v>
      </c>
      <c r="AA60">
        <v>1389.48</v>
      </c>
      <c r="AB60">
        <v>0.1</v>
      </c>
      <c r="AC60">
        <v>11254.79</v>
      </c>
      <c r="AD60">
        <v>6578.06</v>
      </c>
      <c r="AE60">
        <v>4676.7299999999996</v>
      </c>
      <c r="AF60" t="s">
        <v>109</v>
      </c>
      <c r="AG60" t="str">
        <f t="shared" si="10"/>
        <v>Pending</v>
      </c>
      <c r="AH60" t="s">
        <v>101</v>
      </c>
    </row>
    <row r="61" spans="1:34">
      <c r="A61" t="s">
        <v>284</v>
      </c>
      <c r="B61">
        <f>COUNTIF($A:$A,A61)</f>
        <v>1</v>
      </c>
      <c r="C61" t="str">
        <f t="shared" si="0"/>
        <v>Unique</v>
      </c>
      <c r="D61" s="4">
        <v>45493</v>
      </c>
      <c r="E61">
        <f t="shared" si="1"/>
        <v>5</v>
      </c>
      <c r="F61" s="4">
        <v>45498</v>
      </c>
      <c r="G61" t="s">
        <v>285</v>
      </c>
      <c r="H61" t="s">
        <v>112</v>
      </c>
      <c r="I61" t="str">
        <f t="shared" si="2"/>
        <v>Priya Menon</v>
      </c>
      <c r="J61" t="s">
        <v>88</v>
      </c>
      <c r="K61" t="str">
        <f t="shared" si="3"/>
        <v>Corporate</v>
      </c>
      <c r="L61" t="s">
        <v>36</v>
      </c>
      <c r="M61" t="str">
        <f t="shared" si="11"/>
        <v>East</v>
      </c>
      <c r="N61" t="s">
        <v>164</v>
      </c>
      <c r="O61" t="str">
        <f t="shared" si="5"/>
        <v>Assam</v>
      </c>
      <c r="P61" t="s">
        <v>165</v>
      </c>
      <c r="Q61" t="str">
        <f t="shared" si="6"/>
        <v>Guwahati</v>
      </c>
      <c r="R61" t="s">
        <v>26</v>
      </c>
      <c r="S61" t="str">
        <f t="shared" si="7"/>
        <v>Office Supplies</v>
      </c>
      <c r="T61" t="s">
        <v>89</v>
      </c>
      <c r="U61" t="str">
        <f t="shared" si="8"/>
        <v>Labels</v>
      </c>
      <c r="V61" t="s">
        <v>286</v>
      </c>
      <c r="X61" t="s">
        <v>42</v>
      </c>
      <c r="Y61" t="str">
        <f t="shared" si="9"/>
        <v>Same Day</v>
      </c>
      <c r="Z61">
        <v>5</v>
      </c>
      <c r="AA61">
        <v>4133.8500000000004</v>
      </c>
      <c r="AB61">
        <v>0.2</v>
      </c>
      <c r="AC61">
        <v>16535.400000000001</v>
      </c>
      <c r="AD61">
        <v>12990.21</v>
      </c>
      <c r="AE61">
        <v>3545.19</v>
      </c>
      <c r="AF61" t="s">
        <v>30</v>
      </c>
      <c r="AG61" t="str">
        <f t="shared" si="10"/>
        <v>Paid</v>
      </c>
      <c r="AH61" t="s">
        <v>66</v>
      </c>
    </row>
    <row r="62" spans="1:34">
      <c r="A62" t="s">
        <v>287</v>
      </c>
      <c r="B62">
        <f>COUNTIF($A:$A,A62)</f>
        <v>1</v>
      </c>
      <c r="C62" t="str">
        <f t="shared" si="0"/>
        <v>Unique</v>
      </c>
      <c r="D62" s="4">
        <v>45486</v>
      </c>
      <c r="E62">
        <f t="shared" si="1"/>
        <v>6</v>
      </c>
      <c r="F62" s="4">
        <v>45492</v>
      </c>
      <c r="G62" t="s">
        <v>288</v>
      </c>
      <c r="H62" t="s">
        <v>60</v>
      </c>
      <c r="I62" t="str">
        <f t="shared" si="2"/>
        <v>Ananya Rao</v>
      </c>
      <c r="J62" t="s">
        <v>88</v>
      </c>
      <c r="K62" t="str">
        <f t="shared" si="3"/>
        <v>Corporate</v>
      </c>
      <c r="L62" t="s">
        <v>36</v>
      </c>
      <c r="M62" t="str">
        <f t="shared" si="11"/>
        <v>East</v>
      </c>
      <c r="N62" t="s">
        <v>164</v>
      </c>
      <c r="O62" t="str">
        <f t="shared" si="5"/>
        <v>Assam</v>
      </c>
      <c r="P62" t="s">
        <v>165</v>
      </c>
      <c r="Q62" t="str">
        <f t="shared" si="6"/>
        <v>Guwahati</v>
      </c>
      <c r="R62" t="s">
        <v>26</v>
      </c>
      <c r="S62" t="str">
        <f t="shared" si="7"/>
        <v>Office Supplies</v>
      </c>
      <c r="T62" t="s">
        <v>89</v>
      </c>
      <c r="U62" t="str">
        <f t="shared" si="8"/>
        <v>Labels</v>
      </c>
      <c r="V62" t="s">
        <v>289</v>
      </c>
      <c r="X62" t="s">
        <v>42</v>
      </c>
      <c r="Y62" t="str">
        <f t="shared" si="9"/>
        <v>Same Day</v>
      </c>
      <c r="Z62">
        <v>3</v>
      </c>
      <c r="AA62">
        <v>275.76</v>
      </c>
      <c r="AB62">
        <v>0.2</v>
      </c>
      <c r="AC62">
        <v>661.82</v>
      </c>
      <c r="AD62">
        <v>481.47</v>
      </c>
      <c r="AE62">
        <v>180.35</v>
      </c>
      <c r="AF62" t="s">
        <v>100</v>
      </c>
      <c r="AG62" t="str">
        <f t="shared" si="10"/>
        <v>Refunded</v>
      </c>
      <c r="AH62" t="s">
        <v>66</v>
      </c>
    </row>
    <row r="63" spans="1:34">
      <c r="A63" t="s">
        <v>290</v>
      </c>
      <c r="B63">
        <f>COUNTIF($A:$A,A63)</f>
        <v>1</v>
      </c>
      <c r="C63" t="str">
        <f t="shared" si="0"/>
        <v>Unique</v>
      </c>
      <c r="D63" s="4">
        <v>45398</v>
      </c>
      <c r="E63">
        <f t="shared" si="1"/>
        <v>0</v>
      </c>
      <c r="F63" s="4">
        <v>45398</v>
      </c>
      <c r="G63" t="s">
        <v>291</v>
      </c>
      <c r="H63" t="s">
        <v>69</v>
      </c>
      <c r="I63" t="str">
        <f t="shared" si="2"/>
        <v>Vikram Iyer</v>
      </c>
      <c r="J63" t="s">
        <v>93</v>
      </c>
      <c r="K63" t="str">
        <f t="shared" si="3"/>
        <v>Home Office</v>
      </c>
      <c r="L63" t="s">
        <v>36</v>
      </c>
      <c r="M63" t="str">
        <f t="shared" si="11"/>
        <v>East</v>
      </c>
      <c r="N63" t="s">
        <v>143</v>
      </c>
      <c r="O63" t="str">
        <f t="shared" si="5"/>
        <v>Bihar</v>
      </c>
      <c r="P63" t="s">
        <v>144</v>
      </c>
      <c r="Q63" t="str">
        <f t="shared" si="6"/>
        <v>Patna</v>
      </c>
      <c r="R63" t="s">
        <v>39</v>
      </c>
      <c r="S63" t="str">
        <f t="shared" si="7"/>
        <v>Furniture</v>
      </c>
      <c r="T63" t="s">
        <v>156</v>
      </c>
      <c r="U63" t="str">
        <f t="shared" si="8"/>
        <v>Bookcases</v>
      </c>
      <c r="V63" t="s">
        <v>292</v>
      </c>
      <c r="X63" t="s">
        <v>57</v>
      </c>
      <c r="Y63" t="str">
        <f t="shared" si="9"/>
        <v>Standard Class</v>
      </c>
      <c r="Z63">
        <v>1</v>
      </c>
      <c r="AA63">
        <v>949.59</v>
      </c>
      <c r="AB63">
        <v>0</v>
      </c>
      <c r="AC63">
        <v>949.59</v>
      </c>
      <c r="AD63">
        <v>751.25</v>
      </c>
      <c r="AE63">
        <v>198.34</v>
      </c>
      <c r="AF63" t="s">
        <v>30</v>
      </c>
      <c r="AG63" t="str">
        <f t="shared" si="10"/>
        <v>Paid</v>
      </c>
      <c r="AH63" t="s">
        <v>31</v>
      </c>
    </row>
    <row r="64" spans="1:34">
      <c r="A64" t="s">
        <v>293</v>
      </c>
      <c r="B64">
        <f>COUNTIF($A:$A,A64)</f>
        <v>1</v>
      </c>
      <c r="C64" t="str">
        <f t="shared" si="0"/>
        <v>Unique</v>
      </c>
      <c r="D64" s="4">
        <v>45595</v>
      </c>
      <c r="E64">
        <f t="shared" si="1"/>
        <v>-262</v>
      </c>
      <c r="F64" s="4">
        <v>45333</v>
      </c>
      <c r="G64" t="s">
        <v>294</v>
      </c>
      <c r="H64" t="s">
        <v>130</v>
      </c>
      <c r="I64" t="str">
        <f t="shared" si="2"/>
        <v>Sneha Kapoor</v>
      </c>
      <c r="J64" t="s">
        <v>93</v>
      </c>
      <c r="K64" t="str">
        <f t="shared" si="3"/>
        <v>Home Office</v>
      </c>
      <c r="L64" t="s">
        <v>23</v>
      </c>
      <c r="M64" t="str">
        <f t="shared" si="11"/>
        <v>North</v>
      </c>
      <c r="N64" t="s">
        <v>24</v>
      </c>
      <c r="O64" t="str">
        <f t="shared" si="5"/>
        <v>Rajasthan</v>
      </c>
      <c r="P64" t="s">
        <v>25</v>
      </c>
      <c r="Q64" t="str">
        <f t="shared" si="6"/>
        <v>Jaipur</v>
      </c>
      <c r="R64" t="s">
        <v>72</v>
      </c>
      <c r="S64" t="str">
        <f t="shared" si="7"/>
        <v>Technology</v>
      </c>
      <c r="T64" t="s">
        <v>169</v>
      </c>
      <c r="U64" t="str">
        <f t="shared" si="8"/>
        <v>Phones</v>
      </c>
      <c r="V64" t="s">
        <v>295</v>
      </c>
      <c r="X64" t="s">
        <v>57</v>
      </c>
      <c r="Y64" t="str">
        <f t="shared" si="9"/>
        <v>Standard Class</v>
      </c>
      <c r="Z64">
        <v>9</v>
      </c>
      <c r="AA64">
        <v>3042.29</v>
      </c>
      <c r="AB64">
        <v>0.2</v>
      </c>
      <c r="AC64">
        <v>21904.49</v>
      </c>
      <c r="AD64">
        <v>13570.55</v>
      </c>
      <c r="AE64">
        <v>8333.94</v>
      </c>
      <c r="AF64" t="s">
        <v>30</v>
      </c>
      <c r="AG64" t="str">
        <f t="shared" si="10"/>
        <v>Paid</v>
      </c>
      <c r="AH64" t="s">
        <v>31</v>
      </c>
    </row>
    <row r="65" spans="1:34">
      <c r="A65" t="s">
        <v>296</v>
      </c>
      <c r="B65">
        <f>COUNTIF($A:$A,A65)</f>
        <v>1</v>
      </c>
      <c r="C65" t="str">
        <f t="shared" si="0"/>
        <v>Unique</v>
      </c>
      <c r="D65" s="4">
        <v>45316</v>
      </c>
      <c r="E65">
        <f t="shared" si="1"/>
        <v>-23</v>
      </c>
      <c r="F65" s="4">
        <v>45293</v>
      </c>
      <c r="G65" t="s">
        <v>297</v>
      </c>
      <c r="H65" t="s">
        <v>130</v>
      </c>
      <c r="I65" t="str">
        <f t="shared" si="2"/>
        <v>Sneha Kapoor</v>
      </c>
      <c r="J65" t="s">
        <v>93</v>
      </c>
      <c r="K65" t="str">
        <f t="shared" si="3"/>
        <v>Home Office</v>
      </c>
      <c r="L65" t="s">
        <v>23</v>
      </c>
      <c r="M65" t="str">
        <f t="shared" si="11"/>
        <v>North</v>
      </c>
      <c r="N65" t="s">
        <v>235</v>
      </c>
      <c r="O65" t="str">
        <f t="shared" si="5"/>
        <v>Haryana</v>
      </c>
      <c r="P65" t="s">
        <v>236</v>
      </c>
      <c r="Q65" t="str">
        <f t="shared" si="6"/>
        <v>Gurugram</v>
      </c>
      <c r="R65" t="s">
        <v>26</v>
      </c>
      <c r="S65" t="str">
        <f t="shared" si="7"/>
        <v>Office Supplies</v>
      </c>
      <c r="T65" t="s">
        <v>151</v>
      </c>
      <c r="U65" t="str">
        <f t="shared" si="8"/>
        <v>Binders</v>
      </c>
      <c r="V65" t="s">
        <v>298</v>
      </c>
      <c r="X65" t="s">
        <v>42</v>
      </c>
      <c r="Y65" t="str">
        <f t="shared" si="9"/>
        <v>Same Day</v>
      </c>
      <c r="Z65">
        <v>2</v>
      </c>
      <c r="AA65">
        <v>2832.77</v>
      </c>
      <c r="AB65">
        <v>0.15</v>
      </c>
      <c r="AC65">
        <v>4815.71</v>
      </c>
      <c r="AD65">
        <v>3027.75</v>
      </c>
      <c r="AE65">
        <v>1917.47</v>
      </c>
      <c r="AF65" t="s">
        <v>30</v>
      </c>
      <c r="AG65" t="str">
        <f t="shared" si="10"/>
        <v>Paid</v>
      </c>
      <c r="AH65" t="s">
        <v>31</v>
      </c>
    </row>
    <row r="66" spans="1:34">
      <c r="A66" t="s">
        <v>299</v>
      </c>
      <c r="B66">
        <f>COUNTIF($A:$A,A66)</f>
        <v>1</v>
      </c>
      <c r="C66" t="str">
        <f t="shared" ref="C66:C129" si="12">IF(B66&gt;1,"Review Duplicate ID","Unique")</f>
        <v>Unique</v>
      </c>
      <c r="D66" s="4">
        <v>45649</v>
      </c>
      <c r="E66">
        <f t="shared" ref="E66:E129" si="13">F66-D66</f>
        <v>6</v>
      </c>
      <c r="F66" s="4">
        <v>45655</v>
      </c>
      <c r="G66" t="s">
        <v>300</v>
      </c>
      <c r="H66" t="s">
        <v>126</v>
      </c>
      <c r="I66" t="str">
        <f t="shared" ref="I66:I129" si="14">PROPER(TRIM(H66))</f>
        <v>Aarav Sharma</v>
      </c>
      <c r="J66" t="s">
        <v>88</v>
      </c>
      <c r="K66" t="str">
        <f t="shared" ref="K66:K129" si="15">PROPER(TRIM(J66))</f>
        <v>Corporate</v>
      </c>
      <c r="L66" t="s">
        <v>36</v>
      </c>
      <c r="M66" t="str">
        <f t="shared" ref="M66:M97" si="16">PROPER(TRIM(L66))</f>
        <v>East</v>
      </c>
      <c r="N66" t="s">
        <v>227</v>
      </c>
      <c r="O66" t="str">
        <f t="shared" ref="O66:O129" si="17">PROPER(TRIM(N66))</f>
        <v>Jharkhand</v>
      </c>
      <c r="P66" t="s">
        <v>228</v>
      </c>
      <c r="Q66" t="str">
        <f t="shared" ref="Q66:Q129" si="18">PROPER(TRIM(P66))</f>
        <v>Ranchi</v>
      </c>
      <c r="R66" t="s">
        <v>26</v>
      </c>
      <c r="S66" t="str">
        <f t="shared" ref="S66:S129" si="19">PROPER(TRIM(R66))</f>
        <v>Office Supplies</v>
      </c>
      <c r="T66" t="s">
        <v>27</v>
      </c>
      <c r="U66" t="str">
        <f t="shared" ref="U66:U129" si="20">PROPER(TRIM(T66))</f>
        <v>Paper</v>
      </c>
      <c r="V66" t="s">
        <v>301</v>
      </c>
      <c r="X66" t="s">
        <v>48</v>
      </c>
      <c r="Y66" t="str">
        <f t="shared" si="9"/>
        <v>First Class</v>
      </c>
      <c r="Z66">
        <v>7</v>
      </c>
      <c r="AA66">
        <v>447.84</v>
      </c>
      <c r="AB66">
        <v>0</v>
      </c>
      <c r="AC66">
        <v>3134.88</v>
      </c>
      <c r="AD66">
        <v>2367.63</v>
      </c>
      <c r="AE66">
        <v>767.25</v>
      </c>
      <c r="AF66" t="s">
        <v>100</v>
      </c>
      <c r="AG66" t="str">
        <f t="shared" si="10"/>
        <v>Refunded</v>
      </c>
      <c r="AH66" t="s">
        <v>101</v>
      </c>
    </row>
    <row r="67" spans="1:34">
      <c r="A67" t="s">
        <v>302</v>
      </c>
      <c r="B67">
        <f>COUNTIF($A:$A,A67)</f>
        <v>1</v>
      </c>
      <c r="C67" t="str">
        <f t="shared" si="12"/>
        <v>Unique</v>
      </c>
      <c r="D67" s="4">
        <v>45404</v>
      </c>
      <c r="E67">
        <f t="shared" si="13"/>
        <v>5</v>
      </c>
      <c r="F67" s="4">
        <v>45409</v>
      </c>
      <c r="G67" t="s">
        <v>303</v>
      </c>
      <c r="H67" t="s">
        <v>34</v>
      </c>
      <c r="I67" t="str">
        <f t="shared" si="14"/>
        <v>Mira Das</v>
      </c>
      <c r="J67" t="s">
        <v>93</v>
      </c>
      <c r="K67" t="str">
        <f t="shared" si="15"/>
        <v>Home Office</v>
      </c>
      <c r="L67" t="s">
        <v>61</v>
      </c>
      <c r="M67" t="str">
        <f t="shared" si="16"/>
        <v>West</v>
      </c>
      <c r="N67" t="s">
        <v>62</v>
      </c>
      <c r="O67" t="str">
        <f t="shared" si="17"/>
        <v>Maharashtra</v>
      </c>
      <c r="P67" t="s">
        <v>63</v>
      </c>
      <c r="Q67" t="str">
        <f t="shared" si="18"/>
        <v>Mumbai</v>
      </c>
      <c r="R67" t="s">
        <v>26</v>
      </c>
      <c r="S67" t="str">
        <f t="shared" si="19"/>
        <v>Office Supplies</v>
      </c>
      <c r="T67" t="s">
        <v>27</v>
      </c>
      <c r="U67" t="str">
        <f t="shared" si="20"/>
        <v>Paper</v>
      </c>
      <c r="V67" t="s">
        <v>304</v>
      </c>
      <c r="X67" t="s">
        <v>29</v>
      </c>
      <c r="Y67" t="str">
        <f t="shared" ref="Y67:Y130" si="21">PROPER(TRIM(X67))</f>
        <v>Second Class</v>
      </c>
      <c r="Z67">
        <v>1</v>
      </c>
      <c r="AA67">
        <v>4280.1899999999996</v>
      </c>
      <c r="AB67">
        <v>0.05</v>
      </c>
      <c r="AC67">
        <v>4066.18</v>
      </c>
      <c r="AD67">
        <v>2628.92</v>
      </c>
      <c r="AE67">
        <v>1437.26</v>
      </c>
      <c r="AF67" t="s">
        <v>30</v>
      </c>
      <c r="AG67" t="str">
        <f t="shared" ref="AG67:AG130" si="22">PROPER(TRIM(AF67))</f>
        <v>Paid</v>
      </c>
      <c r="AH67" t="s">
        <v>31</v>
      </c>
    </row>
    <row r="68" spans="1:34">
      <c r="A68" t="s">
        <v>305</v>
      </c>
      <c r="B68">
        <f>COUNTIF($A:$A,A68)</f>
        <v>1</v>
      </c>
      <c r="C68" t="str">
        <f t="shared" si="12"/>
        <v>Unique</v>
      </c>
      <c r="D68" s="4">
        <v>45897</v>
      </c>
      <c r="E68">
        <f t="shared" si="13"/>
        <v>-231</v>
      </c>
      <c r="F68" s="4">
        <v>45666</v>
      </c>
      <c r="G68" t="s">
        <v>306</v>
      </c>
      <c r="H68" t="s">
        <v>21</v>
      </c>
      <c r="I68" t="str">
        <f t="shared" si="14"/>
        <v>Karan Malhotra</v>
      </c>
      <c r="J68" t="s">
        <v>35</v>
      </c>
      <c r="K68" t="str">
        <f t="shared" si="15"/>
        <v>Small Business</v>
      </c>
      <c r="L68" t="s">
        <v>52</v>
      </c>
      <c r="M68" t="str">
        <f t="shared" si="16"/>
        <v>South</v>
      </c>
      <c r="N68" t="s">
        <v>246</v>
      </c>
      <c r="O68" t="str">
        <f t="shared" si="17"/>
        <v>Tamil Nadu</v>
      </c>
      <c r="P68" t="s">
        <v>247</v>
      </c>
      <c r="Q68" t="str">
        <f t="shared" si="18"/>
        <v>Chennai</v>
      </c>
      <c r="R68" t="s">
        <v>72</v>
      </c>
      <c r="S68" t="str">
        <f t="shared" si="19"/>
        <v>Technology</v>
      </c>
      <c r="T68" t="s">
        <v>73</v>
      </c>
      <c r="U68" t="str">
        <f t="shared" si="20"/>
        <v>Accessories</v>
      </c>
      <c r="V68" t="s">
        <v>307</v>
      </c>
      <c r="X68" t="s">
        <v>42</v>
      </c>
      <c r="Y68" t="str">
        <f t="shared" si="21"/>
        <v>Same Day</v>
      </c>
      <c r="Z68">
        <v>7</v>
      </c>
      <c r="AA68">
        <v>1057.46</v>
      </c>
      <c r="AB68">
        <v>0.05</v>
      </c>
      <c r="AC68">
        <v>7032.11</v>
      </c>
      <c r="AD68">
        <v>4610.34</v>
      </c>
      <c r="AE68">
        <v>2421.77</v>
      </c>
      <c r="AF68" t="s">
        <v>30</v>
      </c>
      <c r="AG68" t="str">
        <f t="shared" si="22"/>
        <v>Paid</v>
      </c>
      <c r="AH68" t="s">
        <v>31</v>
      </c>
    </row>
    <row r="69" spans="1:34">
      <c r="A69" t="s">
        <v>308</v>
      </c>
      <c r="B69">
        <f>COUNTIF($A:$A,A69)</f>
        <v>1</v>
      </c>
      <c r="C69" t="str">
        <f t="shared" si="12"/>
        <v>Unique</v>
      </c>
      <c r="D69" s="4">
        <v>45718</v>
      </c>
      <c r="E69">
        <f t="shared" si="13"/>
        <v>122</v>
      </c>
      <c r="F69" s="4">
        <v>45840</v>
      </c>
      <c r="G69" t="s">
        <v>309</v>
      </c>
      <c r="H69" t="s">
        <v>263</v>
      </c>
      <c r="I69" t="str">
        <f t="shared" si="14"/>
        <v>Kabir Singh</v>
      </c>
      <c r="J69" t="s">
        <v>22</v>
      </c>
      <c r="K69" t="str">
        <f t="shared" si="15"/>
        <v>Consumer</v>
      </c>
      <c r="L69" t="s">
        <v>23</v>
      </c>
      <c r="M69" t="str">
        <f t="shared" si="16"/>
        <v>North</v>
      </c>
      <c r="N69" t="s">
        <v>235</v>
      </c>
      <c r="O69" t="str">
        <f t="shared" si="17"/>
        <v>Haryana</v>
      </c>
      <c r="P69" t="s">
        <v>236</v>
      </c>
      <c r="Q69" t="str">
        <f t="shared" si="18"/>
        <v>Gurugram</v>
      </c>
      <c r="R69" t="s">
        <v>26</v>
      </c>
      <c r="S69" t="str">
        <f t="shared" si="19"/>
        <v>Office Supplies</v>
      </c>
      <c r="T69" t="s">
        <v>27</v>
      </c>
      <c r="U69" t="str">
        <f t="shared" si="20"/>
        <v>Paper</v>
      </c>
      <c r="V69" t="s">
        <v>310</v>
      </c>
      <c r="X69" t="s">
        <v>48</v>
      </c>
      <c r="Y69" t="str">
        <f t="shared" si="21"/>
        <v>First Class</v>
      </c>
      <c r="Z69">
        <v>7</v>
      </c>
      <c r="AA69">
        <v>3609.34</v>
      </c>
      <c r="AB69">
        <v>0.05</v>
      </c>
      <c r="AC69">
        <v>24002.11</v>
      </c>
      <c r="AD69">
        <v>18707.57</v>
      </c>
      <c r="AE69">
        <v>5294.54</v>
      </c>
      <c r="AF69" t="s">
        <v>30</v>
      </c>
      <c r="AG69" t="str">
        <f t="shared" si="22"/>
        <v>Paid</v>
      </c>
      <c r="AH69" t="s">
        <v>31</v>
      </c>
    </row>
    <row r="70" spans="1:34">
      <c r="A70" t="s">
        <v>311</v>
      </c>
      <c r="B70">
        <f>COUNTIF($A:$A,A70)</f>
        <v>1</v>
      </c>
      <c r="C70" t="str">
        <f t="shared" si="12"/>
        <v>Unique</v>
      </c>
      <c r="D70" s="4">
        <v>45606</v>
      </c>
      <c r="E70">
        <f t="shared" si="13"/>
        <v>3</v>
      </c>
      <c r="F70" s="4">
        <v>45609</v>
      </c>
      <c r="G70" t="s">
        <v>312</v>
      </c>
      <c r="H70" t="s">
        <v>45</v>
      </c>
      <c r="I70" t="str">
        <f t="shared" si="14"/>
        <v>Isha Nair</v>
      </c>
      <c r="J70" t="s">
        <v>88</v>
      </c>
      <c r="K70" t="str">
        <f t="shared" si="15"/>
        <v>Corporate</v>
      </c>
      <c r="L70" t="s">
        <v>36</v>
      </c>
      <c r="M70" t="str">
        <f t="shared" si="16"/>
        <v>East</v>
      </c>
      <c r="N70" t="s">
        <v>227</v>
      </c>
      <c r="O70" t="str">
        <f t="shared" si="17"/>
        <v>Jharkhand</v>
      </c>
      <c r="P70" t="s">
        <v>228</v>
      </c>
      <c r="Q70" t="str">
        <f t="shared" si="18"/>
        <v>Ranchi</v>
      </c>
      <c r="R70" t="s">
        <v>26</v>
      </c>
      <c r="S70" t="str">
        <f t="shared" si="19"/>
        <v>Office Supplies</v>
      </c>
      <c r="T70" t="s">
        <v>122</v>
      </c>
      <c r="U70" t="str">
        <f t="shared" si="20"/>
        <v>Storage</v>
      </c>
      <c r="V70" t="s">
        <v>313</v>
      </c>
      <c r="X70" t="s">
        <v>29</v>
      </c>
      <c r="Y70" t="str">
        <f t="shared" si="21"/>
        <v>Second Class</v>
      </c>
      <c r="Z70">
        <v>9</v>
      </c>
      <c r="AA70">
        <v>2211.12</v>
      </c>
      <c r="AB70">
        <v>0</v>
      </c>
      <c r="AC70">
        <v>19900.080000000002</v>
      </c>
      <c r="AD70">
        <v>10962.66</v>
      </c>
      <c r="AE70">
        <v>8937.42</v>
      </c>
      <c r="AF70" t="s">
        <v>153</v>
      </c>
      <c r="AG70" t="str">
        <f t="shared" si="22"/>
        <v>Failed</v>
      </c>
      <c r="AH70" t="s">
        <v>101</v>
      </c>
    </row>
    <row r="71" spans="1:34">
      <c r="A71" t="s">
        <v>314</v>
      </c>
      <c r="B71">
        <f>COUNTIF($A:$A,A71)</f>
        <v>1</v>
      </c>
      <c r="C71" t="str">
        <f t="shared" si="12"/>
        <v>Unique</v>
      </c>
      <c r="D71" s="4">
        <v>45539</v>
      </c>
      <c r="E71">
        <f t="shared" si="13"/>
        <v>-143</v>
      </c>
      <c r="F71" s="4">
        <v>45396</v>
      </c>
      <c r="G71" t="s">
        <v>315</v>
      </c>
      <c r="H71" t="s">
        <v>77</v>
      </c>
      <c r="I71" t="str">
        <f t="shared" si="14"/>
        <v>Neha Gupta</v>
      </c>
      <c r="J71" t="s">
        <v>35</v>
      </c>
      <c r="K71" t="str">
        <f t="shared" si="15"/>
        <v>Small Business</v>
      </c>
      <c r="L71" t="s">
        <v>61</v>
      </c>
      <c r="M71" t="str">
        <f t="shared" si="16"/>
        <v>West</v>
      </c>
      <c r="N71" t="s">
        <v>178</v>
      </c>
      <c r="O71" t="str">
        <f t="shared" si="17"/>
        <v>Gujarat</v>
      </c>
      <c r="P71" t="s">
        <v>179</v>
      </c>
      <c r="Q71" t="str">
        <f t="shared" si="18"/>
        <v>Ahmedabad</v>
      </c>
      <c r="R71" t="s">
        <v>72</v>
      </c>
      <c r="S71" t="str">
        <f t="shared" si="19"/>
        <v>Technology</v>
      </c>
      <c r="T71" t="s">
        <v>273</v>
      </c>
      <c r="U71" t="str">
        <f t="shared" si="20"/>
        <v>Machines</v>
      </c>
      <c r="V71" t="s">
        <v>316</v>
      </c>
      <c r="X71" t="s">
        <v>42</v>
      </c>
      <c r="Y71" t="str">
        <f t="shared" si="21"/>
        <v>Same Day</v>
      </c>
      <c r="Z71">
        <v>7</v>
      </c>
      <c r="AA71">
        <v>3417.09</v>
      </c>
      <c r="AB71">
        <v>0.1</v>
      </c>
      <c r="AC71">
        <v>21527.67</v>
      </c>
      <c r="AD71">
        <v>18287.580000000002</v>
      </c>
      <c r="AE71">
        <v>3240.09</v>
      </c>
      <c r="AF71" t="s">
        <v>100</v>
      </c>
      <c r="AG71" t="str">
        <f t="shared" si="22"/>
        <v>Refunded</v>
      </c>
      <c r="AH71" t="s">
        <v>101</v>
      </c>
    </row>
    <row r="72" spans="1:34">
      <c r="A72" t="s">
        <v>317</v>
      </c>
      <c r="B72">
        <f>COUNTIF($A:$A,A72)</f>
        <v>1</v>
      </c>
      <c r="C72" t="str">
        <f t="shared" si="12"/>
        <v>Unique</v>
      </c>
      <c r="D72" s="4">
        <v>45891</v>
      </c>
      <c r="E72">
        <f t="shared" si="13"/>
        <v>5</v>
      </c>
      <c r="F72" s="4">
        <v>45896</v>
      </c>
      <c r="G72" t="s">
        <v>318</v>
      </c>
      <c r="H72" t="s">
        <v>21</v>
      </c>
      <c r="I72" t="str">
        <f t="shared" si="14"/>
        <v>Karan Malhotra</v>
      </c>
      <c r="J72" t="s">
        <v>88</v>
      </c>
      <c r="K72" t="str">
        <f t="shared" si="15"/>
        <v>Corporate</v>
      </c>
      <c r="L72" t="s">
        <v>52</v>
      </c>
      <c r="M72" t="str">
        <f t="shared" si="16"/>
        <v>South</v>
      </c>
      <c r="N72" t="s">
        <v>82</v>
      </c>
      <c r="O72" t="str">
        <f t="shared" si="17"/>
        <v>Andhra Pradesh</v>
      </c>
      <c r="P72" t="s">
        <v>83</v>
      </c>
      <c r="Q72" t="str">
        <f t="shared" si="18"/>
        <v>Vijayawada</v>
      </c>
      <c r="R72" t="s">
        <v>72</v>
      </c>
      <c r="S72" t="str">
        <f t="shared" si="19"/>
        <v>Technology</v>
      </c>
      <c r="T72" t="s">
        <v>169</v>
      </c>
      <c r="U72" t="str">
        <f t="shared" si="20"/>
        <v>Phones</v>
      </c>
      <c r="V72" t="s">
        <v>319</v>
      </c>
      <c r="X72" t="s">
        <v>48</v>
      </c>
      <c r="Y72" t="str">
        <f t="shared" si="21"/>
        <v>First Class</v>
      </c>
      <c r="Z72">
        <v>2</v>
      </c>
      <c r="AA72">
        <v>905.87</v>
      </c>
      <c r="AB72">
        <v>0.15</v>
      </c>
      <c r="AC72">
        <v>1539.98</v>
      </c>
      <c r="AD72">
        <v>1070.2</v>
      </c>
      <c r="AE72">
        <v>469.78</v>
      </c>
      <c r="AF72" t="s">
        <v>30</v>
      </c>
      <c r="AG72" t="str">
        <f t="shared" si="22"/>
        <v>Paid</v>
      </c>
      <c r="AH72" t="s">
        <v>31</v>
      </c>
    </row>
    <row r="73" spans="1:34">
      <c r="A73" t="s">
        <v>320</v>
      </c>
      <c r="B73">
        <f>COUNTIF($A:$A,A73)</f>
        <v>1</v>
      </c>
      <c r="C73" t="str">
        <f t="shared" si="12"/>
        <v>Unique</v>
      </c>
      <c r="D73" s="4">
        <v>45763</v>
      </c>
      <c r="E73">
        <f t="shared" si="13"/>
        <v>7</v>
      </c>
      <c r="F73" s="4">
        <v>45770</v>
      </c>
      <c r="G73" t="s">
        <v>321</v>
      </c>
      <c r="H73" t="s">
        <v>34</v>
      </c>
      <c r="I73" t="str">
        <f t="shared" si="14"/>
        <v>Mira Das</v>
      </c>
      <c r="J73" t="s">
        <v>35</v>
      </c>
      <c r="K73" t="str">
        <f t="shared" si="15"/>
        <v>Small Business</v>
      </c>
      <c r="L73" t="s">
        <v>61</v>
      </c>
      <c r="M73" t="str">
        <f t="shared" si="16"/>
        <v>West</v>
      </c>
      <c r="N73" t="s">
        <v>188</v>
      </c>
      <c r="O73" t="str">
        <f t="shared" si="17"/>
        <v>Goa</v>
      </c>
      <c r="P73" t="s">
        <v>189</v>
      </c>
      <c r="Q73" t="str">
        <f t="shared" si="18"/>
        <v>Panaji</v>
      </c>
      <c r="R73" t="s">
        <v>72</v>
      </c>
      <c r="S73" t="str">
        <f t="shared" si="19"/>
        <v>Technology</v>
      </c>
      <c r="T73" t="s">
        <v>273</v>
      </c>
      <c r="U73" t="str">
        <f t="shared" si="20"/>
        <v>Machines</v>
      </c>
      <c r="V73" t="s">
        <v>322</v>
      </c>
      <c r="X73" t="s">
        <v>57</v>
      </c>
      <c r="Y73" t="str">
        <f t="shared" si="21"/>
        <v>Standard Class</v>
      </c>
      <c r="Z73">
        <v>6</v>
      </c>
      <c r="AA73">
        <v>2027.32</v>
      </c>
      <c r="AB73">
        <v>0.1</v>
      </c>
      <c r="AC73">
        <v>10947.53</v>
      </c>
      <c r="AD73">
        <v>6447.36</v>
      </c>
      <c r="AE73">
        <v>4500.17</v>
      </c>
      <c r="AF73" t="s">
        <v>30</v>
      </c>
      <c r="AG73" t="str">
        <f t="shared" si="22"/>
        <v>Paid</v>
      </c>
      <c r="AH73" t="s">
        <v>31</v>
      </c>
    </row>
    <row r="74" spans="1:34">
      <c r="A74" t="s">
        <v>323</v>
      </c>
      <c r="B74">
        <f>COUNTIF($A:$A,A74)</f>
        <v>1</v>
      </c>
      <c r="C74" t="str">
        <f t="shared" si="12"/>
        <v>Unique</v>
      </c>
      <c r="D74" s="4">
        <v>45598</v>
      </c>
      <c r="E74">
        <f t="shared" si="13"/>
        <v>-123</v>
      </c>
      <c r="F74" s="4">
        <v>45475</v>
      </c>
      <c r="G74" t="s">
        <v>324</v>
      </c>
      <c r="H74" t="s">
        <v>21</v>
      </c>
      <c r="I74" t="str">
        <f t="shared" si="14"/>
        <v>Karan Malhotra</v>
      </c>
      <c r="J74" t="s">
        <v>93</v>
      </c>
      <c r="K74" t="str">
        <f t="shared" si="15"/>
        <v>Home Office</v>
      </c>
      <c r="L74" t="s">
        <v>52</v>
      </c>
      <c r="M74" t="str">
        <f t="shared" si="16"/>
        <v>South</v>
      </c>
      <c r="N74" t="s">
        <v>246</v>
      </c>
      <c r="O74" t="str">
        <f t="shared" si="17"/>
        <v>Tamil Nadu</v>
      </c>
      <c r="P74" t="s">
        <v>247</v>
      </c>
      <c r="Q74" t="str">
        <f t="shared" si="18"/>
        <v>Chennai</v>
      </c>
      <c r="R74" t="s">
        <v>39</v>
      </c>
      <c r="S74" t="str">
        <f t="shared" si="19"/>
        <v>Furniture</v>
      </c>
      <c r="T74" t="s">
        <v>40</v>
      </c>
      <c r="U74" t="str">
        <f t="shared" si="20"/>
        <v>Tables</v>
      </c>
      <c r="V74" t="s">
        <v>325</v>
      </c>
      <c r="X74" t="s">
        <v>48</v>
      </c>
      <c r="Y74" t="str">
        <f t="shared" si="21"/>
        <v>First Class</v>
      </c>
      <c r="Z74">
        <v>7</v>
      </c>
      <c r="AA74">
        <v>2287.4699999999998</v>
      </c>
      <c r="AB74">
        <v>0.15</v>
      </c>
      <c r="AC74">
        <v>13610.45</v>
      </c>
      <c r="AD74">
        <v>10039.049999999999</v>
      </c>
      <c r="AE74">
        <v>3571.4</v>
      </c>
      <c r="AF74" t="s">
        <v>30</v>
      </c>
      <c r="AG74" t="str">
        <f t="shared" si="22"/>
        <v>Paid</v>
      </c>
      <c r="AH74" t="s">
        <v>31</v>
      </c>
    </row>
    <row r="75" spans="1:34">
      <c r="A75" t="s">
        <v>326</v>
      </c>
      <c r="B75">
        <f>COUNTIF($A:$A,A75)</f>
        <v>1</v>
      </c>
      <c r="C75" t="str">
        <f t="shared" si="12"/>
        <v>Unique</v>
      </c>
      <c r="D75" s="4">
        <v>45745</v>
      </c>
      <c r="E75">
        <f t="shared" si="13"/>
        <v>5</v>
      </c>
      <c r="F75" s="4">
        <v>45750</v>
      </c>
      <c r="G75" t="s">
        <v>327</v>
      </c>
      <c r="H75" t="s">
        <v>130</v>
      </c>
      <c r="I75" t="str">
        <f t="shared" si="14"/>
        <v>Sneha Kapoor</v>
      </c>
      <c r="J75" t="s">
        <v>88</v>
      </c>
      <c r="K75" t="str">
        <f t="shared" si="15"/>
        <v>Corporate</v>
      </c>
      <c r="L75" t="s">
        <v>36</v>
      </c>
      <c r="M75" t="str">
        <f t="shared" si="16"/>
        <v>East</v>
      </c>
      <c r="N75" t="s">
        <v>97</v>
      </c>
      <c r="O75" t="str">
        <f t="shared" si="17"/>
        <v>West Bengal</v>
      </c>
      <c r="P75" t="s">
        <v>98</v>
      </c>
      <c r="Q75" t="str">
        <f t="shared" si="18"/>
        <v>Kolkata</v>
      </c>
      <c r="R75" t="s">
        <v>39</v>
      </c>
      <c r="S75" t="str">
        <f t="shared" si="19"/>
        <v>Furniture</v>
      </c>
      <c r="T75" t="s">
        <v>156</v>
      </c>
      <c r="U75" t="str">
        <f t="shared" si="20"/>
        <v>Bookcases</v>
      </c>
      <c r="V75" t="s">
        <v>328</v>
      </c>
      <c r="X75" t="s">
        <v>48</v>
      </c>
      <c r="Y75" t="str">
        <f t="shared" si="21"/>
        <v>First Class</v>
      </c>
      <c r="Z75">
        <v>5</v>
      </c>
      <c r="AA75">
        <v>1425.74</v>
      </c>
      <c r="AB75">
        <v>0</v>
      </c>
      <c r="AC75">
        <v>7128.7</v>
      </c>
      <c r="AD75">
        <v>4382.1499999999996</v>
      </c>
      <c r="AE75">
        <v>2746.55</v>
      </c>
      <c r="AF75" t="s">
        <v>30</v>
      </c>
      <c r="AG75" t="str">
        <f t="shared" si="22"/>
        <v>Paid</v>
      </c>
      <c r="AH75" t="s">
        <v>31</v>
      </c>
    </row>
    <row r="76" spans="1:34">
      <c r="A76" t="s">
        <v>329</v>
      </c>
      <c r="B76">
        <f>COUNTIF($A:$A,A76)</f>
        <v>1</v>
      </c>
      <c r="C76" t="str">
        <f t="shared" si="12"/>
        <v>Unique</v>
      </c>
      <c r="D76" s="4">
        <v>45715</v>
      </c>
      <c r="E76">
        <f t="shared" si="13"/>
        <v>-55</v>
      </c>
      <c r="F76" s="4">
        <v>45660</v>
      </c>
      <c r="G76" t="s">
        <v>330</v>
      </c>
      <c r="H76" t="s">
        <v>69</v>
      </c>
      <c r="I76" t="str">
        <f t="shared" si="14"/>
        <v>Vikram Iyer</v>
      </c>
      <c r="J76" t="s">
        <v>35</v>
      </c>
      <c r="K76" t="str">
        <f t="shared" si="15"/>
        <v>Small Business</v>
      </c>
      <c r="L76" t="s">
        <v>36</v>
      </c>
      <c r="M76" t="str">
        <f t="shared" si="16"/>
        <v>East</v>
      </c>
      <c r="N76" t="s">
        <v>97</v>
      </c>
      <c r="O76" t="str">
        <f t="shared" si="17"/>
        <v>West Bengal</v>
      </c>
      <c r="P76" t="s">
        <v>98</v>
      </c>
      <c r="Q76" t="str">
        <f t="shared" si="18"/>
        <v>Kolkata</v>
      </c>
      <c r="R76" t="s">
        <v>39</v>
      </c>
      <c r="S76" t="str">
        <f t="shared" si="19"/>
        <v>Furniture</v>
      </c>
      <c r="T76" t="s">
        <v>64</v>
      </c>
      <c r="U76" t="str">
        <f t="shared" si="20"/>
        <v>Chairs</v>
      </c>
      <c r="V76" t="s">
        <v>331</v>
      </c>
      <c r="X76" t="s">
        <v>57</v>
      </c>
      <c r="Y76" t="str">
        <f t="shared" si="21"/>
        <v>Standard Class</v>
      </c>
      <c r="Z76">
        <v>6</v>
      </c>
      <c r="AA76">
        <v>551.64</v>
      </c>
      <c r="AB76">
        <v>0</v>
      </c>
      <c r="AC76">
        <v>3309.84</v>
      </c>
      <c r="AD76">
        <v>2671.08</v>
      </c>
      <c r="AE76">
        <v>638.76</v>
      </c>
      <c r="AF76" t="s">
        <v>30</v>
      </c>
      <c r="AG76" t="str">
        <f t="shared" si="22"/>
        <v>Paid</v>
      </c>
      <c r="AH76" t="s">
        <v>31</v>
      </c>
    </row>
    <row r="77" spans="1:34">
      <c r="A77" t="s">
        <v>332</v>
      </c>
      <c r="B77">
        <f>COUNTIF($A:$A,A77)</f>
        <v>1</v>
      </c>
      <c r="C77" t="str">
        <f t="shared" si="12"/>
        <v>Unique</v>
      </c>
      <c r="D77" s="4">
        <v>45891</v>
      </c>
      <c r="E77">
        <f t="shared" si="13"/>
        <v>5</v>
      </c>
      <c r="F77" s="4">
        <v>45896</v>
      </c>
      <c r="G77" t="s">
        <v>333</v>
      </c>
      <c r="H77" t="s">
        <v>112</v>
      </c>
      <c r="I77" t="str">
        <f t="shared" si="14"/>
        <v>Priya Menon</v>
      </c>
      <c r="J77" t="s">
        <v>35</v>
      </c>
      <c r="K77" t="str">
        <f t="shared" si="15"/>
        <v>Small Business</v>
      </c>
      <c r="L77" t="s">
        <v>36</v>
      </c>
      <c r="M77" t="str">
        <f t="shared" si="16"/>
        <v>East</v>
      </c>
      <c r="N77" t="s">
        <v>37</v>
      </c>
      <c r="O77" t="str">
        <f t="shared" si="17"/>
        <v>Odisha</v>
      </c>
      <c r="P77" t="s">
        <v>38</v>
      </c>
      <c r="Q77" t="str">
        <f t="shared" si="18"/>
        <v>Bhubaneswar</v>
      </c>
      <c r="R77" t="s">
        <v>26</v>
      </c>
      <c r="S77" t="str">
        <f t="shared" si="19"/>
        <v>Office Supplies</v>
      </c>
      <c r="T77" t="s">
        <v>89</v>
      </c>
      <c r="U77" t="str">
        <f t="shared" si="20"/>
        <v>Labels</v>
      </c>
      <c r="V77" t="s">
        <v>334</v>
      </c>
      <c r="X77" t="s">
        <v>48</v>
      </c>
      <c r="Y77" t="str">
        <f t="shared" si="21"/>
        <v>First Class</v>
      </c>
      <c r="Z77">
        <v>3</v>
      </c>
      <c r="AA77">
        <v>3294.82</v>
      </c>
      <c r="AB77">
        <v>0.2</v>
      </c>
      <c r="AC77">
        <v>7907.57</v>
      </c>
      <c r="AD77">
        <v>5391.18</v>
      </c>
      <c r="AE77">
        <v>2516.39</v>
      </c>
      <c r="AF77" t="s">
        <v>30</v>
      </c>
      <c r="AG77" t="str">
        <f t="shared" si="22"/>
        <v>Paid</v>
      </c>
      <c r="AH77" t="s">
        <v>31</v>
      </c>
    </row>
    <row r="78" spans="1:34">
      <c r="A78" t="s">
        <v>335</v>
      </c>
      <c r="B78">
        <f>COUNTIF($A:$A,A78)</f>
        <v>1</v>
      </c>
      <c r="C78" t="str">
        <f t="shared" si="12"/>
        <v>Unique</v>
      </c>
      <c r="D78" s="4">
        <v>45362</v>
      </c>
      <c r="E78">
        <f t="shared" si="13"/>
        <v>245</v>
      </c>
      <c r="F78" s="4">
        <v>45607</v>
      </c>
      <c r="G78" t="s">
        <v>336</v>
      </c>
      <c r="H78" t="s">
        <v>60</v>
      </c>
      <c r="I78" t="str">
        <f t="shared" si="14"/>
        <v>Ananya Rao</v>
      </c>
      <c r="J78" t="s">
        <v>88</v>
      </c>
      <c r="K78" t="str">
        <f t="shared" si="15"/>
        <v>Corporate</v>
      </c>
      <c r="L78" t="s">
        <v>36</v>
      </c>
      <c r="M78" t="str">
        <f t="shared" si="16"/>
        <v>East</v>
      </c>
      <c r="N78" t="s">
        <v>227</v>
      </c>
      <c r="O78" t="str">
        <f t="shared" si="17"/>
        <v>Jharkhand</v>
      </c>
      <c r="P78" t="s">
        <v>228</v>
      </c>
      <c r="Q78" t="str">
        <f t="shared" si="18"/>
        <v>Ranchi</v>
      </c>
      <c r="R78" t="s">
        <v>26</v>
      </c>
      <c r="S78" t="str">
        <f t="shared" si="19"/>
        <v>Office Supplies</v>
      </c>
      <c r="T78" t="s">
        <v>89</v>
      </c>
      <c r="U78" t="str">
        <f t="shared" si="20"/>
        <v>Labels</v>
      </c>
      <c r="V78" t="s">
        <v>337</v>
      </c>
      <c r="X78" t="s">
        <v>29</v>
      </c>
      <c r="Y78" t="str">
        <f t="shared" si="21"/>
        <v>Second Class</v>
      </c>
      <c r="Z78">
        <v>3</v>
      </c>
      <c r="AA78">
        <v>3406.27</v>
      </c>
      <c r="AB78">
        <v>0</v>
      </c>
      <c r="AC78">
        <v>10218.81</v>
      </c>
      <c r="AD78">
        <v>7616.97</v>
      </c>
      <c r="AE78">
        <v>2601.84</v>
      </c>
      <c r="AF78" t="s">
        <v>30</v>
      </c>
      <c r="AG78" t="str">
        <f t="shared" si="22"/>
        <v>Paid</v>
      </c>
      <c r="AH78" t="s">
        <v>31</v>
      </c>
    </row>
    <row r="79" spans="1:34">
      <c r="A79" t="s">
        <v>338</v>
      </c>
      <c r="B79">
        <f>COUNTIF($A:$A,A79)</f>
        <v>1</v>
      </c>
      <c r="C79" t="str">
        <f t="shared" si="12"/>
        <v>Unique</v>
      </c>
      <c r="D79" s="4">
        <v>45846</v>
      </c>
      <c r="E79">
        <f t="shared" si="13"/>
        <v>152</v>
      </c>
      <c r="F79" s="4">
        <v>45998</v>
      </c>
      <c r="G79" t="s">
        <v>339</v>
      </c>
      <c r="H79" t="s">
        <v>139</v>
      </c>
      <c r="I79" t="str">
        <f t="shared" si="14"/>
        <v>Rohan Mehta</v>
      </c>
      <c r="J79" t="s">
        <v>93</v>
      </c>
      <c r="K79" t="str">
        <f t="shared" si="15"/>
        <v>Home Office</v>
      </c>
      <c r="L79" t="s">
        <v>23</v>
      </c>
      <c r="M79" t="str">
        <f t="shared" si="16"/>
        <v>North</v>
      </c>
      <c r="N79" t="s">
        <v>134</v>
      </c>
      <c r="O79" t="str">
        <f t="shared" si="17"/>
        <v>Uttar Pradesh</v>
      </c>
      <c r="P79" t="s">
        <v>135</v>
      </c>
      <c r="Q79" t="str">
        <f t="shared" si="18"/>
        <v>Noida</v>
      </c>
      <c r="R79" t="s">
        <v>39</v>
      </c>
      <c r="S79" t="str">
        <f t="shared" si="19"/>
        <v>Furniture</v>
      </c>
      <c r="T79" t="s">
        <v>55</v>
      </c>
      <c r="U79" t="str">
        <f t="shared" si="20"/>
        <v>Furnishings</v>
      </c>
      <c r="V79" t="s">
        <v>340</v>
      </c>
      <c r="X79" t="s">
        <v>57</v>
      </c>
      <c r="Y79" t="str">
        <f t="shared" si="21"/>
        <v>Standard Class</v>
      </c>
      <c r="Z79">
        <v>1</v>
      </c>
      <c r="AA79">
        <v>2582.1999999999998</v>
      </c>
      <c r="AB79">
        <v>0.15</v>
      </c>
      <c r="AC79">
        <v>2194.87</v>
      </c>
      <c r="AD79">
        <v>1223.17</v>
      </c>
      <c r="AE79">
        <v>971.7</v>
      </c>
      <c r="AF79" t="s">
        <v>100</v>
      </c>
      <c r="AG79" t="str">
        <f t="shared" si="22"/>
        <v>Refunded</v>
      </c>
      <c r="AH79" t="s">
        <v>66</v>
      </c>
    </row>
    <row r="80" spans="1:34">
      <c r="A80" t="s">
        <v>341</v>
      </c>
      <c r="B80">
        <f>COUNTIF($A:$A,A80)</f>
        <v>1</v>
      </c>
      <c r="C80" t="str">
        <f t="shared" si="12"/>
        <v>Unique</v>
      </c>
      <c r="D80" s="4">
        <v>45854</v>
      </c>
      <c r="E80">
        <f t="shared" si="13"/>
        <v>5</v>
      </c>
      <c r="F80" s="4">
        <v>45859</v>
      </c>
      <c r="G80" t="s">
        <v>342</v>
      </c>
      <c r="H80" t="s">
        <v>130</v>
      </c>
      <c r="I80" t="str">
        <f t="shared" si="14"/>
        <v>Sneha Kapoor</v>
      </c>
      <c r="J80" t="s">
        <v>88</v>
      </c>
      <c r="K80" t="str">
        <f t="shared" si="15"/>
        <v>Corporate</v>
      </c>
      <c r="L80" t="s">
        <v>36</v>
      </c>
      <c r="M80" t="str">
        <f t="shared" si="16"/>
        <v>East</v>
      </c>
      <c r="N80" t="s">
        <v>97</v>
      </c>
      <c r="O80" t="str">
        <f t="shared" si="17"/>
        <v>West Bengal</v>
      </c>
      <c r="P80" t="s">
        <v>98</v>
      </c>
      <c r="Q80" t="str">
        <f t="shared" si="18"/>
        <v>Kolkata</v>
      </c>
      <c r="R80" t="s">
        <v>39</v>
      </c>
      <c r="S80" t="str">
        <f t="shared" si="19"/>
        <v>Furniture</v>
      </c>
      <c r="T80" t="s">
        <v>40</v>
      </c>
      <c r="U80" t="str">
        <f t="shared" si="20"/>
        <v>Tables</v>
      </c>
      <c r="V80" t="s">
        <v>343</v>
      </c>
      <c r="X80" t="s">
        <v>48</v>
      </c>
      <c r="Y80" t="str">
        <f t="shared" si="21"/>
        <v>First Class</v>
      </c>
      <c r="Z80">
        <v>5</v>
      </c>
      <c r="AA80">
        <v>2129.5100000000002</v>
      </c>
      <c r="AB80">
        <v>0.15</v>
      </c>
      <c r="AC80">
        <v>9050.42</v>
      </c>
      <c r="AD80">
        <v>6778.85</v>
      </c>
      <c r="AE80">
        <v>2271.5700000000002</v>
      </c>
      <c r="AF80" t="s">
        <v>30</v>
      </c>
      <c r="AG80" t="str">
        <f t="shared" si="22"/>
        <v>Paid</v>
      </c>
      <c r="AH80" t="s">
        <v>31</v>
      </c>
    </row>
    <row r="81" spans="1:34">
      <c r="A81" t="s">
        <v>344</v>
      </c>
      <c r="B81">
        <f>COUNTIF($A:$A,A81)</f>
        <v>1</v>
      </c>
      <c r="C81" t="str">
        <f t="shared" si="12"/>
        <v>Unique</v>
      </c>
      <c r="D81" s="4">
        <v>45927</v>
      </c>
      <c r="E81">
        <f t="shared" si="13"/>
        <v>-201</v>
      </c>
      <c r="F81" s="4">
        <v>45726</v>
      </c>
      <c r="G81" t="s">
        <v>345</v>
      </c>
      <c r="H81" t="s">
        <v>160</v>
      </c>
      <c r="I81" t="str">
        <f t="shared" si="14"/>
        <v>Diya Patel</v>
      </c>
      <c r="J81" t="s">
        <v>93</v>
      </c>
      <c r="K81" t="str">
        <f t="shared" si="15"/>
        <v>Home Office</v>
      </c>
      <c r="L81" t="s">
        <v>52</v>
      </c>
      <c r="M81" t="str">
        <f t="shared" si="16"/>
        <v>South</v>
      </c>
      <c r="N81" t="s">
        <v>246</v>
      </c>
      <c r="O81" t="str">
        <f t="shared" si="17"/>
        <v>Tamil Nadu</v>
      </c>
      <c r="P81" t="s">
        <v>247</v>
      </c>
      <c r="Q81" t="str">
        <f t="shared" si="18"/>
        <v>Chennai</v>
      </c>
      <c r="R81" t="s">
        <v>39</v>
      </c>
      <c r="S81" t="str">
        <f t="shared" si="19"/>
        <v>Furniture</v>
      </c>
      <c r="T81" t="s">
        <v>64</v>
      </c>
      <c r="U81" t="str">
        <f t="shared" si="20"/>
        <v>Chairs</v>
      </c>
      <c r="V81" t="s">
        <v>346</v>
      </c>
      <c r="X81" t="s">
        <v>42</v>
      </c>
      <c r="Y81" t="str">
        <f t="shared" si="21"/>
        <v>Same Day</v>
      </c>
      <c r="Z81">
        <v>9</v>
      </c>
      <c r="AA81">
        <v>4131.5200000000004</v>
      </c>
      <c r="AB81">
        <v>0.1</v>
      </c>
      <c r="AC81">
        <v>33465.31</v>
      </c>
      <c r="AD81">
        <v>24781.26</v>
      </c>
      <c r="AE81">
        <v>8684.0499999999993</v>
      </c>
      <c r="AF81" t="s">
        <v>30</v>
      </c>
      <c r="AG81" t="str">
        <f t="shared" si="22"/>
        <v>Paid</v>
      </c>
      <c r="AH81" t="s">
        <v>31</v>
      </c>
    </row>
    <row r="82" spans="1:34">
      <c r="A82" t="s">
        <v>347</v>
      </c>
      <c r="B82">
        <f>COUNTIF($A:$A,A82)</f>
        <v>1</v>
      </c>
      <c r="C82" t="str">
        <f t="shared" si="12"/>
        <v>Unique</v>
      </c>
      <c r="D82" s="4">
        <v>45573</v>
      </c>
      <c r="E82">
        <f t="shared" si="13"/>
        <v>-55</v>
      </c>
      <c r="F82" s="4">
        <v>45518</v>
      </c>
      <c r="G82" t="s">
        <v>348</v>
      </c>
      <c r="H82" t="s">
        <v>126</v>
      </c>
      <c r="I82" t="str">
        <f t="shared" si="14"/>
        <v>Aarav Sharma</v>
      </c>
      <c r="J82" t="s">
        <v>35</v>
      </c>
      <c r="K82" t="str">
        <f t="shared" si="15"/>
        <v>Small Business</v>
      </c>
      <c r="L82" t="s">
        <v>23</v>
      </c>
      <c r="M82" t="str">
        <f t="shared" si="16"/>
        <v>North</v>
      </c>
      <c r="N82" t="s">
        <v>349</v>
      </c>
      <c r="O82" t="str">
        <f t="shared" si="17"/>
        <v>Delhi</v>
      </c>
      <c r="P82" t="s">
        <v>350</v>
      </c>
      <c r="Q82" t="str">
        <f t="shared" si="18"/>
        <v>New Delhi</v>
      </c>
      <c r="R82" t="s">
        <v>26</v>
      </c>
      <c r="S82" t="str">
        <f t="shared" si="19"/>
        <v>Office Supplies</v>
      </c>
      <c r="T82" t="s">
        <v>122</v>
      </c>
      <c r="U82" t="str">
        <f t="shared" si="20"/>
        <v>Storage</v>
      </c>
      <c r="V82" t="s">
        <v>351</v>
      </c>
      <c r="X82" t="s">
        <v>29</v>
      </c>
      <c r="Y82" t="str">
        <f t="shared" si="21"/>
        <v>Second Class</v>
      </c>
      <c r="Z82">
        <v>4</v>
      </c>
      <c r="AA82">
        <v>1182.32</v>
      </c>
      <c r="AB82">
        <v>0.1</v>
      </c>
      <c r="AC82">
        <v>4256.3500000000004</v>
      </c>
      <c r="AD82">
        <v>2495.33</v>
      </c>
      <c r="AE82">
        <v>1761.02</v>
      </c>
      <c r="AF82" t="s">
        <v>109</v>
      </c>
      <c r="AG82" t="str">
        <f t="shared" si="22"/>
        <v>Pending</v>
      </c>
      <c r="AH82" t="s">
        <v>101</v>
      </c>
    </row>
    <row r="83" spans="1:34">
      <c r="A83" t="s">
        <v>352</v>
      </c>
      <c r="B83">
        <f>COUNTIF($A:$A,A83)</f>
        <v>1</v>
      </c>
      <c r="C83" t="str">
        <f t="shared" si="12"/>
        <v>Unique</v>
      </c>
      <c r="D83" s="4">
        <v>45732</v>
      </c>
      <c r="E83">
        <f t="shared" si="13"/>
        <v>1</v>
      </c>
      <c r="F83" s="4">
        <v>45733</v>
      </c>
      <c r="G83" t="s">
        <v>353</v>
      </c>
      <c r="H83" t="s">
        <v>21</v>
      </c>
      <c r="I83" t="str">
        <f t="shared" si="14"/>
        <v>Karan Malhotra</v>
      </c>
      <c r="J83" t="s">
        <v>93</v>
      </c>
      <c r="K83" t="str">
        <f t="shared" si="15"/>
        <v>Home Office</v>
      </c>
      <c r="L83" t="s">
        <v>61</v>
      </c>
      <c r="M83" t="str">
        <f t="shared" si="16"/>
        <v>West</v>
      </c>
      <c r="N83" t="s">
        <v>188</v>
      </c>
      <c r="O83" t="str">
        <f t="shared" si="17"/>
        <v>Goa</v>
      </c>
      <c r="P83" t="s">
        <v>189</v>
      </c>
      <c r="Q83" t="str">
        <f t="shared" si="18"/>
        <v>Panaji</v>
      </c>
      <c r="R83" t="s">
        <v>26</v>
      </c>
      <c r="S83" t="str">
        <f t="shared" si="19"/>
        <v>Office Supplies</v>
      </c>
      <c r="T83" t="s">
        <v>89</v>
      </c>
      <c r="U83" t="str">
        <f t="shared" si="20"/>
        <v>Labels</v>
      </c>
      <c r="V83" t="s">
        <v>354</v>
      </c>
      <c r="X83" t="s">
        <v>42</v>
      </c>
      <c r="Y83" t="str">
        <f t="shared" si="21"/>
        <v>Same Day</v>
      </c>
      <c r="Z83">
        <v>3</v>
      </c>
      <c r="AA83">
        <v>1841.91</v>
      </c>
      <c r="AB83">
        <v>0</v>
      </c>
      <c r="AC83">
        <v>5525.73</v>
      </c>
      <c r="AD83">
        <v>3093.42</v>
      </c>
      <c r="AE83">
        <v>2432.31</v>
      </c>
      <c r="AF83" t="s">
        <v>30</v>
      </c>
      <c r="AG83" t="str">
        <f t="shared" si="22"/>
        <v>Paid</v>
      </c>
      <c r="AH83" t="s">
        <v>31</v>
      </c>
    </row>
    <row r="84" spans="1:34">
      <c r="A84" t="s">
        <v>355</v>
      </c>
      <c r="B84">
        <f>COUNTIF($A:$A,A84)</f>
        <v>1</v>
      </c>
      <c r="C84" t="str">
        <f t="shared" si="12"/>
        <v>Unique</v>
      </c>
      <c r="D84" s="4">
        <v>45359</v>
      </c>
      <c r="E84">
        <f t="shared" si="13"/>
        <v>31</v>
      </c>
      <c r="F84" s="4">
        <v>45390</v>
      </c>
      <c r="G84" t="s">
        <v>356</v>
      </c>
      <c r="H84" t="s">
        <v>51</v>
      </c>
      <c r="I84" t="str">
        <f t="shared" si="14"/>
        <v>Arjun Bose</v>
      </c>
      <c r="J84" t="s">
        <v>22</v>
      </c>
      <c r="K84" t="str">
        <f t="shared" si="15"/>
        <v>Consumer</v>
      </c>
      <c r="L84" t="s">
        <v>23</v>
      </c>
      <c r="M84" t="str">
        <f t="shared" si="16"/>
        <v>North</v>
      </c>
      <c r="N84" t="s">
        <v>134</v>
      </c>
      <c r="O84" t="str">
        <f t="shared" si="17"/>
        <v>Uttar Pradesh</v>
      </c>
      <c r="P84" t="s">
        <v>135</v>
      </c>
      <c r="Q84" t="str">
        <f t="shared" si="18"/>
        <v>Noida</v>
      </c>
      <c r="R84" t="s">
        <v>72</v>
      </c>
      <c r="S84" t="str">
        <f t="shared" si="19"/>
        <v>Technology</v>
      </c>
      <c r="T84" t="s">
        <v>78</v>
      </c>
      <c r="U84" t="str">
        <f t="shared" si="20"/>
        <v>Copiers</v>
      </c>
      <c r="V84" t="s">
        <v>357</v>
      </c>
      <c r="X84" t="s">
        <v>29</v>
      </c>
      <c r="Y84" t="str">
        <f t="shared" si="21"/>
        <v>Second Class</v>
      </c>
      <c r="Z84">
        <v>6</v>
      </c>
      <c r="AA84">
        <v>1001.73</v>
      </c>
      <c r="AB84">
        <v>0</v>
      </c>
      <c r="AC84">
        <v>6010.38</v>
      </c>
      <c r="AD84">
        <v>3762.85</v>
      </c>
      <c r="AE84">
        <v>2247.5300000000002</v>
      </c>
      <c r="AF84" t="s">
        <v>153</v>
      </c>
      <c r="AG84" t="str">
        <f t="shared" si="22"/>
        <v>Failed</v>
      </c>
      <c r="AH84" t="s">
        <v>101</v>
      </c>
    </row>
    <row r="85" spans="1:34">
      <c r="A85" t="s">
        <v>358</v>
      </c>
      <c r="B85">
        <f>COUNTIF($A:$A,A85)</f>
        <v>1</v>
      </c>
      <c r="C85" t="str">
        <f t="shared" si="12"/>
        <v>Unique</v>
      </c>
      <c r="D85" s="4">
        <v>45591</v>
      </c>
      <c r="E85">
        <f t="shared" si="13"/>
        <v>3</v>
      </c>
      <c r="F85" s="4">
        <v>45594</v>
      </c>
      <c r="G85" t="s">
        <v>359</v>
      </c>
      <c r="H85" t="s">
        <v>87</v>
      </c>
      <c r="I85" t="str">
        <f t="shared" si="14"/>
        <v>Aditi Sen</v>
      </c>
      <c r="J85" t="s">
        <v>93</v>
      </c>
      <c r="K85" t="str">
        <f t="shared" si="15"/>
        <v>Home Office</v>
      </c>
      <c r="L85" t="s">
        <v>61</v>
      </c>
      <c r="M85" t="str">
        <f t="shared" si="16"/>
        <v>West</v>
      </c>
      <c r="N85" t="s">
        <v>62</v>
      </c>
      <c r="O85" t="str">
        <f t="shared" si="17"/>
        <v>Maharashtra</v>
      </c>
      <c r="P85" t="s">
        <v>63</v>
      </c>
      <c r="Q85" t="str">
        <f t="shared" si="18"/>
        <v>Mumbai</v>
      </c>
      <c r="R85" t="s">
        <v>39</v>
      </c>
      <c r="S85" t="str">
        <f t="shared" si="19"/>
        <v>Furniture</v>
      </c>
      <c r="T85" t="s">
        <v>40</v>
      </c>
      <c r="U85" t="str">
        <f t="shared" si="20"/>
        <v>Tables</v>
      </c>
      <c r="V85" t="s">
        <v>360</v>
      </c>
      <c r="X85" t="s">
        <v>29</v>
      </c>
      <c r="Y85" t="str">
        <f t="shared" si="21"/>
        <v>Second Class</v>
      </c>
      <c r="Z85">
        <v>9</v>
      </c>
      <c r="AA85">
        <v>131.74</v>
      </c>
      <c r="AB85">
        <v>0.2</v>
      </c>
      <c r="AC85">
        <v>948.53</v>
      </c>
      <c r="AD85">
        <v>674.62</v>
      </c>
      <c r="AE85">
        <v>273.91000000000003</v>
      </c>
      <c r="AF85" t="s">
        <v>30</v>
      </c>
      <c r="AG85" t="str">
        <f t="shared" si="22"/>
        <v>Paid</v>
      </c>
      <c r="AH85" t="s">
        <v>31</v>
      </c>
    </row>
    <row r="86" spans="1:34">
      <c r="A86" t="s">
        <v>361</v>
      </c>
      <c r="B86">
        <f>COUNTIF($A:$A,A86)</f>
        <v>1</v>
      </c>
      <c r="C86" t="str">
        <f t="shared" si="12"/>
        <v>Unique</v>
      </c>
      <c r="D86" s="4">
        <v>45301</v>
      </c>
      <c r="E86">
        <f t="shared" si="13"/>
        <v>60</v>
      </c>
      <c r="F86" s="4">
        <v>45361</v>
      </c>
      <c r="G86" t="s">
        <v>362</v>
      </c>
      <c r="H86" t="s">
        <v>139</v>
      </c>
      <c r="I86" t="str">
        <f t="shared" si="14"/>
        <v>Rohan Mehta</v>
      </c>
      <c r="J86" t="s">
        <v>88</v>
      </c>
      <c r="K86" t="str">
        <f t="shared" si="15"/>
        <v>Corporate</v>
      </c>
      <c r="L86" t="s">
        <v>52</v>
      </c>
      <c r="M86" t="str">
        <f t="shared" si="16"/>
        <v>South</v>
      </c>
      <c r="N86" t="s">
        <v>246</v>
      </c>
      <c r="O86" t="str">
        <f t="shared" si="17"/>
        <v>Tamil Nadu</v>
      </c>
      <c r="P86" t="s">
        <v>247</v>
      </c>
      <c r="Q86" t="str">
        <f t="shared" si="18"/>
        <v>Chennai</v>
      </c>
      <c r="R86" t="s">
        <v>72</v>
      </c>
      <c r="S86" t="str">
        <f t="shared" si="19"/>
        <v>Technology</v>
      </c>
      <c r="T86" t="s">
        <v>169</v>
      </c>
      <c r="U86" t="str">
        <f t="shared" si="20"/>
        <v>Phones</v>
      </c>
      <c r="V86" t="s">
        <v>363</v>
      </c>
      <c r="X86" t="s">
        <v>29</v>
      </c>
      <c r="Y86" t="str">
        <f t="shared" si="21"/>
        <v>Second Class</v>
      </c>
      <c r="Z86">
        <v>6</v>
      </c>
      <c r="AA86">
        <v>570.28</v>
      </c>
      <c r="AB86">
        <v>0.2</v>
      </c>
      <c r="AC86">
        <v>2737.34</v>
      </c>
      <c r="AD86">
        <v>2085.44</v>
      </c>
      <c r="AE86">
        <v>651.9</v>
      </c>
      <c r="AF86" t="s">
        <v>30</v>
      </c>
      <c r="AG86" t="str">
        <f t="shared" si="22"/>
        <v>Paid</v>
      </c>
      <c r="AH86" t="s">
        <v>31</v>
      </c>
    </row>
    <row r="87" spans="1:34">
      <c r="A87" t="s">
        <v>364</v>
      </c>
      <c r="B87">
        <f>COUNTIF($A:$A,A87)</f>
        <v>1</v>
      </c>
      <c r="C87" t="str">
        <f t="shared" si="12"/>
        <v>Unique</v>
      </c>
      <c r="D87" s="4">
        <v>45503</v>
      </c>
      <c r="E87">
        <f t="shared" si="13"/>
        <v>6</v>
      </c>
      <c r="F87" s="4">
        <v>45509</v>
      </c>
      <c r="G87" t="s">
        <v>365</v>
      </c>
      <c r="H87" t="s">
        <v>263</v>
      </c>
      <c r="I87" t="str">
        <f t="shared" si="14"/>
        <v>Kabir Singh</v>
      </c>
      <c r="J87" t="s">
        <v>88</v>
      </c>
      <c r="K87" t="str">
        <f t="shared" si="15"/>
        <v>Corporate</v>
      </c>
      <c r="L87" t="s">
        <v>23</v>
      </c>
      <c r="M87" t="str">
        <f t="shared" si="16"/>
        <v>North</v>
      </c>
      <c r="N87" t="s">
        <v>349</v>
      </c>
      <c r="O87" t="str">
        <f t="shared" si="17"/>
        <v>Delhi</v>
      </c>
      <c r="P87" t="s">
        <v>350</v>
      </c>
      <c r="Q87" t="str">
        <f t="shared" si="18"/>
        <v>New Delhi</v>
      </c>
      <c r="R87" t="s">
        <v>26</v>
      </c>
      <c r="S87" t="str">
        <f t="shared" si="19"/>
        <v>Office Supplies</v>
      </c>
      <c r="T87" t="s">
        <v>151</v>
      </c>
      <c r="U87" t="str">
        <f t="shared" si="20"/>
        <v>Binders</v>
      </c>
      <c r="V87" t="s">
        <v>366</v>
      </c>
      <c r="X87" t="s">
        <v>57</v>
      </c>
      <c r="Y87" t="str">
        <f t="shared" si="21"/>
        <v>Standard Class</v>
      </c>
      <c r="Z87">
        <v>1</v>
      </c>
      <c r="AA87">
        <v>608.64</v>
      </c>
      <c r="AB87">
        <v>0</v>
      </c>
      <c r="AC87">
        <v>608.64</v>
      </c>
      <c r="AD87">
        <v>343.99</v>
      </c>
      <c r="AE87">
        <v>264.64999999999998</v>
      </c>
      <c r="AF87" t="s">
        <v>30</v>
      </c>
      <c r="AG87" t="str">
        <f t="shared" si="22"/>
        <v>Paid</v>
      </c>
      <c r="AH87" t="s">
        <v>66</v>
      </c>
    </row>
    <row r="88" spans="1:34">
      <c r="A88" t="s">
        <v>367</v>
      </c>
      <c r="B88">
        <f>COUNTIF($A:$A,A88)</f>
        <v>1</v>
      </c>
      <c r="C88" t="str">
        <f t="shared" si="12"/>
        <v>Unique</v>
      </c>
      <c r="D88" s="4">
        <v>45298</v>
      </c>
      <c r="E88">
        <f t="shared" si="13"/>
        <v>0</v>
      </c>
      <c r="F88" s="4">
        <v>45298</v>
      </c>
      <c r="G88" t="s">
        <v>368</v>
      </c>
      <c r="H88" t="s">
        <v>60</v>
      </c>
      <c r="I88" t="str">
        <f t="shared" si="14"/>
        <v>Ananya Rao</v>
      </c>
      <c r="J88" t="s">
        <v>35</v>
      </c>
      <c r="K88" t="str">
        <f t="shared" si="15"/>
        <v>Small Business</v>
      </c>
      <c r="L88" t="s">
        <v>23</v>
      </c>
      <c r="M88" t="str">
        <f t="shared" si="16"/>
        <v>North</v>
      </c>
      <c r="N88" t="s">
        <v>349</v>
      </c>
      <c r="O88" t="str">
        <f t="shared" si="17"/>
        <v>Delhi</v>
      </c>
      <c r="P88" t="s">
        <v>350</v>
      </c>
      <c r="Q88" t="str">
        <f t="shared" si="18"/>
        <v>New Delhi</v>
      </c>
      <c r="R88" t="s">
        <v>72</v>
      </c>
      <c r="S88" t="str">
        <f t="shared" si="19"/>
        <v>Technology</v>
      </c>
      <c r="T88" t="s">
        <v>78</v>
      </c>
      <c r="U88" t="str">
        <f t="shared" si="20"/>
        <v>Copiers</v>
      </c>
      <c r="V88" t="s">
        <v>369</v>
      </c>
      <c r="X88" t="s">
        <v>29</v>
      </c>
      <c r="Y88" t="str">
        <f t="shared" si="21"/>
        <v>Second Class</v>
      </c>
      <c r="Z88">
        <v>3</v>
      </c>
      <c r="AA88">
        <v>885.28</v>
      </c>
      <c r="AB88">
        <v>0.1</v>
      </c>
      <c r="AC88">
        <v>2390.2600000000002</v>
      </c>
      <c r="AD88">
        <v>1495.94</v>
      </c>
      <c r="AE88">
        <v>894.32</v>
      </c>
      <c r="AF88" t="s">
        <v>100</v>
      </c>
      <c r="AG88" t="str">
        <f t="shared" si="22"/>
        <v>Refunded</v>
      </c>
      <c r="AH88" t="s">
        <v>66</v>
      </c>
    </row>
    <row r="89" spans="1:34">
      <c r="A89" t="s">
        <v>370</v>
      </c>
      <c r="B89">
        <f>COUNTIF($A:$A,A89)</f>
        <v>1</v>
      </c>
      <c r="C89" t="str">
        <f t="shared" si="12"/>
        <v>Unique</v>
      </c>
      <c r="D89" s="4">
        <v>45330</v>
      </c>
      <c r="E89">
        <f t="shared" si="13"/>
        <v>29</v>
      </c>
      <c r="F89" s="4">
        <v>45359</v>
      </c>
      <c r="G89" t="s">
        <v>371</v>
      </c>
      <c r="H89" t="s">
        <v>69</v>
      </c>
      <c r="I89" t="str">
        <f t="shared" si="14"/>
        <v>Vikram Iyer</v>
      </c>
      <c r="J89" t="s">
        <v>22</v>
      </c>
      <c r="K89" t="str">
        <f t="shared" si="15"/>
        <v>Consumer</v>
      </c>
      <c r="L89" t="s">
        <v>36</v>
      </c>
      <c r="M89" t="str">
        <f t="shared" si="16"/>
        <v>East</v>
      </c>
      <c r="N89" t="s">
        <v>164</v>
      </c>
      <c r="O89" t="str">
        <f t="shared" si="17"/>
        <v>Assam</v>
      </c>
      <c r="P89" t="s">
        <v>165</v>
      </c>
      <c r="Q89" t="str">
        <f t="shared" si="18"/>
        <v>Guwahati</v>
      </c>
      <c r="R89" t="s">
        <v>26</v>
      </c>
      <c r="S89" t="str">
        <f t="shared" si="19"/>
        <v>Office Supplies</v>
      </c>
      <c r="T89" t="s">
        <v>151</v>
      </c>
      <c r="U89" t="str">
        <f t="shared" si="20"/>
        <v>Binders</v>
      </c>
      <c r="V89" t="s">
        <v>372</v>
      </c>
      <c r="X89" t="s">
        <v>57</v>
      </c>
      <c r="Y89" t="str">
        <f t="shared" si="21"/>
        <v>Standard Class</v>
      </c>
      <c r="Z89">
        <v>7</v>
      </c>
      <c r="AA89">
        <v>3345.22</v>
      </c>
      <c r="AB89">
        <v>0</v>
      </c>
      <c r="AC89">
        <v>23416.54</v>
      </c>
      <c r="AD89">
        <v>15490.89</v>
      </c>
      <c r="AE89">
        <v>7925.65</v>
      </c>
      <c r="AF89" t="s">
        <v>30</v>
      </c>
      <c r="AG89" t="str">
        <f t="shared" si="22"/>
        <v>Paid</v>
      </c>
      <c r="AH89" t="s">
        <v>31</v>
      </c>
    </row>
    <row r="90" spans="1:34">
      <c r="A90" t="s">
        <v>373</v>
      </c>
      <c r="B90">
        <f>COUNTIF($A:$A,A90)</f>
        <v>1</v>
      </c>
      <c r="C90" t="str">
        <f t="shared" si="12"/>
        <v>Unique</v>
      </c>
      <c r="D90" s="4">
        <v>45375</v>
      </c>
      <c r="E90">
        <f t="shared" si="13"/>
        <v>3</v>
      </c>
      <c r="F90" s="4">
        <v>45378</v>
      </c>
      <c r="G90" t="s">
        <v>374</v>
      </c>
      <c r="H90" t="s">
        <v>139</v>
      </c>
      <c r="I90" t="str">
        <f t="shared" si="14"/>
        <v>Rohan Mehta</v>
      </c>
      <c r="J90" t="s">
        <v>35</v>
      </c>
      <c r="K90" t="str">
        <f t="shared" si="15"/>
        <v>Small Business</v>
      </c>
      <c r="L90" t="s">
        <v>61</v>
      </c>
      <c r="M90" t="str">
        <f t="shared" si="16"/>
        <v>West</v>
      </c>
      <c r="N90" t="s">
        <v>62</v>
      </c>
      <c r="O90" t="str">
        <f t="shared" si="17"/>
        <v>Maharashtra</v>
      </c>
      <c r="P90" t="s">
        <v>63</v>
      </c>
      <c r="Q90" t="str">
        <f t="shared" si="18"/>
        <v>Mumbai</v>
      </c>
      <c r="R90" t="s">
        <v>39</v>
      </c>
      <c r="S90" t="str">
        <f t="shared" si="19"/>
        <v>Furniture</v>
      </c>
      <c r="T90" t="s">
        <v>156</v>
      </c>
      <c r="U90" t="str">
        <f t="shared" si="20"/>
        <v>Bookcases</v>
      </c>
      <c r="V90" t="s">
        <v>375</v>
      </c>
      <c r="X90" t="s">
        <v>57</v>
      </c>
      <c r="Y90" t="str">
        <f t="shared" si="21"/>
        <v>Standard Class</v>
      </c>
      <c r="Z90">
        <v>2</v>
      </c>
      <c r="AA90">
        <v>3284.75</v>
      </c>
      <c r="AB90">
        <v>0.05</v>
      </c>
      <c r="AC90">
        <v>6241.02</v>
      </c>
      <c r="AD90">
        <v>5345.88</v>
      </c>
      <c r="AE90">
        <v>895.14</v>
      </c>
      <c r="AF90" t="s">
        <v>30</v>
      </c>
      <c r="AG90" t="str">
        <f t="shared" si="22"/>
        <v>Paid</v>
      </c>
      <c r="AH90" t="s">
        <v>31</v>
      </c>
    </row>
    <row r="91" spans="1:34">
      <c r="A91" t="s">
        <v>376</v>
      </c>
      <c r="B91">
        <f>COUNTIF($A:$A,A91)</f>
        <v>1</v>
      </c>
      <c r="C91" t="str">
        <f t="shared" si="12"/>
        <v>Unique</v>
      </c>
      <c r="D91" s="4">
        <v>45421</v>
      </c>
      <c r="E91">
        <f t="shared" si="13"/>
        <v>0</v>
      </c>
      <c r="F91" s="4">
        <v>45421</v>
      </c>
      <c r="G91" t="s">
        <v>377</v>
      </c>
      <c r="H91" t="s">
        <v>263</v>
      </c>
      <c r="I91" t="str">
        <f t="shared" si="14"/>
        <v>Kabir Singh</v>
      </c>
      <c r="J91" t="s">
        <v>22</v>
      </c>
      <c r="K91" t="str">
        <f t="shared" si="15"/>
        <v>Consumer</v>
      </c>
      <c r="L91" t="s">
        <v>52</v>
      </c>
      <c r="M91" t="str">
        <f t="shared" si="16"/>
        <v>South</v>
      </c>
      <c r="N91" t="s">
        <v>82</v>
      </c>
      <c r="O91" t="str">
        <f t="shared" si="17"/>
        <v>Andhra Pradesh</v>
      </c>
      <c r="P91" t="s">
        <v>83</v>
      </c>
      <c r="Q91" t="str">
        <f t="shared" si="18"/>
        <v>Vijayawada</v>
      </c>
      <c r="R91" t="s">
        <v>39</v>
      </c>
      <c r="S91" t="str">
        <f t="shared" si="19"/>
        <v>Furniture</v>
      </c>
      <c r="T91" t="s">
        <v>156</v>
      </c>
      <c r="U91" t="str">
        <f t="shared" si="20"/>
        <v>Bookcases</v>
      </c>
      <c r="V91" t="s">
        <v>378</v>
      </c>
      <c r="X91" t="s">
        <v>57</v>
      </c>
      <c r="Y91" t="str">
        <f t="shared" si="21"/>
        <v>Standard Class</v>
      </c>
      <c r="Z91">
        <v>7</v>
      </c>
      <c r="AA91">
        <v>3761.09</v>
      </c>
      <c r="AB91">
        <v>0.2</v>
      </c>
      <c r="AC91">
        <v>21062.1</v>
      </c>
      <c r="AD91">
        <v>12057.13</v>
      </c>
      <c r="AE91">
        <v>9004.9699999999993</v>
      </c>
      <c r="AF91" t="s">
        <v>109</v>
      </c>
      <c r="AG91" t="str">
        <f t="shared" si="22"/>
        <v>Pending</v>
      </c>
      <c r="AH91" t="s">
        <v>66</v>
      </c>
    </row>
    <row r="92" spans="1:34">
      <c r="A92" t="s">
        <v>379</v>
      </c>
      <c r="B92">
        <f>COUNTIF($A:$A,A92)</f>
        <v>1</v>
      </c>
      <c r="C92" t="str">
        <f t="shared" si="12"/>
        <v>Unique</v>
      </c>
      <c r="D92" s="4">
        <v>45893</v>
      </c>
      <c r="E92">
        <f t="shared" si="13"/>
        <v>5</v>
      </c>
      <c r="F92" s="4">
        <v>45898</v>
      </c>
      <c r="G92" t="s">
        <v>380</v>
      </c>
      <c r="H92" t="s">
        <v>126</v>
      </c>
      <c r="I92" t="str">
        <f t="shared" si="14"/>
        <v>Aarav Sharma</v>
      </c>
      <c r="J92" t="s">
        <v>35</v>
      </c>
      <c r="K92" t="str">
        <f t="shared" si="15"/>
        <v>Small Business</v>
      </c>
      <c r="L92" t="s">
        <v>36</v>
      </c>
      <c r="M92" t="str">
        <f t="shared" si="16"/>
        <v>East</v>
      </c>
      <c r="N92" t="s">
        <v>143</v>
      </c>
      <c r="O92" t="str">
        <f t="shared" si="17"/>
        <v>Bihar</v>
      </c>
      <c r="P92" t="s">
        <v>144</v>
      </c>
      <c r="Q92" t="str">
        <f t="shared" si="18"/>
        <v>Patna</v>
      </c>
      <c r="R92" t="s">
        <v>72</v>
      </c>
      <c r="S92" t="str">
        <f t="shared" si="19"/>
        <v>Technology</v>
      </c>
      <c r="T92" t="s">
        <v>78</v>
      </c>
      <c r="U92" t="str">
        <f t="shared" si="20"/>
        <v>Copiers</v>
      </c>
      <c r="V92" t="s">
        <v>381</v>
      </c>
      <c r="X92" t="s">
        <v>48</v>
      </c>
      <c r="Y92" t="str">
        <f t="shared" si="21"/>
        <v>First Class</v>
      </c>
      <c r="Z92">
        <v>3</v>
      </c>
      <c r="AA92">
        <v>3703.96</v>
      </c>
      <c r="AB92">
        <v>0.15</v>
      </c>
      <c r="AC92">
        <v>9445.1</v>
      </c>
      <c r="AD92">
        <v>5586.28</v>
      </c>
      <c r="AE92">
        <v>3858.82</v>
      </c>
      <c r="AF92" t="s">
        <v>30</v>
      </c>
      <c r="AG92" t="str">
        <f t="shared" si="22"/>
        <v>Paid</v>
      </c>
      <c r="AH92" t="s">
        <v>31</v>
      </c>
    </row>
    <row r="93" spans="1:34">
      <c r="A93" t="s">
        <v>382</v>
      </c>
      <c r="B93">
        <f>COUNTIF($A:$A,A93)</f>
        <v>1</v>
      </c>
      <c r="C93" t="str">
        <f t="shared" si="12"/>
        <v>Unique</v>
      </c>
      <c r="D93" s="4">
        <v>45691</v>
      </c>
      <c r="E93">
        <f t="shared" si="13"/>
        <v>33</v>
      </c>
      <c r="F93" s="4">
        <v>45724</v>
      </c>
      <c r="G93" t="s">
        <v>383</v>
      </c>
      <c r="H93" t="s">
        <v>130</v>
      </c>
      <c r="I93" t="str">
        <f t="shared" si="14"/>
        <v>Sneha Kapoor</v>
      </c>
      <c r="J93" t="s">
        <v>88</v>
      </c>
      <c r="K93" t="str">
        <f t="shared" si="15"/>
        <v>Corporate</v>
      </c>
      <c r="L93" t="s">
        <v>61</v>
      </c>
      <c r="M93" t="str">
        <f t="shared" si="16"/>
        <v>West</v>
      </c>
      <c r="N93" t="s">
        <v>70</v>
      </c>
      <c r="O93" t="str">
        <f t="shared" si="17"/>
        <v>Madhya Pradesh</v>
      </c>
      <c r="P93" t="s">
        <v>71</v>
      </c>
      <c r="Q93" t="str">
        <f t="shared" si="18"/>
        <v>Indore</v>
      </c>
      <c r="R93" t="s">
        <v>72</v>
      </c>
      <c r="S93" t="str">
        <f t="shared" si="19"/>
        <v>Technology</v>
      </c>
      <c r="T93" t="s">
        <v>78</v>
      </c>
      <c r="U93" t="str">
        <f t="shared" si="20"/>
        <v>Copiers</v>
      </c>
      <c r="V93" t="s">
        <v>384</v>
      </c>
      <c r="X93" t="s">
        <v>29</v>
      </c>
      <c r="Y93" t="str">
        <f t="shared" si="21"/>
        <v>Second Class</v>
      </c>
      <c r="Z93">
        <v>9</v>
      </c>
      <c r="AA93">
        <v>269.68</v>
      </c>
      <c r="AB93">
        <v>0</v>
      </c>
      <c r="AC93">
        <v>2427.12</v>
      </c>
      <c r="AD93">
        <v>1538.35</v>
      </c>
      <c r="AE93">
        <v>804.53</v>
      </c>
      <c r="AF93" t="s">
        <v>30</v>
      </c>
      <c r="AG93" t="str">
        <f t="shared" si="22"/>
        <v>Paid</v>
      </c>
      <c r="AH93" t="s">
        <v>31</v>
      </c>
    </row>
    <row r="94" spans="1:34">
      <c r="A94" t="s">
        <v>385</v>
      </c>
      <c r="B94">
        <f>COUNTIF($A:$A,A94)</f>
        <v>1</v>
      </c>
      <c r="C94" t="str">
        <f t="shared" si="12"/>
        <v>Unique</v>
      </c>
      <c r="D94" s="4">
        <v>45680</v>
      </c>
      <c r="E94">
        <f t="shared" si="13"/>
        <v>3</v>
      </c>
      <c r="F94" s="4">
        <v>45683</v>
      </c>
      <c r="G94" t="s">
        <v>386</v>
      </c>
      <c r="H94" t="s">
        <v>126</v>
      </c>
      <c r="I94" t="str">
        <f t="shared" si="14"/>
        <v>Aarav Sharma</v>
      </c>
      <c r="J94" t="s">
        <v>22</v>
      </c>
      <c r="K94" t="str">
        <f t="shared" si="15"/>
        <v>Consumer</v>
      </c>
      <c r="L94" t="s">
        <v>61</v>
      </c>
      <c r="M94" t="str">
        <f t="shared" si="16"/>
        <v>West</v>
      </c>
      <c r="N94" t="s">
        <v>70</v>
      </c>
      <c r="O94" t="str">
        <f t="shared" si="17"/>
        <v>Madhya Pradesh</v>
      </c>
      <c r="P94" t="s">
        <v>71</v>
      </c>
      <c r="Q94" t="str">
        <f t="shared" si="18"/>
        <v>Indore</v>
      </c>
      <c r="R94" t="s">
        <v>26</v>
      </c>
      <c r="S94" t="str">
        <f t="shared" si="19"/>
        <v>Office Supplies</v>
      </c>
      <c r="T94" t="s">
        <v>27</v>
      </c>
      <c r="U94" t="str">
        <f t="shared" si="20"/>
        <v>Paper</v>
      </c>
      <c r="V94" t="s">
        <v>387</v>
      </c>
      <c r="X94" t="s">
        <v>57</v>
      </c>
      <c r="Y94" t="str">
        <f t="shared" si="21"/>
        <v>Standard Class</v>
      </c>
      <c r="Z94">
        <v>9</v>
      </c>
      <c r="AA94">
        <v>4458.26</v>
      </c>
      <c r="AB94">
        <v>0.1</v>
      </c>
      <c r="AC94">
        <v>36111.910000000003</v>
      </c>
      <c r="AD94">
        <v>29194.5</v>
      </c>
      <c r="AE94">
        <v>6917.41</v>
      </c>
      <c r="AF94" t="s">
        <v>30</v>
      </c>
      <c r="AG94" t="str">
        <f t="shared" si="22"/>
        <v>Paid</v>
      </c>
      <c r="AH94" t="s">
        <v>31</v>
      </c>
    </row>
    <row r="95" spans="1:34">
      <c r="A95" t="s">
        <v>388</v>
      </c>
      <c r="B95">
        <f>COUNTIF($A:$A,A95)</f>
        <v>1</v>
      </c>
      <c r="C95" t="str">
        <f t="shared" si="12"/>
        <v>Unique</v>
      </c>
      <c r="D95" s="4">
        <v>45298</v>
      </c>
      <c r="E95">
        <f t="shared" si="13"/>
        <v>6</v>
      </c>
      <c r="F95" s="4">
        <v>45304</v>
      </c>
      <c r="G95" t="s">
        <v>389</v>
      </c>
      <c r="H95" t="s">
        <v>139</v>
      </c>
      <c r="I95" t="str">
        <f t="shared" si="14"/>
        <v>Rohan Mehta</v>
      </c>
      <c r="J95" t="s">
        <v>88</v>
      </c>
      <c r="K95" t="str">
        <f t="shared" si="15"/>
        <v>Corporate</v>
      </c>
      <c r="L95" t="s">
        <v>23</v>
      </c>
      <c r="M95" t="str">
        <f t="shared" si="16"/>
        <v>North</v>
      </c>
      <c r="N95" t="s">
        <v>134</v>
      </c>
      <c r="O95" t="str">
        <f t="shared" si="17"/>
        <v>Uttar Pradesh</v>
      </c>
      <c r="P95" t="s">
        <v>135</v>
      </c>
      <c r="Q95" t="str">
        <f t="shared" si="18"/>
        <v>Noida</v>
      </c>
      <c r="R95" t="s">
        <v>26</v>
      </c>
      <c r="S95" t="str">
        <f t="shared" si="19"/>
        <v>Office Supplies</v>
      </c>
      <c r="T95" t="s">
        <v>151</v>
      </c>
      <c r="U95" t="str">
        <f t="shared" si="20"/>
        <v>Binders</v>
      </c>
      <c r="V95" t="s">
        <v>390</v>
      </c>
      <c r="X95" t="s">
        <v>57</v>
      </c>
      <c r="Y95" t="str">
        <f t="shared" si="21"/>
        <v>Standard Class</v>
      </c>
      <c r="Z95">
        <v>7</v>
      </c>
      <c r="AA95">
        <v>2788.97</v>
      </c>
      <c r="AB95">
        <v>-0.09</v>
      </c>
      <c r="AC95">
        <v>19522.79</v>
      </c>
      <c r="AD95">
        <v>12455.78</v>
      </c>
      <c r="AE95">
        <v>7067.01</v>
      </c>
      <c r="AF95" t="s">
        <v>30</v>
      </c>
      <c r="AG95" t="str">
        <f t="shared" si="22"/>
        <v>Paid</v>
      </c>
      <c r="AH95" t="s">
        <v>31</v>
      </c>
    </row>
    <row r="96" spans="1:34">
      <c r="A96" t="s">
        <v>391</v>
      </c>
      <c r="B96">
        <f>COUNTIF($A:$A,A96)</f>
        <v>1</v>
      </c>
      <c r="C96" t="str">
        <f t="shared" si="12"/>
        <v>Unique</v>
      </c>
      <c r="D96" s="4">
        <v>45541</v>
      </c>
      <c r="E96">
        <f t="shared" si="13"/>
        <v>3</v>
      </c>
      <c r="F96" s="4">
        <v>45544</v>
      </c>
      <c r="G96" t="s">
        <v>392</v>
      </c>
      <c r="H96" t="s">
        <v>160</v>
      </c>
      <c r="I96" t="str">
        <f t="shared" si="14"/>
        <v>Diya Patel</v>
      </c>
      <c r="J96" t="s">
        <v>22</v>
      </c>
      <c r="K96" t="str">
        <f t="shared" si="15"/>
        <v>Consumer</v>
      </c>
      <c r="L96" t="s">
        <v>23</v>
      </c>
      <c r="M96" t="str">
        <f t="shared" si="16"/>
        <v>North</v>
      </c>
      <c r="N96" t="s">
        <v>235</v>
      </c>
      <c r="O96" t="str">
        <f t="shared" si="17"/>
        <v>Haryana</v>
      </c>
      <c r="P96" t="s">
        <v>236</v>
      </c>
      <c r="Q96" t="str">
        <f t="shared" si="18"/>
        <v>Gurugram</v>
      </c>
      <c r="R96" t="s">
        <v>72</v>
      </c>
      <c r="S96" t="str">
        <f t="shared" si="19"/>
        <v>Technology</v>
      </c>
      <c r="T96" t="s">
        <v>169</v>
      </c>
      <c r="U96" t="str">
        <f t="shared" si="20"/>
        <v>Phones</v>
      </c>
      <c r="V96" t="s">
        <v>393</v>
      </c>
      <c r="X96" t="s">
        <v>29</v>
      </c>
      <c r="Y96" t="str">
        <f t="shared" si="21"/>
        <v>Second Class</v>
      </c>
      <c r="Z96">
        <v>7</v>
      </c>
      <c r="AA96">
        <v>3781.53</v>
      </c>
      <c r="AB96">
        <v>0</v>
      </c>
      <c r="AC96">
        <v>26470.71</v>
      </c>
      <c r="AD96">
        <v>21367.599999999999</v>
      </c>
      <c r="AE96">
        <v>5103.1099999999997</v>
      </c>
      <c r="AF96" t="s">
        <v>109</v>
      </c>
      <c r="AG96" t="str">
        <f t="shared" si="22"/>
        <v>Pending</v>
      </c>
      <c r="AH96" t="s">
        <v>66</v>
      </c>
    </row>
    <row r="97" spans="1:34">
      <c r="A97" t="s">
        <v>394</v>
      </c>
      <c r="B97">
        <f>COUNTIF($A:$A,A97)</f>
        <v>1</v>
      </c>
      <c r="C97" t="str">
        <f t="shared" si="12"/>
        <v>Unique</v>
      </c>
      <c r="D97" s="4">
        <v>45786</v>
      </c>
      <c r="E97">
        <f t="shared" si="13"/>
        <v>124</v>
      </c>
      <c r="F97" s="4">
        <v>45910</v>
      </c>
      <c r="G97" t="s">
        <v>395</v>
      </c>
      <c r="H97" t="s">
        <v>130</v>
      </c>
      <c r="I97" t="str">
        <f t="shared" si="14"/>
        <v>Sneha Kapoor</v>
      </c>
      <c r="J97" t="s">
        <v>88</v>
      </c>
      <c r="K97" t="str">
        <f t="shared" si="15"/>
        <v>Corporate</v>
      </c>
      <c r="L97" t="s">
        <v>61</v>
      </c>
      <c r="M97" t="str">
        <f t="shared" si="16"/>
        <v>West</v>
      </c>
      <c r="N97" t="s">
        <v>188</v>
      </c>
      <c r="O97" t="str">
        <f t="shared" si="17"/>
        <v>Goa</v>
      </c>
      <c r="P97" t="s">
        <v>189</v>
      </c>
      <c r="Q97" t="str">
        <f t="shared" si="18"/>
        <v>Panaji</v>
      </c>
      <c r="R97" t="s">
        <v>39</v>
      </c>
      <c r="S97" t="str">
        <f t="shared" si="19"/>
        <v>Furniture</v>
      </c>
      <c r="T97" t="s">
        <v>156</v>
      </c>
      <c r="U97" t="str">
        <f t="shared" si="20"/>
        <v>Bookcases</v>
      </c>
      <c r="V97" t="s">
        <v>396</v>
      </c>
      <c r="X97" t="s">
        <v>42</v>
      </c>
      <c r="Y97" t="str">
        <f t="shared" si="21"/>
        <v>Same Day</v>
      </c>
      <c r="Z97">
        <v>6</v>
      </c>
      <c r="AA97">
        <v>1754.13</v>
      </c>
      <c r="AB97">
        <v>0</v>
      </c>
      <c r="AC97">
        <v>10524.78</v>
      </c>
      <c r="AD97">
        <v>8841.0499999999993</v>
      </c>
      <c r="AE97">
        <v>1683.73</v>
      </c>
      <c r="AF97" t="s">
        <v>30</v>
      </c>
      <c r="AG97" t="str">
        <f t="shared" si="22"/>
        <v>Paid</v>
      </c>
      <c r="AH97" t="s">
        <v>31</v>
      </c>
    </row>
    <row r="98" spans="1:34">
      <c r="A98" t="s">
        <v>397</v>
      </c>
      <c r="B98">
        <f>COUNTIF($A:$A,A98)</f>
        <v>1</v>
      </c>
      <c r="C98" t="str">
        <f t="shared" si="12"/>
        <v>Unique</v>
      </c>
      <c r="D98" s="4">
        <v>45418</v>
      </c>
      <c r="E98">
        <f t="shared" si="13"/>
        <v>61</v>
      </c>
      <c r="F98" s="4">
        <v>45479</v>
      </c>
      <c r="G98" t="s">
        <v>398</v>
      </c>
      <c r="H98" t="s">
        <v>116</v>
      </c>
      <c r="I98" t="str">
        <f t="shared" si="14"/>
        <v>Rahul Verma</v>
      </c>
      <c r="J98" t="s">
        <v>93</v>
      </c>
      <c r="K98" t="str">
        <f t="shared" si="15"/>
        <v>Home Office</v>
      </c>
      <c r="L98" t="s">
        <v>36</v>
      </c>
      <c r="M98" t="str">
        <f t="shared" ref="M98:M113" si="23">PROPER(TRIM(L98))</f>
        <v>East</v>
      </c>
      <c r="N98" t="s">
        <v>37</v>
      </c>
      <c r="O98" t="str">
        <f t="shared" si="17"/>
        <v>Odisha</v>
      </c>
      <c r="P98" t="s">
        <v>38</v>
      </c>
      <c r="Q98" t="str">
        <f t="shared" si="18"/>
        <v>Bhubaneswar</v>
      </c>
      <c r="R98" t="s">
        <v>72</v>
      </c>
      <c r="S98" t="str">
        <f t="shared" si="19"/>
        <v>Technology</v>
      </c>
      <c r="T98" t="s">
        <v>78</v>
      </c>
      <c r="U98" t="str">
        <f t="shared" si="20"/>
        <v>Copiers</v>
      </c>
      <c r="V98" t="s">
        <v>399</v>
      </c>
      <c r="X98" t="s">
        <v>29</v>
      </c>
      <c r="Y98" t="str">
        <f t="shared" si="21"/>
        <v>Second Class</v>
      </c>
      <c r="Z98">
        <v>2</v>
      </c>
      <c r="AA98">
        <v>2259.2399999999998</v>
      </c>
      <c r="AB98">
        <v>0.15</v>
      </c>
      <c r="AC98">
        <v>3840.71</v>
      </c>
      <c r="AD98">
        <v>2516.29</v>
      </c>
      <c r="AE98">
        <v>1324.42</v>
      </c>
      <c r="AF98" t="s">
        <v>30</v>
      </c>
      <c r="AG98" t="str">
        <f t="shared" si="22"/>
        <v>Paid</v>
      </c>
      <c r="AH98" t="s">
        <v>31</v>
      </c>
    </row>
    <row r="99" spans="1:34">
      <c r="A99" t="s">
        <v>400</v>
      </c>
      <c r="B99">
        <f>COUNTIF($A:$A,A99)</f>
        <v>1</v>
      </c>
      <c r="C99" t="str">
        <f t="shared" si="12"/>
        <v>Unique</v>
      </c>
      <c r="D99" s="4">
        <v>45877</v>
      </c>
      <c r="E99">
        <f t="shared" si="13"/>
        <v>92</v>
      </c>
      <c r="F99" s="4">
        <v>45969</v>
      </c>
      <c r="G99" t="s">
        <v>401</v>
      </c>
      <c r="H99" t="s">
        <v>160</v>
      </c>
      <c r="I99" t="str">
        <f t="shared" si="14"/>
        <v>Diya Patel</v>
      </c>
      <c r="J99" t="s">
        <v>35</v>
      </c>
      <c r="K99" t="str">
        <f t="shared" si="15"/>
        <v>Small Business</v>
      </c>
      <c r="L99" t="s">
        <v>61</v>
      </c>
      <c r="M99" t="str">
        <f t="shared" si="23"/>
        <v>West</v>
      </c>
      <c r="N99" t="s">
        <v>178</v>
      </c>
      <c r="O99" t="str">
        <f t="shared" si="17"/>
        <v>Gujarat</v>
      </c>
      <c r="P99" t="s">
        <v>179</v>
      </c>
      <c r="Q99" t="str">
        <f t="shared" si="18"/>
        <v>Ahmedabad</v>
      </c>
      <c r="R99" t="s">
        <v>26</v>
      </c>
      <c r="S99" t="str">
        <f t="shared" si="19"/>
        <v>Office Supplies</v>
      </c>
      <c r="T99" t="s">
        <v>122</v>
      </c>
      <c r="U99" t="str">
        <f t="shared" si="20"/>
        <v>Storage</v>
      </c>
      <c r="V99" t="s">
        <v>402</v>
      </c>
      <c r="X99" t="s">
        <v>42</v>
      </c>
      <c r="Y99" t="str">
        <f t="shared" si="21"/>
        <v>Same Day</v>
      </c>
      <c r="Z99">
        <v>5</v>
      </c>
      <c r="AA99">
        <v>3602.36</v>
      </c>
      <c r="AB99">
        <v>0.2</v>
      </c>
      <c r="AC99">
        <v>14409.44</v>
      </c>
      <c r="AD99">
        <v>8809.9699999999993</v>
      </c>
      <c r="AE99">
        <v>5599.47</v>
      </c>
      <c r="AF99" t="s">
        <v>109</v>
      </c>
      <c r="AG99" t="str">
        <f t="shared" si="22"/>
        <v>Pending</v>
      </c>
      <c r="AH99" t="s">
        <v>101</v>
      </c>
    </row>
    <row r="100" spans="1:34">
      <c r="A100" t="s">
        <v>403</v>
      </c>
      <c r="B100">
        <f>COUNTIF($A:$A,A100)</f>
        <v>1</v>
      </c>
      <c r="C100" t="str">
        <f t="shared" si="12"/>
        <v>Unique</v>
      </c>
      <c r="D100" s="4">
        <v>45317</v>
      </c>
      <c r="E100">
        <f t="shared" si="13"/>
        <v>6</v>
      </c>
      <c r="F100" s="4">
        <v>45323</v>
      </c>
      <c r="G100" t="s">
        <v>404</v>
      </c>
      <c r="H100" t="s">
        <v>139</v>
      </c>
      <c r="I100" t="str">
        <f t="shared" si="14"/>
        <v>Rohan Mehta</v>
      </c>
      <c r="J100" t="s">
        <v>93</v>
      </c>
      <c r="K100" t="str">
        <f t="shared" si="15"/>
        <v>Home Office</v>
      </c>
      <c r="L100" t="s">
        <v>52</v>
      </c>
      <c r="M100" t="str">
        <f t="shared" si="23"/>
        <v>South</v>
      </c>
      <c r="N100" t="s">
        <v>183</v>
      </c>
      <c r="O100" t="str">
        <f t="shared" si="17"/>
        <v>Kerala</v>
      </c>
      <c r="P100" t="s">
        <v>184</v>
      </c>
      <c r="Q100" t="str">
        <f t="shared" si="18"/>
        <v>Kochi</v>
      </c>
      <c r="R100" t="s">
        <v>72</v>
      </c>
      <c r="S100" t="str">
        <f t="shared" si="19"/>
        <v>Technology</v>
      </c>
      <c r="T100" t="s">
        <v>78</v>
      </c>
      <c r="U100" t="str">
        <f t="shared" si="20"/>
        <v>Copiers</v>
      </c>
      <c r="V100" t="s">
        <v>405</v>
      </c>
      <c r="Y100" t="s">
        <v>2828</v>
      </c>
      <c r="Z100">
        <v>8</v>
      </c>
      <c r="AA100">
        <v>2108.9299999999998</v>
      </c>
      <c r="AB100">
        <v>0.1</v>
      </c>
      <c r="AC100">
        <v>15184.3</v>
      </c>
      <c r="AD100">
        <v>11270.74</v>
      </c>
      <c r="AE100">
        <v>3913.56</v>
      </c>
      <c r="AF100" t="s">
        <v>30</v>
      </c>
      <c r="AG100" t="str">
        <f t="shared" si="22"/>
        <v>Paid</v>
      </c>
      <c r="AH100" t="s">
        <v>31</v>
      </c>
    </row>
    <row r="101" spans="1:34">
      <c r="A101" t="s">
        <v>406</v>
      </c>
      <c r="B101">
        <f>COUNTIF($A:$A,A101)</f>
        <v>1</v>
      </c>
      <c r="C101" t="str">
        <f t="shared" si="12"/>
        <v>Unique</v>
      </c>
      <c r="D101" s="4">
        <v>45962</v>
      </c>
      <c r="E101">
        <f t="shared" si="13"/>
        <v>0</v>
      </c>
      <c r="F101" s="4">
        <v>45962</v>
      </c>
      <c r="G101" t="s">
        <v>407</v>
      </c>
      <c r="H101" t="s">
        <v>87</v>
      </c>
      <c r="I101" t="str">
        <f t="shared" si="14"/>
        <v>Aditi Sen</v>
      </c>
      <c r="J101" t="s">
        <v>35</v>
      </c>
      <c r="K101" t="str">
        <f t="shared" si="15"/>
        <v>Small Business</v>
      </c>
      <c r="L101" t="s">
        <v>61</v>
      </c>
      <c r="M101" t="str">
        <f t="shared" si="23"/>
        <v>West</v>
      </c>
      <c r="N101" t="s">
        <v>24</v>
      </c>
      <c r="O101" t="str">
        <f t="shared" si="17"/>
        <v>Rajasthan</v>
      </c>
      <c r="P101" t="s">
        <v>107</v>
      </c>
      <c r="Q101" t="str">
        <f t="shared" si="18"/>
        <v>Udaipur</v>
      </c>
      <c r="R101" t="s">
        <v>72</v>
      </c>
      <c r="S101" t="str">
        <f t="shared" si="19"/>
        <v>Technology</v>
      </c>
      <c r="T101" t="s">
        <v>73</v>
      </c>
      <c r="U101" t="str">
        <f t="shared" si="20"/>
        <v>Accessories</v>
      </c>
      <c r="V101" t="s">
        <v>408</v>
      </c>
      <c r="X101" t="s">
        <v>42</v>
      </c>
      <c r="Y101" t="str">
        <f t="shared" si="21"/>
        <v>Same Day</v>
      </c>
      <c r="Z101">
        <v>3</v>
      </c>
      <c r="AA101">
        <v>2165.29</v>
      </c>
      <c r="AB101">
        <v>0</v>
      </c>
      <c r="AC101">
        <v>6495.87</v>
      </c>
      <c r="AD101">
        <v>4700.8900000000003</v>
      </c>
      <c r="AE101">
        <v>1794.98</v>
      </c>
      <c r="AF101" t="s">
        <v>30</v>
      </c>
      <c r="AG101" t="str">
        <f t="shared" si="22"/>
        <v>Paid</v>
      </c>
      <c r="AH101" t="s">
        <v>31</v>
      </c>
    </row>
    <row r="102" spans="1:34">
      <c r="A102" t="s">
        <v>409</v>
      </c>
      <c r="B102">
        <f>COUNTIF($A:$A,A102)</f>
        <v>1</v>
      </c>
      <c r="C102" t="str">
        <f t="shared" si="12"/>
        <v>Unique</v>
      </c>
      <c r="D102" s="4">
        <v>46000</v>
      </c>
      <c r="E102">
        <f t="shared" si="13"/>
        <v>-82</v>
      </c>
      <c r="F102" s="4">
        <v>45918</v>
      </c>
      <c r="G102" t="s">
        <v>410</v>
      </c>
      <c r="H102" t="s">
        <v>126</v>
      </c>
      <c r="I102" t="str">
        <f t="shared" si="14"/>
        <v>Aarav Sharma</v>
      </c>
      <c r="J102" t="s">
        <v>93</v>
      </c>
      <c r="K102" t="str">
        <f t="shared" si="15"/>
        <v>Home Office</v>
      </c>
      <c r="L102" t="s">
        <v>52</v>
      </c>
      <c r="M102" t="str">
        <f t="shared" si="23"/>
        <v>South</v>
      </c>
      <c r="N102" t="s">
        <v>183</v>
      </c>
      <c r="O102" t="str">
        <f t="shared" si="17"/>
        <v>Kerala</v>
      </c>
      <c r="P102" t="s">
        <v>184</v>
      </c>
      <c r="Q102" t="str">
        <f t="shared" si="18"/>
        <v>Kochi</v>
      </c>
      <c r="R102" t="s">
        <v>26</v>
      </c>
      <c r="S102" t="str">
        <f t="shared" si="19"/>
        <v>Office Supplies</v>
      </c>
      <c r="T102" t="s">
        <v>122</v>
      </c>
      <c r="U102" t="str">
        <f t="shared" si="20"/>
        <v>Storage</v>
      </c>
      <c r="V102" t="s">
        <v>411</v>
      </c>
      <c r="X102" t="s">
        <v>57</v>
      </c>
      <c r="Y102" t="str">
        <f t="shared" si="21"/>
        <v>Standard Class</v>
      </c>
      <c r="Z102">
        <v>6</v>
      </c>
      <c r="AA102">
        <v>1673.8</v>
      </c>
      <c r="AB102">
        <v>0.05</v>
      </c>
      <c r="AC102">
        <v>9540.66</v>
      </c>
      <c r="AD102">
        <v>5561.49</v>
      </c>
      <c r="AE102">
        <v>3979.17</v>
      </c>
      <c r="AF102" t="s">
        <v>30</v>
      </c>
      <c r="AG102" t="str">
        <f t="shared" si="22"/>
        <v>Paid</v>
      </c>
      <c r="AH102" t="s">
        <v>31</v>
      </c>
    </row>
    <row r="103" spans="1:34">
      <c r="A103" t="s">
        <v>412</v>
      </c>
      <c r="B103">
        <f>COUNTIF($A:$A,A103)</f>
        <v>1</v>
      </c>
      <c r="C103" t="str">
        <f t="shared" si="12"/>
        <v>Unique</v>
      </c>
      <c r="D103" s="4">
        <v>45465</v>
      </c>
      <c r="E103">
        <f t="shared" si="13"/>
        <v>4</v>
      </c>
      <c r="F103" s="4">
        <v>45469</v>
      </c>
      <c r="G103" t="s">
        <v>413</v>
      </c>
      <c r="H103" t="s">
        <v>139</v>
      </c>
      <c r="I103" t="str">
        <f t="shared" si="14"/>
        <v>Rohan Mehta</v>
      </c>
      <c r="J103" t="s">
        <v>93</v>
      </c>
      <c r="K103" t="str">
        <f t="shared" si="15"/>
        <v>Home Office</v>
      </c>
      <c r="L103" t="s">
        <v>36</v>
      </c>
      <c r="M103" t="str">
        <f t="shared" si="23"/>
        <v>East</v>
      </c>
      <c r="N103" t="s">
        <v>143</v>
      </c>
      <c r="O103" t="str">
        <f t="shared" si="17"/>
        <v>Bihar</v>
      </c>
      <c r="P103" t="s">
        <v>144</v>
      </c>
      <c r="Q103" t="str">
        <f t="shared" si="18"/>
        <v>Patna</v>
      </c>
      <c r="R103" t="s">
        <v>39</v>
      </c>
      <c r="S103" t="str">
        <f t="shared" si="19"/>
        <v>Furniture</v>
      </c>
      <c r="T103" t="s">
        <v>55</v>
      </c>
      <c r="U103" t="str">
        <f t="shared" si="20"/>
        <v>Furnishings</v>
      </c>
      <c r="V103" t="s">
        <v>414</v>
      </c>
      <c r="X103" t="s">
        <v>48</v>
      </c>
      <c r="Y103" t="str">
        <f t="shared" si="21"/>
        <v>First Class</v>
      </c>
      <c r="Z103">
        <v>5</v>
      </c>
      <c r="AA103">
        <v>4396.5200000000004</v>
      </c>
      <c r="AB103">
        <v>0.25</v>
      </c>
      <c r="AC103">
        <v>16486.95</v>
      </c>
      <c r="AD103">
        <v>12054.14</v>
      </c>
      <c r="AE103">
        <v>4432.8100000000004</v>
      </c>
      <c r="AF103" t="s">
        <v>30</v>
      </c>
      <c r="AG103" t="str">
        <f t="shared" si="22"/>
        <v>Paid</v>
      </c>
      <c r="AH103" t="s">
        <v>31</v>
      </c>
    </row>
    <row r="104" spans="1:34">
      <c r="A104" t="s">
        <v>415</v>
      </c>
      <c r="B104">
        <f>COUNTIF($A:$A,A104)</f>
        <v>1</v>
      </c>
      <c r="C104" t="str">
        <f t="shared" si="12"/>
        <v>Unique</v>
      </c>
      <c r="D104" s="4">
        <v>45998</v>
      </c>
      <c r="E104">
        <f t="shared" si="13"/>
        <v>-144</v>
      </c>
      <c r="F104" s="4">
        <v>45854</v>
      </c>
      <c r="G104" t="s">
        <v>416</v>
      </c>
      <c r="H104" t="s">
        <v>69</v>
      </c>
      <c r="I104" t="str">
        <f t="shared" si="14"/>
        <v>Vikram Iyer</v>
      </c>
      <c r="J104" t="s">
        <v>22</v>
      </c>
      <c r="K104" t="str">
        <f t="shared" si="15"/>
        <v>Consumer</v>
      </c>
      <c r="L104" t="s">
        <v>52</v>
      </c>
      <c r="M104" t="str">
        <f t="shared" si="23"/>
        <v>South</v>
      </c>
      <c r="N104" t="s">
        <v>173</v>
      </c>
      <c r="O104" t="str">
        <f t="shared" si="17"/>
        <v>Karnataka</v>
      </c>
      <c r="P104" t="s">
        <v>174</v>
      </c>
      <c r="Q104" t="str">
        <f t="shared" si="18"/>
        <v>Bengaluru</v>
      </c>
      <c r="R104" t="s">
        <v>39</v>
      </c>
      <c r="S104" t="str">
        <f t="shared" si="19"/>
        <v>Furniture</v>
      </c>
      <c r="T104" t="s">
        <v>64</v>
      </c>
      <c r="U104" t="str">
        <f t="shared" si="20"/>
        <v>Chairs</v>
      </c>
      <c r="V104" t="s">
        <v>417</v>
      </c>
      <c r="X104" t="s">
        <v>48</v>
      </c>
      <c r="Y104" t="str">
        <f t="shared" si="21"/>
        <v>First Class</v>
      </c>
      <c r="Z104">
        <v>4</v>
      </c>
      <c r="AA104">
        <v>2865.71</v>
      </c>
      <c r="AB104">
        <v>0</v>
      </c>
      <c r="AC104">
        <v>11462.84</v>
      </c>
      <c r="AD104">
        <v>8979.7800000000007</v>
      </c>
      <c r="AE104">
        <v>2483.06</v>
      </c>
      <c r="AF104" t="s">
        <v>100</v>
      </c>
      <c r="AG104" t="str">
        <f t="shared" si="22"/>
        <v>Refunded</v>
      </c>
      <c r="AH104" t="s">
        <v>66</v>
      </c>
    </row>
    <row r="105" spans="1:34">
      <c r="A105" t="s">
        <v>418</v>
      </c>
      <c r="B105">
        <f>COUNTIF($A:$A,A105)</f>
        <v>1</v>
      </c>
      <c r="C105" t="str">
        <f t="shared" si="12"/>
        <v>Unique</v>
      </c>
      <c r="D105" s="4">
        <v>45779</v>
      </c>
      <c r="E105">
        <f t="shared" si="13"/>
        <v>8</v>
      </c>
      <c r="F105" s="4">
        <v>45787</v>
      </c>
      <c r="G105" t="s">
        <v>419</v>
      </c>
      <c r="H105" t="s">
        <v>263</v>
      </c>
      <c r="I105" t="str">
        <f t="shared" si="14"/>
        <v>Kabir Singh</v>
      </c>
      <c r="J105" t="s">
        <v>88</v>
      </c>
      <c r="K105" t="str">
        <f t="shared" si="15"/>
        <v>Corporate</v>
      </c>
      <c r="L105" t="s">
        <v>61</v>
      </c>
      <c r="M105" t="str">
        <f t="shared" si="23"/>
        <v>West</v>
      </c>
      <c r="N105" t="s">
        <v>62</v>
      </c>
      <c r="O105" t="str">
        <f t="shared" si="17"/>
        <v>Maharashtra</v>
      </c>
      <c r="P105" t="s">
        <v>63</v>
      </c>
      <c r="Q105" t="str">
        <f t="shared" si="18"/>
        <v>Mumbai</v>
      </c>
      <c r="R105" t="s">
        <v>39</v>
      </c>
      <c r="S105" t="str">
        <f t="shared" si="19"/>
        <v>Furniture</v>
      </c>
      <c r="T105" t="s">
        <v>40</v>
      </c>
      <c r="U105" t="str">
        <f t="shared" si="20"/>
        <v>Tables</v>
      </c>
      <c r="V105" t="s">
        <v>420</v>
      </c>
      <c r="X105" t="s">
        <v>48</v>
      </c>
      <c r="Y105" t="str">
        <f t="shared" si="21"/>
        <v>First Class</v>
      </c>
      <c r="Z105">
        <v>4</v>
      </c>
      <c r="AA105">
        <v>2440.34</v>
      </c>
      <c r="AB105">
        <v>0.2</v>
      </c>
      <c r="AC105">
        <v>7809.09</v>
      </c>
      <c r="AD105">
        <v>6657.75</v>
      </c>
      <c r="AE105">
        <v>1151.3399999999999</v>
      </c>
      <c r="AF105" t="s">
        <v>30</v>
      </c>
      <c r="AG105" t="str">
        <f t="shared" si="22"/>
        <v>Paid</v>
      </c>
      <c r="AH105" t="s">
        <v>31</v>
      </c>
    </row>
    <row r="106" spans="1:34">
      <c r="A106" t="s">
        <v>421</v>
      </c>
      <c r="B106">
        <f>COUNTIF($A:$A,A106)</f>
        <v>1</v>
      </c>
      <c r="C106" t="str">
        <f t="shared" si="12"/>
        <v>Unique</v>
      </c>
      <c r="D106" s="4">
        <v>45659</v>
      </c>
      <c r="E106">
        <f t="shared" si="13"/>
        <v>37</v>
      </c>
      <c r="F106" s="4">
        <v>45696</v>
      </c>
      <c r="G106" t="s">
        <v>422</v>
      </c>
      <c r="H106" t="s">
        <v>60</v>
      </c>
      <c r="I106" t="str">
        <f t="shared" si="14"/>
        <v>Ananya Rao</v>
      </c>
      <c r="J106" t="s">
        <v>22</v>
      </c>
      <c r="K106" t="str">
        <f t="shared" si="15"/>
        <v>Consumer</v>
      </c>
      <c r="L106" t="s">
        <v>52</v>
      </c>
      <c r="M106" t="str">
        <f t="shared" si="23"/>
        <v>South</v>
      </c>
      <c r="N106" t="s">
        <v>173</v>
      </c>
      <c r="O106" t="str">
        <f t="shared" si="17"/>
        <v>Karnataka</v>
      </c>
      <c r="P106" t="s">
        <v>174</v>
      </c>
      <c r="Q106" t="str">
        <f t="shared" si="18"/>
        <v>Bengaluru</v>
      </c>
      <c r="R106" t="s">
        <v>26</v>
      </c>
      <c r="S106" t="str">
        <f t="shared" si="19"/>
        <v>Office Supplies</v>
      </c>
      <c r="T106" t="s">
        <v>89</v>
      </c>
      <c r="U106" t="str">
        <f t="shared" si="20"/>
        <v>Labels</v>
      </c>
      <c r="V106" t="s">
        <v>423</v>
      </c>
      <c r="X106" t="s">
        <v>42</v>
      </c>
      <c r="Y106" t="str">
        <f t="shared" si="21"/>
        <v>Same Day</v>
      </c>
      <c r="Z106">
        <v>5</v>
      </c>
      <c r="AA106">
        <v>2112.54</v>
      </c>
      <c r="AB106">
        <v>0.25</v>
      </c>
      <c r="AC106">
        <v>8260.4599999999991</v>
      </c>
      <c r="AD106">
        <v>5619.95</v>
      </c>
      <c r="AE106">
        <v>2302.08</v>
      </c>
      <c r="AF106" t="s">
        <v>30</v>
      </c>
      <c r="AG106" t="str">
        <f t="shared" si="22"/>
        <v>Paid</v>
      </c>
      <c r="AH106" t="s">
        <v>66</v>
      </c>
    </row>
    <row r="107" spans="1:34">
      <c r="A107" t="s">
        <v>424</v>
      </c>
      <c r="B107">
        <f>COUNTIF($A:$A,A107)</f>
        <v>1</v>
      </c>
      <c r="C107" t="str">
        <f t="shared" si="12"/>
        <v>Unique</v>
      </c>
      <c r="D107" s="4">
        <v>45467</v>
      </c>
      <c r="E107">
        <f t="shared" si="13"/>
        <v>5</v>
      </c>
      <c r="F107" s="4">
        <v>45472</v>
      </c>
      <c r="G107" t="s">
        <v>425</v>
      </c>
      <c r="H107" t="s">
        <v>34</v>
      </c>
      <c r="I107" t="str">
        <f t="shared" si="14"/>
        <v>Mira Das</v>
      </c>
      <c r="J107" t="s">
        <v>93</v>
      </c>
      <c r="K107" t="str">
        <f t="shared" si="15"/>
        <v>Home Office</v>
      </c>
      <c r="L107" t="s">
        <v>36</v>
      </c>
      <c r="M107" t="str">
        <f t="shared" si="23"/>
        <v>East</v>
      </c>
      <c r="N107" t="s">
        <v>97</v>
      </c>
      <c r="O107" t="str">
        <f t="shared" si="17"/>
        <v>West Bengal</v>
      </c>
      <c r="P107" t="s">
        <v>98</v>
      </c>
      <c r="Q107" t="str">
        <f t="shared" si="18"/>
        <v>Kolkata</v>
      </c>
      <c r="R107" t="s">
        <v>39</v>
      </c>
      <c r="S107" t="str">
        <f t="shared" si="19"/>
        <v>Furniture</v>
      </c>
      <c r="T107" t="s">
        <v>40</v>
      </c>
      <c r="U107" t="str">
        <f t="shared" si="20"/>
        <v>Tables</v>
      </c>
      <c r="V107" t="s">
        <v>426</v>
      </c>
      <c r="X107" t="s">
        <v>29</v>
      </c>
      <c r="Y107" t="str">
        <f t="shared" si="21"/>
        <v>Second Class</v>
      </c>
      <c r="Z107">
        <v>2</v>
      </c>
      <c r="AA107">
        <v>685</v>
      </c>
      <c r="AB107">
        <v>0.1</v>
      </c>
      <c r="AC107">
        <v>1233</v>
      </c>
      <c r="AD107">
        <v>1006.9</v>
      </c>
      <c r="AE107">
        <v>226.1</v>
      </c>
      <c r="AF107" t="s">
        <v>30</v>
      </c>
      <c r="AG107" t="str">
        <f t="shared" si="22"/>
        <v>Paid</v>
      </c>
      <c r="AH107" t="s">
        <v>31</v>
      </c>
    </row>
    <row r="108" spans="1:34">
      <c r="A108" t="s">
        <v>427</v>
      </c>
      <c r="B108">
        <f>COUNTIF($A:$A,A108)</f>
        <v>1</v>
      </c>
      <c r="C108" t="str">
        <f t="shared" si="12"/>
        <v>Unique</v>
      </c>
      <c r="D108" s="4">
        <v>45342</v>
      </c>
      <c r="E108">
        <f t="shared" si="13"/>
        <v>8</v>
      </c>
      <c r="F108" s="4">
        <v>45350</v>
      </c>
      <c r="G108" t="s">
        <v>428</v>
      </c>
      <c r="H108" t="s">
        <v>51</v>
      </c>
      <c r="I108" t="str">
        <f t="shared" si="14"/>
        <v>Arjun Bose</v>
      </c>
      <c r="J108" t="s">
        <v>93</v>
      </c>
      <c r="K108" t="str">
        <f t="shared" si="15"/>
        <v>Home Office</v>
      </c>
      <c r="L108" t="s">
        <v>36</v>
      </c>
      <c r="M108" t="str">
        <f t="shared" si="23"/>
        <v>East</v>
      </c>
      <c r="N108" t="s">
        <v>97</v>
      </c>
      <c r="O108" t="str">
        <f t="shared" si="17"/>
        <v>West Bengal</v>
      </c>
      <c r="P108" t="s">
        <v>98</v>
      </c>
      <c r="Q108" t="str">
        <f t="shared" si="18"/>
        <v>Kolkata</v>
      </c>
      <c r="R108" t="s">
        <v>26</v>
      </c>
      <c r="S108" t="str">
        <f t="shared" si="19"/>
        <v>Office Supplies</v>
      </c>
      <c r="T108" t="s">
        <v>27</v>
      </c>
      <c r="U108" t="str">
        <f t="shared" si="20"/>
        <v>Paper</v>
      </c>
      <c r="V108" t="s">
        <v>429</v>
      </c>
      <c r="X108" t="s">
        <v>57</v>
      </c>
      <c r="Y108" t="str">
        <f t="shared" si="21"/>
        <v>Standard Class</v>
      </c>
      <c r="Z108">
        <v>2</v>
      </c>
      <c r="AA108">
        <v>4004.04</v>
      </c>
      <c r="AC108">
        <v>7207.27</v>
      </c>
      <c r="AD108">
        <v>5709.39</v>
      </c>
      <c r="AE108">
        <v>1497.88</v>
      </c>
      <c r="AF108" t="s">
        <v>30</v>
      </c>
      <c r="AG108" t="str">
        <f t="shared" si="22"/>
        <v>Paid</v>
      </c>
      <c r="AH108" t="s">
        <v>66</v>
      </c>
    </row>
    <row r="109" spans="1:34">
      <c r="A109" t="s">
        <v>430</v>
      </c>
      <c r="B109">
        <f>COUNTIF($A:$A,A109)</f>
        <v>1</v>
      </c>
      <c r="C109" t="str">
        <f t="shared" si="12"/>
        <v>Unique</v>
      </c>
      <c r="D109" s="4">
        <v>45594</v>
      </c>
      <c r="E109">
        <f t="shared" si="13"/>
        <v>-201</v>
      </c>
      <c r="F109" s="4">
        <v>45393</v>
      </c>
      <c r="G109" t="s">
        <v>431</v>
      </c>
      <c r="H109" t="s">
        <v>139</v>
      </c>
      <c r="I109" t="str">
        <f t="shared" si="14"/>
        <v>Rohan Mehta</v>
      </c>
      <c r="J109" t="s">
        <v>93</v>
      </c>
      <c r="K109" t="str">
        <f t="shared" si="15"/>
        <v>Home Office</v>
      </c>
      <c r="L109" t="s">
        <v>36</v>
      </c>
      <c r="M109" t="str">
        <f t="shared" si="23"/>
        <v>East</v>
      </c>
      <c r="N109" t="s">
        <v>97</v>
      </c>
      <c r="O109" t="str">
        <f t="shared" si="17"/>
        <v>West Bengal</v>
      </c>
      <c r="P109" t="s">
        <v>98</v>
      </c>
      <c r="Q109" t="str">
        <f t="shared" si="18"/>
        <v>Kolkata</v>
      </c>
      <c r="R109" t="s">
        <v>39</v>
      </c>
      <c r="S109" t="str">
        <f t="shared" si="19"/>
        <v>Furniture</v>
      </c>
      <c r="T109" t="s">
        <v>55</v>
      </c>
      <c r="U109" t="str">
        <f t="shared" si="20"/>
        <v>Furnishings</v>
      </c>
      <c r="V109" t="s">
        <v>432</v>
      </c>
      <c r="X109" t="s">
        <v>48</v>
      </c>
      <c r="Y109" t="str">
        <f t="shared" si="21"/>
        <v>First Class</v>
      </c>
      <c r="Z109">
        <v>3</v>
      </c>
      <c r="AA109">
        <v>4302.8900000000003</v>
      </c>
      <c r="AB109">
        <v>0.05</v>
      </c>
      <c r="AC109">
        <v>12263.24</v>
      </c>
      <c r="AD109">
        <v>8925.57</v>
      </c>
      <c r="AE109">
        <v>3337.67</v>
      </c>
      <c r="AF109" t="s">
        <v>30</v>
      </c>
      <c r="AG109" t="str">
        <f t="shared" si="22"/>
        <v>Paid</v>
      </c>
      <c r="AH109" t="s">
        <v>31</v>
      </c>
    </row>
    <row r="110" spans="1:34">
      <c r="A110" t="s">
        <v>433</v>
      </c>
      <c r="B110">
        <f>COUNTIF($A:$A,A110)</f>
        <v>1</v>
      </c>
      <c r="C110" t="str">
        <f t="shared" si="12"/>
        <v>Unique</v>
      </c>
      <c r="D110" s="4">
        <v>45519</v>
      </c>
      <c r="E110">
        <f t="shared" si="13"/>
        <v>8</v>
      </c>
      <c r="F110" s="4">
        <v>45527</v>
      </c>
      <c r="G110" t="s">
        <v>434</v>
      </c>
      <c r="H110" t="s">
        <v>87</v>
      </c>
      <c r="I110" t="str">
        <f t="shared" si="14"/>
        <v>Aditi Sen</v>
      </c>
      <c r="J110" t="s">
        <v>35</v>
      </c>
      <c r="K110" t="str">
        <f t="shared" si="15"/>
        <v>Small Business</v>
      </c>
      <c r="L110" t="s">
        <v>36</v>
      </c>
      <c r="M110" t="str">
        <f t="shared" si="23"/>
        <v>East</v>
      </c>
      <c r="N110" t="s">
        <v>37</v>
      </c>
      <c r="O110" t="str">
        <f t="shared" si="17"/>
        <v>Odisha</v>
      </c>
      <c r="P110" t="s">
        <v>38</v>
      </c>
      <c r="Q110" t="str">
        <f t="shared" si="18"/>
        <v>Bhubaneswar</v>
      </c>
      <c r="R110" t="s">
        <v>39</v>
      </c>
      <c r="S110" t="str">
        <f t="shared" si="19"/>
        <v>Furniture</v>
      </c>
      <c r="T110" t="s">
        <v>156</v>
      </c>
      <c r="U110" t="str">
        <f t="shared" si="20"/>
        <v>Bookcases</v>
      </c>
      <c r="V110" t="s">
        <v>435</v>
      </c>
      <c r="X110" t="s">
        <v>42</v>
      </c>
      <c r="Y110" t="str">
        <f t="shared" si="21"/>
        <v>Same Day</v>
      </c>
      <c r="Z110">
        <v>2</v>
      </c>
      <c r="AA110">
        <v>537.54</v>
      </c>
      <c r="AB110">
        <v>0.25</v>
      </c>
      <c r="AC110">
        <v>806.31</v>
      </c>
      <c r="AD110">
        <v>498.5</v>
      </c>
      <c r="AE110">
        <v>307.81</v>
      </c>
      <c r="AF110" t="s">
        <v>30</v>
      </c>
      <c r="AG110" t="str">
        <f t="shared" si="22"/>
        <v>Paid</v>
      </c>
      <c r="AH110" t="s">
        <v>31</v>
      </c>
    </row>
    <row r="111" spans="1:34">
      <c r="A111" t="s">
        <v>436</v>
      </c>
      <c r="B111">
        <f>COUNTIF($A:$A,A111)</f>
        <v>1</v>
      </c>
      <c r="C111" t="str">
        <f t="shared" si="12"/>
        <v>Unique</v>
      </c>
      <c r="D111" s="4">
        <v>45892</v>
      </c>
      <c r="E111">
        <f t="shared" si="13"/>
        <v>4</v>
      </c>
      <c r="F111" s="4">
        <v>45896</v>
      </c>
      <c r="G111" t="s">
        <v>437</v>
      </c>
      <c r="H111" t="s">
        <v>130</v>
      </c>
      <c r="I111" t="str">
        <f t="shared" si="14"/>
        <v>Sneha Kapoor</v>
      </c>
      <c r="J111" t="s">
        <v>22</v>
      </c>
      <c r="K111" t="str">
        <f t="shared" si="15"/>
        <v>Consumer</v>
      </c>
      <c r="L111" t="s">
        <v>23</v>
      </c>
      <c r="M111" t="str">
        <f t="shared" si="23"/>
        <v>North</v>
      </c>
      <c r="N111" t="s">
        <v>349</v>
      </c>
      <c r="O111" t="str">
        <f t="shared" si="17"/>
        <v>Delhi</v>
      </c>
      <c r="P111" t="s">
        <v>350</v>
      </c>
      <c r="Q111" t="str">
        <f t="shared" si="18"/>
        <v>New Delhi</v>
      </c>
      <c r="R111" t="s">
        <v>26</v>
      </c>
      <c r="S111" t="str">
        <f t="shared" si="19"/>
        <v>Office Supplies</v>
      </c>
      <c r="T111" t="s">
        <v>151</v>
      </c>
      <c r="U111" t="str">
        <f t="shared" si="20"/>
        <v>Binders</v>
      </c>
      <c r="V111" t="s">
        <v>438</v>
      </c>
      <c r="X111" t="s">
        <v>29</v>
      </c>
      <c r="Y111" t="str">
        <f t="shared" si="21"/>
        <v>Second Class</v>
      </c>
      <c r="Z111">
        <v>1</v>
      </c>
      <c r="AA111">
        <v>2788.62</v>
      </c>
      <c r="AB111">
        <v>0.25</v>
      </c>
      <c r="AC111">
        <v>2091.4699999999998</v>
      </c>
      <c r="AD111">
        <v>1317.22</v>
      </c>
      <c r="AE111">
        <v>774.25</v>
      </c>
      <c r="AF111" t="s">
        <v>30</v>
      </c>
      <c r="AG111" t="str">
        <f t="shared" si="22"/>
        <v>Paid</v>
      </c>
      <c r="AH111" t="s">
        <v>31</v>
      </c>
    </row>
    <row r="112" spans="1:34">
      <c r="A112" t="s">
        <v>439</v>
      </c>
      <c r="B112">
        <f>COUNTIF($A:$A,A112)</f>
        <v>1</v>
      </c>
      <c r="C112" t="str">
        <f t="shared" si="12"/>
        <v>Unique</v>
      </c>
      <c r="D112" s="4">
        <v>45583</v>
      </c>
      <c r="E112">
        <f t="shared" si="13"/>
        <v>6</v>
      </c>
      <c r="F112" s="4">
        <v>45589</v>
      </c>
      <c r="G112" t="s">
        <v>440</v>
      </c>
      <c r="H112" t="s">
        <v>69</v>
      </c>
      <c r="I112" t="str">
        <f t="shared" si="14"/>
        <v>Vikram Iyer</v>
      </c>
      <c r="J112" t="s">
        <v>88</v>
      </c>
      <c r="K112" t="str">
        <f t="shared" si="15"/>
        <v>Corporate</v>
      </c>
      <c r="L112" t="s">
        <v>52</v>
      </c>
      <c r="M112" t="str">
        <f t="shared" si="23"/>
        <v>South</v>
      </c>
      <c r="N112" t="s">
        <v>183</v>
      </c>
      <c r="O112" t="str">
        <f t="shared" si="17"/>
        <v>Kerala</v>
      </c>
      <c r="P112" t="s">
        <v>184</v>
      </c>
      <c r="Q112" t="str">
        <f t="shared" si="18"/>
        <v>Kochi</v>
      </c>
      <c r="R112" t="s">
        <v>26</v>
      </c>
      <c r="S112" t="str">
        <f t="shared" si="19"/>
        <v>Office Supplies</v>
      </c>
      <c r="T112" t="s">
        <v>89</v>
      </c>
      <c r="U112" t="str">
        <f t="shared" si="20"/>
        <v>Labels</v>
      </c>
      <c r="V112" t="s">
        <v>441</v>
      </c>
      <c r="X112" t="s">
        <v>48</v>
      </c>
      <c r="Y112" t="str">
        <f t="shared" si="21"/>
        <v>First Class</v>
      </c>
      <c r="Z112">
        <v>2</v>
      </c>
      <c r="AA112">
        <v>2250.4699999999998</v>
      </c>
      <c r="AB112">
        <v>0</v>
      </c>
      <c r="AC112">
        <v>4500.9399999999996</v>
      </c>
      <c r="AD112">
        <v>2607.73</v>
      </c>
      <c r="AE112">
        <v>1893.21</v>
      </c>
      <c r="AF112" t="s">
        <v>100</v>
      </c>
      <c r="AG112" t="str">
        <f t="shared" si="22"/>
        <v>Refunded</v>
      </c>
      <c r="AH112" t="s">
        <v>66</v>
      </c>
    </row>
    <row r="113" spans="1:34">
      <c r="A113" t="s">
        <v>442</v>
      </c>
      <c r="B113">
        <f>COUNTIF($A:$A,A113)</f>
        <v>1</v>
      </c>
      <c r="C113" t="str">
        <f t="shared" si="12"/>
        <v>Unique</v>
      </c>
      <c r="D113" s="4">
        <v>45835</v>
      </c>
      <c r="E113">
        <f t="shared" si="13"/>
        <v>3</v>
      </c>
      <c r="F113" s="4">
        <v>45838</v>
      </c>
      <c r="G113" t="s">
        <v>443</v>
      </c>
      <c r="H113" t="s">
        <v>77</v>
      </c>
      <c r="I113" t="str">
        <f t="shared" si="14"/>
        <v>Neha Gupta</v>
      </c>
      <c r="J113" t="s">
        <v>88</v>
      </c>
      <c r="K113" t="str">
        <f t="shared" si="15"/>
        <v>Corporate</v>
      </c>
      <c r="L113" t="s">
        <v>36</v>
      </c>
      <c r="M113" t="str">
        <f t="shared" si="23"/>
        <v>East</v>
      </c>
      <c r="N113" t="s">
        <v>143</v>
      </c>
      <c r="O113" t="str">
        <f t="shared" si="17"/>
        <v>Bihar</v>
      </c>
      <c r="P113" t="s">
        <v>144</v>
      </c>
      <c r="Q113" t="str">
        <f t="shared" si="18"/>
        <v>Patna</v>
      </c>
      <c r="R113" t="s">
        <v>72</v>
      </c>
      <c r="S113" t="str">
        <f t="shared" si="19"/>
        <v>Technology</v>
      </c>
      <c r="T113" t="s">
        <v>73</v>
      </c>
      <c r="U113" t="str">
        <f t="shared" si="20"/>
        <v>Accessories</v>
      </c>
      <c r="V113" t="s">
        <v>444</v>
      </c>
      <c r="X113" t="s">
        <v>48</v>
      </c>
      <c r="Y113" t="str">
        <f t="shared" si="21"/>
        <v>First Class</v>
      </c>
      <c r="Z113">
        <v>1</v>
      </c>
      <c r="AA113">
        <v>1708.44</v>
      </c>
      <c r="AB113">
        <v>0.05</v>
      </c>
      <c r="AC113">
        <v>1623.02</v>
      </c>
      <c r="AD113">
        <v>1077.46</v>
      </c>
      <c r="AE113">
        <v>545.55999999999995</v>
      </c>
      <c r="AF113" t="s">
        <v>109</v>
      </c>
      <c r="AG113" t="str">
        <f t="shared" si="22"/>
        <v>Pending</v>
      </c>
      <c r="AH113" t="s">
        <v>66</v>
      </c>
    </row>
    <row r="114" spans="1:34">
      <c r="A114" t="s">
        <v>445</v>
      </c>
      <c r="B114">
        <f>COUNTIF($A:$A,A114)</f>
        <v>1</v>
      </c>
      <c r="C114" t="str">
        <f t="shared" si="12"/>
        <v>Unique</v>
      </c>
      <c r="D114" s="4">
        <v>45566</v>
      </c>
      <c r="E114">
        <f t="shared" si="13"/>
        <v>-261</v>
      </c>
      <c r="F114" s="4">
        <v>45305</v>
      </c>
      <c r="G114" t="s">
        <v>446</v>
      </c>
      <c r="H114" t="s">
        <v>130</v>
      </c>
      <c r="I114" t="str">
        <f t="shared" si="14"/>
        <v>Sneha Kapoor</v>
      </c>
      <c r="J114" t="s">
        <v>22</v>
      </c>
      <c r="K114" t="str">
        <f t="shared" si="15"/>
        <v>Consumer</v>
      </c>
      <c r="M114" t="s">
        <v>2828</v>
      </c>
      <c r="N114" t="s">
        <v>178</v>
      </c>
      <c r="O114" t="str">
        <f t="shared" si="17"/>
        <v>Gujarat</v>
      </c>
      <c r="P114" t="s">
        <v>179</v>
      </c>
      <c r="Q114" t="str">
        <f t="shared" si="18"/>
        <v>Ahmedabad</v>
      </c>
      <c r="R114" t="s">
        <v>72</v>
      </c>
      <c r="S114" t="str">
        <f t="shared" si="19"/>
        <v>Technology</v>
      </c>
      <c r="T114" t="s">
        <v>73</v>
      </c>
      <c r="U114" t="str">
        <f t="shared" si="20"/>
        <v>Accessories</v>
      </c>
      <c r="V114" t="s">
        <v>447</v>
      </c>
      <c r="X114" t="s">
        <v>57</v>
      </c>
      <c r="Y114" t="str">
        <f t="shared" si="21"/>
        <v>Standard Class</v>
      </c>
      <c r="Z114">
        <v>3</v>
      </c>
      <c r="AA114">
        <v>3829.48</v>
      </c>
      <c r="AB114">
        <v>0.05</v>
      </c>
      <c r="AC114">
        <v>10914.02</v>
      </c>
      <c r="AD114">
        <v>6548.74</v>
      </c>
      <c r="AE114">
        <v>4365.28</v>
      </c>
      <c r="AF114" t="s">
        <v>30</v>
      </c>
      <c r="AG114" t="str">
        <f t="shared" si="22"/>
        <v>Paid</v>
      </c>
      <c r="AH114" t="s">
        <v>31</v>
      </c>
    </row>
    <row r="115" spans="1:34">
      <c r="A115" t="s">
        <v>448</v>
      </c>
      <c r="B115">
        <f>COUNTIF($A:$A,A115)</f>
        <v>1</v>
      </c>
      <c r="C115" t="str">
        <f t="shared" si="12"/>
        <v>Unique</v>
      </c>
      <c r="D115" s="4">
        <v>45628</v>
      </c>
      <c r="E115">
        <f t="shared" si="13"/>
        <v>0</v>
      </c>
      <c r="F115" s="4">
        <v>45628</v>
      </c>
      <c r="G115" t="s">
        <v>359</v>
      </c>
      <c r="H115" t="s">
        <v>45</v>
      </c>
      <c r="I115" t="str">
        <f t="shared" si="14"/>
        <v>Isha Nair</v>
      </c>
      <c r="J115" t="s">
        <v>93</v>
      </c>
      <c r="K115" t="str">
        <f t="shared" si="15"/>
        <v>Home Office</v>
      </c>
      <c r="L115" t="s">
        <v>52</v>
      </c>
      <c r="M115" t="str">
        <f>PROPER(TRIM(L115))</f>
        <v>South</v>
      </c>
      <c r="N115" t="s">
        <v>246</v>
      </c>
      <c r="O115" t="str">
        <f t="shared" si="17"/>
        <v>Tamil Nadu</v>
      </c>
      <c r="P115" t="s">
        <v>247</v>
      </c>
      <c r="Q115" t="str">
        <f t="shared" si="18"/>
        <v>Chennai</v>
      </c>
      <c r="R115" t="s">
        <v>39</v>
      </c>
      <c r="S115" t="str">
        <f t="shared" si="19"/>
        <v>Furniture</v>
      </c>
      <c r="T115" t="s">
        <v>40</v>
      </c>
      <c r="U115" t="str">
        <f t="shared" si="20"/>
        <v>Tables</v>
      </c>
      <c r="V115" t="s">
        <v>449</v>
      </c>
      <c r="X115" t="s">
        <v>57</v>
      </c>
      <c r="Y115" t="str">
        <f t="shared" si="21"/>
        <v>Standard Class</v>
      </c>
      <c r="Z115">
        <v>3</v>
      </c>
      <c r="AA115">
        <v>1089.1500000000001</v>
      </c>
      <c r="AB115">
        <v>0.25</v>
      </c>
      <c r="AC115">
        <v>2450.59</v>
      </c>
      <c r="AD115">
        <v>1639.89</v>
      </c>
      <c r="AE115">
        <v>810.7</v>
      </c>
      <c r="AF115" t="s">
        <v>30</v>
      </c>
      <c r="AG115" t="str">
        <f t="shared" si="22"/>
        <v>Paid</v>
      </c>
      <c r="AH115" t="s">
        <v>31</v>
      </c>
    </row>
    <row r="116" spans="1:34">
      <c r="A116" t="s">
        <v>450</v>
      </c>
      <c r="B116">
        <f>COUNTIF($A:$A,A116)</f>
        <v>1</v>
      </c>
      <c r="C116" t="str">
        <f t="shared" si="12"/>
        <v>Unique</v>
      </c>
      <c r="D116" s="4">
        <v>45560</v>
      </c>
      <c r="E116">
        <f t="shared" si="13"/>
        <v>5</v>
      </c>
      <c r="F116" s="4">
        <v>45565</v>
      </c>
      <c r="G116" t="s">
        <v>451</v>
      </c>
      <c r="H116" t="s">
        <v>77</v>
      </c>
      <c r="I116" t="str">
        <f t="shared" si="14"/>
        <v>Neha Gupta</v>
      </c>
      <c r="J116" t="s">
        <v>35</v>
      </c>
      <c r="K116" t="str">
        <f t="shared" si="15"/>
        <v>Small Business</v>
      </c>
      <c r="L116" t="s">
        <v>23</v>
      </c>
      <c r="M116" t="str">
        <f>PROPER(TRIM(L116))</f>
        <v>North</v>
      </c>
      <c r="N116" t="s">
        <v>24</v>
      </c>
      <c r="O116" t="str">
        <f t="shared" si="17"/>
        <v>Rajasthan</v>
      </c>
      <c r="P116" t="s">
        <v>25</v>
      </c>
      <c r="Q116" t="str">
        <f t="shared" si="18"/>
        <v>Jaipur</v>
      </c>
      <c r="R116" t="s">
        <v>72</v>
      </c>
      <c r="S116" t="str">
        <f t="shared" si="19"/>
        <v>Technology</v>
      </c>
      <c r="T116" t="s">
        <v>73</v>
      </c>
      <c r="U116" t="str">
        <f t="shared" si="20"/>
        <v>Accessories</v>
      </c>
      <c r="V116" t="s">
        <v>452</v>
      </c>
      <c r="X116" t="s">
        <v>29</v>
      </c>
      <c r="Y116" t="str">
        <f t="shared" si="21"/>
        <v>Second Class</v>
      </c>
      <c r="Z116">
        <v>1</v>
      </c>
      <c r="AA116">
        <v>4388.3999999999996</v>
      </c>
      <c r="AB116">
        <v>0.1</v>
      </c>
      <c r="AC116">
        <v>3949.56</v>
      </c>
      <c r="AD116">
        <v>3186.73</v>
      </c>
      <c r="AE116">
        <v>762.83</v>
      </c>
      <c r="AF116" t="s">
        <v>109</v>
      </c>
      <c r="AG116" t="str">
        <f t="shared" si="22"/>
        <v>Pending</v>
      </c>
      <c r="AH116" t="s">
        <v>66</v>
      </c>
    </row>
    <row r="117" spans="1:34">
      <c r="A117" t="s">
        <v>453</v>
      </c>
      <c r="B117">
        <f>COUNTIF($A:$A,A117)</f>
        <v>1</v>
      </c>
      <c r="C117" t="str">
        <f t="shared" si="12"/>
        <v>Unique</v>
      </c>
      <c r="D117" s="4">
        <v>45653</v>
      </c>
      <c r="E117">
        <f t="shared" si="13"/>
        <v>5</v>
      </c>
      <c r="F117" s="4">
        <v>45658</v>
      </c>
      <c r="G117" t="s">
        <v>454</v>
      </c>
      <c r="H117" t="s">
        <v>263</v>
      </c>
      <c r="I117" t="str">
        <f t="shared" si="14"/>
        <v>Kabir Singh</v>
      </c>
      <c r="J117" t="s">
        <v>88</v>
      </c>
      <c r="K117" t="str">
        <f t="shared" si="15"/>
        <v>Corporate</v>
      </c>
      <c r="L117" t="s">
        <v>52</v>
      </c>
      <c r="M117" t="str">
        <f>PROPER(TRIM(L117))</f>
        <v>South</v>
      </c>
      <c r="N117" t="s">
        <v>246</v>
      </c>
      <c r="O117" t="str">
        <f t="shared" si="17"/>
        <v>Tamil Nadu</v>
      </c>
      <c r="P117" t="s">
        <v>247</v>
      </c>
      <c r="Q117" t="str">
        <f t="shared" si="18"/>
        <v>Chennai</v>
      </c>
      <c r="R117" t="s">
        <v>26</v>
      </c>
      <c r="S117" t="str">
        <f t="shared" si="19"/>
        <v>Office Supplies</v>
      </c>
      <c r="T117" t="s">
        <v>151</v>
      </c>
      <c r="U117" t="str">
        <f t="shared" si="20"/>
        <v>Binders</v>
      </c>
      <c r="V117" t="s">
        <v>455</v>
      </c>
      <c r="X117" t="s">
        <v>42</v>
      </c>
      <c r="Y117" t="str">
        <f t="shared" si="21"/>
        <v>Same Day</v>
      </c>
      <c r="Z117">
        <v>2</v>
      </c>
      <c r="AA117">
        <v>446.34</v>
      </c>
      <c r="AB117">
        <v>0.15</v>
      </c>
      <c r="AC117">
        <v>758.78</v>
      </c>
      <c r="AD117">
        <v>490.74</v>
      </c>
      <c r="AE117">
        <v>268.04000000000002</v>
      </c>
      <c r="AF117" t="s">
        <v>30</v>
      </c>
      <c r="AG117" t="str">
        <f t="shared" si="22"/>
        <v>Paid</v>
      </c>
      <c r="AH117" t="s">
        <v>66</v>
      </c>
    </row>
    <row r="118" spans="1:34">
      <c r="A118" t="s">
        <v>456</v>
      </c>
      <c r="B118">
        <f>COUNTIF($A:$A,A118)</f>
        <v>1</v>
      </c>
      <c r="C118" t="str">
        <f t="shared" si="12"/>
        <v>Unique</v>
      </c>
      <c r="D118" s="4">
        <v>45703</v>
      </c>
      <c r="E118">
        <f t="shared" si="13"/>
        <v>4</v>
      </c>
      <c r="F118" s="4">
        <v>45707</v>
      </c>
      <c r="G118" t="s">
        <v>457</v>
      </c>
      <c r="H118" t="s">
        <v>60</v>
      </c>
      <c r="I118" t="str">
        <f t="shared" si="14"/>
        <v>Ananya Rao</v>
      </c>
      <c r="J118" t="s">
        <v>35</v>
      </c>
      <c r="K118" t="str">
        <f t="shared" si="15"/>
        <v>Small Business</v>
      </c>
      <c r="M118" t="s">
        <v>2828</v>
      </c>
      <c r="N118" t="s">
        <v>70</v>
      </c>
      <c r="O118" t="str">
        <f t="shared" si="17"/>
        <v>Madhya Pradesh</v>
      </c>
      <c r="P118" t="s">
        <v>71</v>
      </c>
      <c r="Q118" t="str">
        <f t="shared" si="18"/>
        <v>Indore</v>
      </c>
      <c r="R118" t="s">
        <v>26</v>
      </c>
      <c r="S118" t="str">
        <f t="shared" si="19"/>
        <v>Office Supplies</v>
      </c>
      <c r="T118" t="s">
        <v>151</v>
      </c>
      <c r="U118" t="str">
        <f t="shared" si="20"/>
        <v>Binders</v>
      </c>
      <c r="V118" t="s">
        <v>458</v>
      </c>
      <c r="X118" t="s">
        <v>48</v>
      </c>
      <c r="Y118" t="str">
        <f t="shared" si="21"/>
        <v>First Class</v>
      </c>
      <c r="Z118">
        <v>9</v>
      </c>
      <c r="AA118">
        <v>531.99</v>
      </c>
      <c r="AB118">
        <v>0.25</v>
      </c>
      <c r="AC118">
        <v>3590.93</v>
      </c>
      <c r="AD118">
        <v>3061.39</v>
      </c>
      <c r="AE118">
        <v>529.54</v>
      </c>
      <c r="AF118" t="s">
        <v>153</v>
      </c>
      <c r="AG118" t="str">
        <f t="shared" si="22"/>
        <v>Failed</v>
      </c>
      <c r="AH118" t="s">
        <v>66</v>
      </c>
    </row>
    <row r="119" spans="1:34">
      <c r="A119" t="s">
        <v>459</v>
      </c>
      <c r="B119">
        <f>COUNTIF($A:$A,A119)</f>
        <v>1</v>
      </c>
      <c r="C119" t="str">
        <f t="shared" si="12"/>
        <v>Unique</v>
      </c>
      <c r="D119" s="4">
        <v>45337</v>
      </c>
      <c r="E119">
        <f t="shared" si="13"/>
        <v>2</v>
      </c>
      <c r="F119" s="4">
        <v>45339</v>
      </c>
      <c r="G119" t="s">
        <v>460</v>
      </c>
      <c r="H119" t="s">
        <v>34</v>
      </c>
      <c r="I119" t="str">
        <f t="shared" si="14"/>
        <v>Mira Das</v>
      </c>
      <c r="J119" t="s">
        <v>93</v>
      </c>
      <c r="K119" t="str">
        <f t="shared" si="15"/>
        <v>Home Office</v>
      </c>
      <c r="L119" t="s">
        <v>52</v>
      </c>
      <c r="M119" t="str">
        <f t="shared" ref="M119:M151" si="24">PROPER(TRIM(L119))</f>
        <v>South</v>
      </c>
      <c r="N119" t="s">
        <v>246</v>
      </c>
      <c r="O119" t="str">
        <f t="shared" si="17"/>
        <v>Tamil Nadu</v>
      </c>
      <c r="P119" t="s">
        <v>247</v>
      </c>
      <c r="Q119" t="str">
        <f t="shared" si="18"/>
        <v>Chennai</v>
      </c>
      <c r="R119" t="s">
        <v>72</v>
      </c>
      <c r="S119" t="str">
        <f t="shared" si="19"/>
        <v>Technology</v>
      </c>
      <c r="T119" t="s">
        <v>273</v>
      </c>
      <c r="U119" t="str">
        <f t="shared" si="20"/>
        <v>Machines</v>
      </c>
      <c r="V119" t="s">
        <v>461</v>
      </c>
      <c r="X119" t="s">
        <v>57</v>
      </c>
      <c r="Y119" t="str">
        <f t="shared" si="21"/>
        <v>Standard Class</v>
      </c>
      <c r="Z119">
        <v>9</v>
      </c>
      <c r="AA119">
        <v>3324.55</v>
      </c>
      <c r="AB119" t="s">
        <v>462</v>
      </c>
      <c r="AC119">
        <v>25432.81</v>
      </c>
      <c r="AD119">
        <v>20370.16</v>
      </c>
      <c r="AE119">
        <v>5062.6499999999996</v>
      </c>
      <c r="AF119" t="s">
        <v>30</v>
      </c>
      <c r="AG119" t="str">
        <f t="shared" si="22"/>
        <v>Paid</v>
      </c>
      <c r="AH119" t="s">
        <v>31</v>
      </c>
    </row>
    <row r="120" spans="1:34">
      <c r="A120" t="s">
        <v>463</v>
      </c>
      <c r="B120">
        <f>COUNTIF($A:$A,A120)</f>
        <v>1</v>
      </c>
      <c r="C120" t="str">
        <f t="shared" si="12"/>
        <v>Unique</v>
      </c>
      <c r="D120" s="4">
        <v>45453</v>
      </c>
      <c r="E120">
        <f t="shared" si="13"/>
        <v>8</v>
      </c>
      <c r="F120" s="4">
        <v>45461</v>
      </c>
      <c r="G120" t="s">
        <v>464</v>
      </c>
      <c r="H120" t="s">
        <v>465</v>
      </c>
      <c r="I120" t="str">
        <f t="shared" si="14"/>
        <v>Vikram Iyer</v>
      </c>
      <c r="J120" t="s">
        <v>93</v>
      </c>
      <c r="K120" t="str">
        <f t="shared" si="15"/>
        <v>Home Office</v>
      </c>
      <c r="L120" t="s">
        <v>52</v>
      </c>
      <c r="M120" t="str">
        <f t="shared" si="24"/>
        <v>South</v>
      </c>
      <c r="N120" t="s">
        <v>82</v>
      </c>
      <c r="O120" t="str">
        <f t="shared" si="17"/>
        <v>Andhra Pradesh</v>
      </c>
      <c r="P120" t="s">
        <v>83</v>
      </c>
      <c r="Q120" t="str">
        <f t="shared" si="18"/>
        <v>Vijayawada</v>
      </c>
      <c r="R120" t="s">
        <v>72</v>
      </c>
      <c r="S120" t="str">
        <f t="shared" si="19"/>
        <v>Technology</v>
      </c>
      <c r="T120" t="s">
        <v>78</v>
      </c>
      <c r="U120" t="str">
        <f t="shared" si="20"/>
        <v>Copiers</v>
      </c>
      <c r="V120" t="s">
        <v>466</v>
      </c>
      <c r="X120" t="s">
        <v>42</v>
      </c>
      <c r="Y120" t="str">
        <f t="shared" si="21"/>
        <v>Same Day</v>
      </c>
      <c r="Z120">
        <v>5</v>
      </c>
      <c r="AA120">
        <v>1580.27</v>
      </c>
      <c r="AB120">
        <v>0.2</v>
      </c>
      <c r="AC120">
        <v>6321.08</v>
      </c>
      <c r="AD120">
        <v>4407.22</v>
      </c>
      <c r="AE120">
        <v>1913.86</v>
      </c>
      <c r="AF120" t="s">
        <v>30</v>
      </c>
      <c r="AG120" t="str">
        <f t="shared" si="22"/>
        <v>Paid</v>
      </c>
      <c r="AH120" t="s">
        <v>31</v>
      </c>
    </row>
    <row r="121" spans="1:34">
      <c r="A121" t="s">
        <v>467</v>
      </c>
      <c r="B121">
        <f>COUNTIF($A:$A,A121)</f>
        <v>1</v>
      </c>
      <c r="C121" t="str">
        <f t="shared" si="12"/>
        <v>Unique</v>
      </c>
      <c r="D121" s="4">
        <v>45632</v>
      </c>
      <c r="E121">
        <f t="shared" si="13"/>
        <v>-170</v>
      </c>
      <c r="F121" s="4">
        <v>45462</v>
      </c>
      <c r="G121" t="s">
        <v>468</v>
      </c>
      <c r="H121" t="s">
        <v>87</v>
      </c>
      <c r="I121" t="str">
        <f t="shared" si="14"/>
        <v>Aditi Sen</v>
      </c>
      <c r="J121" t="s">
        <v>35</v>
      </c>
      <c r="K121" t="str">
        <f t="shared" si="15"/>
        <v>Small Business</v>
      </c>
      <c r="L121" t="s">
        <v>52</v>
      </c>
      <c r="M121" t="str">
        <f t="shared" si="24"/>
        <v>South</v>
      </c>
      <c r="N121" t="s">
        <v>183</v>
      </c>
      <c r="O121" t="str">
        <f t="shared" si="17"/>
        <v>Kerala</v>
      </c>
      <c r="P121" t="s">
        <v>184</v>
      </c>
      <c r="Q121" t="str">
        <f t="shared" si="18"/>
        <v>Kochi</v>
      </c>
      <c r="R121" t="s">
        <v>39</v>
      </c>
      <c r="S121" t="str">
        <f t="shared" si="19"/>
        <v>Furniture</v>
      </c>
      <c r="T121" t="s">
        <v>64</v>
      </c>
      <c r="U121" t="str">
        <f t="shared" si="20"/>
        <v>Chairs</v>
      </c>
      <c r="V121" t="s">
        <v>469</v>
      </c>
      <c r="X121" t="s">
        <v>57</v>
      </c>
      <c r="Y121" t="str">
        <f t="shared" si="21"/>
        <v>Standard Class</v>
      </c>
      <c r="Z121">
        <v>8</v>
      </c>
      <c r="AA121">
        <v>314.05</v>
      </c>
      <c r="AB121">
        <v>0.25</v>
      </c>
      <c r="AC121">
        <v>1884.3</v>
      </c>
      <c r="AD121">
        <v>1517.69</v>
      </c>
      <c r="AE121">
        <v>366.61</v>
      </c>
      <c r="AF121" t="s">
        <v>100</v>
      </c>
      <c r="AG121" t="str">
        <f t="shared" si="22"/>
        <v>Refunded</v>
      </c>
      <c r="AH121" t="s">
        <v>101</v>
      </c>
    </row>
    <row r="122" spans="1:34">
      <c r="A122" t="s">
        <v>470</v>
      </c>
      <c r="B122">
        <f>COUNTIF($A:$A,A122)</f>
        <v>1</v>
      </c>
      <c r="C122" t="str">
        <f t="shared" si="12"/>
        <v>Unique</v>
      </c>
      <c r="D122" s="4">
        <v>45573</v>
      </c>
      <c r="E122">
        <f t="shared" si="13"/>
        <v>-51</v>
      </c>
      <c r="F122" s="4">
        <v>45522</v>
      </c>
      <c r="G122" t="s">
        <v>471</v>
      </c>
      <c r="H122" t="s">
        <v>130</v>
      </c>
      <c r="I122" t="str">
        <f t="shared" si="14"/>
        <v>Sneha Kapoor</v>
      </c>
      <c r="J122" t="s">
        <v>35</v>
      </c>
      <c r="K122" t="str">
        <f t="shared" si="15"/>
        <v>Small Business</v>
      </c>
      <c r="L122" t="s">
        <v>36</v>
      </c>
      <c r="M122" t="str">
        <f t="shared" si="24"/>
        <v>East</v>
      </c>
      <c r="N122" t="s">
        <v>143</v>
      </c>
      <c r="O122" t="str">
        <f t="shared" si="17"/>
        <v>Bihar</v>
      </c>
      <c r="P122" t="s">
        <v>144</v>
      </c>
      <c r="Q122" t="str">
        <f t="shared" si="18"/>
        <v>Patna</v>
      </c>
      <c r="R122" t="s">
        <v>72</v>
      </c>
      <c r="S122" t="str">
        <f t="shared" si="19"/>
        <v>Technology</v>
      </c>
      <c r="T122" t="s">
        <v>169</v>
      </c>
      <c r="U122" t="str">
        <f t="shared" si="20"/>
        <v>Phones</v>
      </c>
      <c r="V122" t="s">
        <v>472</v>
      </c>
      <c r="X122" t="s">
        <v>57</v>
      </c>
      <c r="Y122" t="str">
        <f t="shared" si="21"/>
        <v>Standard Class</v>
      </c>
      <c r="Z122">
        <v>1</v>
      </c>
      <c r="AA122">
        <v>1823.67</v>
      </c>
      <c r="AB122">
        <v>0.2</v>
      </c>
      <c r="AC122">
        <v>1458.94</v>
      </c>
      <c r="AD122">
        <v>893.2</v>
      </c>
      <c r="AE122">
        <v>565.74</v>
      </c>
      <c r="AF122" t="s">
        <v>30</v>
      </c>
      <c r="AG122" t="str">
        <f t="shared" si="22"/>
        <v>Paid</v>
      </c>
      <c r="AH122" t="s">
        <v>101</v>
      </c>
    </row>
    <row r="123" spans="1:34">
      <c r="A123" t="s">
        <v>473</v>
      </c>
      <c r="B123">
        <f>COUNTIF($A:$A,A123)</f>
        <v>1</v>
      </c>
      <c r="C123" t="str">
        <f t="shared" si="12"/>
        <v>Unique</v>
      </c>
      <c r="D123" s="4">
        <v>45891</v>
      </c>
      <c r="E123">
        <f t="shared" si="13"/>
        <v>4</v>
      </c>
      <c r="F123" s="4">
        <v>45895</v>
      </c>
      <c r="G123" t="s">
        <v>474</v>
      </c>
      <c r="H123" t="s">
        <v>263</v>
      </c>
      <c r="I123" t="str">
        <f t="shared" si="14"/>
        <v>Kabir Singh</v>
      </c>
      <c r="J123" t="s">
        <v>475</v>
      </c>
      <c r="K123" t="str">
        <f t="shared" si="15"/>
        <v>Small Business</v>
      </c>
      <c r="L123" t="s">
        <v>52</v>
      </c>
      <c r="M123" t="str">
        <f t="shared" si="24"/>
        <v>South</v>
      </c>
      <c r="N123" t="s">
        <v>82</v>
      </c>
      <c r="O123" t="str">
        <f t="shared" si="17"/>
        <v>Andhra Pradesh</v>
      </c>
      <c r="P123" t="s">
        <v>83</v>
      </c>
      <c r="Q123" t="str">
        <f t="shared" si="18"/>
        <v>Vijayawada</v>
      </c>
      <c r="R123" t="s">
        <v>72</v>
      </c>
      <c r="S123" t="str">
        <f t="shared" si="19"/>
        <v>Technology</v>
      </c>
      <c r="T123" t="s">
        <v>273</v>
      </c>
      <c r="U123" t="str">
        <f t="shared" si="20"/>
        <v>Machines</v>
      </c>
      <c r="V123" t="s">
        <v>476</v>
      </c>
      <c r="X123" t="s">
        <v>29</v>
      </c>
      <c r="Y123" t="str">
        <f t="shared" si="21"/>
        <v>Second Class</v>
      </c>
      <c r="Z123">
        <v>5</v>
      </c>
      <c r="AA123">
        <v>3482.92</v>
      </c>
      <c r="AB123">
        <v>0</v>
      </c>
      <c r="AC123">
        <v>17414.599999999999</v>
      </c>
      <c r="AD123">
        <v>11760.91</v>
      </c>
      <c r="AE123">
        <v>5653.69</v>
      </c>
      <c r="AF123" t="s">
        <v>100</v>
      </c>
      <c r="AG123" t="str">
        <f t="shared" si="22"/>
        <v>Refunded</v>
      </c>
      <c r="AH123" t="s">
        <v>66</v>
      </c>
    </row>
    <row r="124" spans="1:34">
      <c r="A124" t="s">
        <v>477</v>
      </c>
      <c r="B124">
        <f>COUNTIF($A:$A,A124)</f>
        <v>1</v>
      </c>
      <c r="C124" t="str">
        <f t="shared" si="12"/>
        <v>Unique</v>
      </c>
      <c r="D124" s="4">
        <v>45626</v>
      </c>
      <c r="E124">
        <f t="shared" si="13"/>
        <v>-232</v>
      </c>
      <c r="F124" s="4">
        <v>45394</v>
      </c>
      <c r="G124" t="s">
        <v>478</v>
      </c>
      <c r="H124" t="s">
        <v>60</v>
      </c>
      <c r="I124" t="str">
        <f t="shared" si="14"/>
        <v>Ananya Rao</v>
      </c>
      <c r="J124" t="s">
        <v>35</v>
      </c>
      <c r="K124" t="str">
        <f t="shared" si="15"/>
        <v>Small Business</v>
      </c>
      <c r="L124" t="s">
        <v>36</v>
      </c>
      <c r="M124" t="str">
        <f t="shared" si="24"/>
        <v>East</v>
      </c>
      <c r="N124" t="s">
        <v>164</v>
      </c>
      <c r="O124" t="str">
        <f t="shared" si="17"/>
        <v>Assam</v>
      </c>
      <c r="P124" t="s">
        <v>165</v>
      </c>
      <c r="Q124" t="str">
        <f t="shared" si="18"/>
        <v>Guwahati</v>
      </c>
      <c r="R124" t="s">
        <v>39</v>
      </c>
      <c r="S124" t="str">
        <f t="shared" si="19"/>
        <v>Furniture</v>
      </c>
      <c r="T124" t="s">
        <v>64</v>
      </c>
      <c r="U124" t="str">
        <f t="shared" si="20"/>
        <v>Chairs</v>
      </c>
      <c r="V124" t="s">
        <v>479</v>
      </c>
      <c r="X124" t="s">
        <v>29</v>
      </c>
      <c r="Y124" t="str">
        <f t="shared" si="21"/>
        <v>Second Class</v>
      </c>
      <c r="Z124">
        <v>3</v>
      </c>
      <c r="AA124">
        <v>170.35</v>
      </c>
      <c r="AB124">
        <v>0</v>
      </c>
      <c r="AC124">
        <v>511.05</v>
      </c>
      <c r="AD124">
        <v>367.18</v>
      </c>
      <c r="AE124">
        <v>143.87</v>
      </c>
      <c r="AF124" t="s">
        <v>30</v>
      </c>
      <c r="AG124" t="str">
        <f t="shared" si="22"/>
        <v>Paid</v>
      </c>
      <c r="AH124" t="s">
        <v>31</v>
      </c>
    </row>
    <row r="125" spans="1:34">
      <c r="A125" t="s">
        <v>480</v>
      </c>
      <c r="B125">
        <f>COUNTIF($A:$A,A125)</f>
        <v>1</v>
      </c>
      <c r="C125" t="str">
        <f t="shared" si="12"/>
        <v>Unique</v>
      </c>
      <c r="D125" s="4">
        <v>45436</v>
      </c>
      <c r="E125">
        <f t="shared" si="13"/>
        <v>1</v>
      </c>
      <c r="F125" s="4">
        <v>45437</v>
      </c>
      <c r="G125" t="s">
        <v>481</v>
      </c>
      <c r="H125" t="s">
        <v>130</v>
      </c>
      <c r="I125" t="str">
        <f t="shared" si="14"/>
        <v>Sneha Kapoor</v>
      </c>
      <c r="J125" t="s">
        <v>35</v>
      </c>
      <c r="K125" t="str">
        <f t="shared" si="15"/>
        <v>Small Business</v>
      </c>
      <c r="L125" t="s">
        <v>482</v>
      </c>
      <c r="M125" t="str">
        <f t="shared" si="24"/>
        <v>North</v>
      </c>
      <c r="N125" t="s">
        <v>120</v>
      </c>
      <c r="O125" t="str">
        <f t="shared" si="17"/>
        <v>Punjab</v>
      </c>
      <c r="P125" t="s">
        <v>121</v>
      </c>
      <c r="Q125" t="str">
        <f t="shared" si="18"/>
        <v>Ludhiana</v>
      </c>
      <c r="R125" t="s">
        <v>72</v>
      </c>
      <c r="S125" t="str">
        <f t="shared" si="19"/>
        <v>Technology</v>
      </c>
      <c r="T125" t="s">
        <v>78</v>
      </c>
      <c r="U125" t="str">
        <f t="shared" si="20"/>
        <v>Copiers</v>
      </c>
      <c r="V125" t="s">
        <v>483</v>
      </c>
      <c r="X125" t="s">
        <v>42</v>
      </c>
      <c r="Y125" t="str">
        <f t="shared" si="21"/>
        <v>Same Day</v>
      </c>
      <c r="Z125">
        <v>1</v>
      </c>
      <c r="AA125">
        <v>634.13</v>
      </c>
      <c r="AB125">
        <v>0</v>
      </c>
      <c r="AC125">
        <v>634.13</v>
      </c>
      <c r="AD125">
        <v>453.35</v>
      </c>
      <c r="AE125">
        <v>180.78</v>
      </c>
      <c r="AF125" t="s">
        <v>100</v>
      </c>
      <c r="AG125" t="str">
        <f t="shared" si="22"/>
        <v>Refunded</v>
      </c>
      <c r="AH125" t="s">
        <v>66</v>
      </c>
    </row>
    <row r="126" spans="1:34">
      <c r="A126" t="s">
        <v>484</v>
      </c>
      <c r="B126">
        <f>COUNTIF($A:$A,A126)</f>
        <v>1</v>
      </c>
      <c r="C126" t="str">
        <f t="shared" si="12"/>
        <v>Unique</v>
      </c>
      <c r="D126" s="4">
        <v>45494</v>
      </c>
      <c r="E126">
        <f t="shared" si="13"/>
        <v>3</v>
      </c>
      <c r="F126" s="4">
        <v>45497</v>
      </c>
      <c r="G126" t="s">
        <v>485</v>
      </c>
      <c r="H126" t="s">
        <v>45</v>
      </c>
      <c r="I126" t="str">
        <f t="shared" si="14"/>
        <v>Isha Nair</v>
      </c>
      <c r="J126" t="s">
        <v>88</v>
      </c>
      <c r="K126" t="str">
        <f t="shared" si="15"/>
        <v>Corporate</v>
      </c>
      <c r="L126" t="s">
        <v>52</v>
      </c>
      <c r="M126" t="str">
        <f t="shared" si="24"/>
        <v>South</v>
      </c>
      <c r="N126" t="s">
        <v>173</v>
      </c>
      <c r="O126" t="str">
        <f t="shared" si="17"/>
        <v>Karnataka</v>
      </c>
      <c r="P126" t="s">
        <v>174</v>
      </c>
      <c r="Q126" t="str">
        <f t="shared" si="18"/>
        <v>Bengaluru</v>
      </c>
      <c r="R126" t="s">
        <v>72</v>
      </c>
      <c r="S126" t="str">
        <f t="shared" si="19"/>
        <v>Technology</v>
      </c>
      <c r="T126" t="s">
        <v>78</v>
      </c>
      <c r="U126" t="str">
        <f t="shared" si="20"/>
        <v>Copiers</v>
      </c>
      <c r="V126" t="s">
        <v>486</v>
      </c>
      <c r="X126" t="s">
        <v>57</v>
      </c>
      <c r="Y126" t="str">
        <f t="shared" si="21"/>
        <v>Standard Class</v>
      </c>
      <c r="Z126">
        <v>9</v>
      </c>
      <c r="AA126">
        <v>465.06</v>
      </c>
      <c r="AB126">
        <v>-0.15</v>
      </c>
      <c r="AC126">
        <v>4185.54</v>
      </c>
      <c r="AD126">
        <v>3443.74</v>
      </c>
      <c r="AE126">
        <v>741.8</v>
      </c>
      <c r="AF126" t="s">
        <v>30</v>
      </c>
      <c r="AG126" t="str">
        <f t="shared" si="22"/>
        <v>Paid</v>
      </c>
      <c r="AH126" t="s">
        <v>31</v>
      </c>
    </row>
    <row r="127" spans="1:34">
      <c r="A127" t="s">
        <v>487</v>
      </c>
      <c r="B127">
        <f>COUNTIF($A:$A,A127)</f>
        <v>1</v>
      </c>
      <c r="C127" t="str">
        <f t="shared" si="12"/>
        <v>Unique</v>
      </c>
      <c r="D127" s="4">
        <v>45855</v>
      </c>
      <c r="E127">
        <f t="shared" si="13"/>
        <v>1</v>
      </c>
      <c r="F127" s="4">
        <v>45856</v>
      </c>
      <c r="G127" t="s">
        <v>488</v>
      </c>
      <c r="H127" t="s">
        <v>77</v>
      </c>
      <c r="I127" t="str">
        <f t="shared" si="14"/>
        <v>Neha Gupta</v>
      </c>
      <c r="J127" t="s">
        <v>35</v>
      </c>
      <c r="K127" t="str">
        <f t="shared" si="15"/>
        <v>Small Business</v>
      </c>
      <c r="L127" t="s">
        <v>61</v>
      </c>
      <c r="M127" t="str">
        <f t="shared" si="24"/>
        <v>West</v>
      </c>
      <c r="N127" t="s">
        <v>24</v>
      </c>
      <c r="O127" t="str">
        <f t="shared" si="17"/>
        <v>Rajasthan</v>
      </c>
      <c r="P127" t="s">
        <v>107</v>
      </c>
      <c r="Q127" t="str">
        <f t="shared" si="18"/>
        <v>Udaipur</v>
      </c>
      <c r="R127" t="s">
        <v>39</v>
      </c>
      <c r="S127" t="str">
        <f t="shared" si="19"/>
        <v>Furniture</v>
      </c>
      <c r="T127" t="s">
        <v>40</v>
      </c>
      <c r="U127" t="str">
        <f t="shared" si="20"/>
        <v>Tables</v>
      </c>
      <c r="V127" t="s">
        <v>489</v>
      </c>
      <c r="X127" t="s">
        <v>42</v>
      </c>
      <c r="Y127" t="str">
        <f t="shared" si="21"/>
        <v>Same Day</v>
      </c>
      <c r="Z127">
        <v>6</v>
      </c>
      <c r="AA127">
        <v>3235.27</v>
      </c>
      <c r="AB127">
        <v>0.25</v>
      </c>
      <c r="AC127">
        <v>14558.72</v>
      </c>
      <c r="AD127">
        <v>9591.48</v>
      </c>
      <c r="AE127">
        <v>4967.24</v>
      </c>
      <c r="AF127" t="s">
        <v>100</v>
      </c>
      <c r="AG127" t="str">
        <f t="shared" si="22"/>
        <v>Refunded</v>
      </c>
      <c r="AH127" t="s">
        <v>101</v>
      </c>
    </row>
    <row r="128" spans="1:34">
      <c r="A128" t="s">
        <v>490</v>
      </c>
      <c r="B128">
        <f>COUNTIF($A:$A,A128)</f>
        <v>1</v>
      </c>
      <c r="C128" t="str">
        <f t="shared" si="12"/>
        <v>Unique</v>
      </c>
      <c r="D128" s="4">
        <v>45924</v>
      </c>
      <c r="E128">
        <f t="shared" si="13"/>
        <v>2</v>
      </c>
      <c r="F128" s="4">
        <v>45926</v>
      </c>
      <c r="G128" t="s">
        <v>491</v>
      </c>
      <c r="H128" t="s">
        <v>112</v>
      </c>
      <c r="I128" t="str">
        <f t="shared" si="14"/>
        <v>Priya Menon</v>
      </c>
      <c r="J128" t="s">
        <v>88</v>
      </c>
      <c r="K128" t="str">
        <f t="shared" si="15"/>
        <v>Corporate</v>
      </c>
      <c r="L128" t="s">
        <v>23</v>
      </c>
      <c r="M128" t="str">
        <f t="shared" si="24"/>
        <v>North</v>
      </c>
      <c r="N128" t="s">
        <v>349</v>
      </c>
      <c r="O128" t="str">
        <f t="shared" si="17"/>
        <v>Delhi</v>
      </c>
      <c r="P128" t="s">
        <v>350</v>
      </c>
      <c r="Q128" t="str">
        <f t="shared" si="18"/>
        <v>New Delhi</v>
      </c>
      <c r="R128" t="s">
        <v>72</v>
      </c>
      <c r="S128" t="str">
        <f t="shared" si="19"/>
        <v>Technology</v>
      </c>
      <c r="T128" t="s">
        <v>78</v>
      </c>
      <c r="U128" t="str">
        <f t="shared" si="20"/>
        <v>Copiers</v>
      </c>
      <c r="V128" t="s">
        <v>492</v>
      </c>
      <c r="X128" t="s">
        <v>57</v>
      </c>
      <c r="Y128" t="str">
        <f t="shared" si="21"/>
        <v>Standard Class</v>
      </c>
      <c r="Z128">
        <v>3</v>
      </c>
      <c r="AA128">
        <v>1593.86</v>
      </c>
      <c r="AB128">
        <v>0.1</v>
      </c>
      <c r="AC128">
        <v>4303.42</v>
      </c>
      <c r="AD128">
        <v>2568.5700000000002</v>
      </c>
      <c r="AE128">
        <v>1734.85</v>
      </c>
      <c r="AF128" t="s">
        <v>30</v>
      </c>
      <c r="AG128" t="str">
        <f t="shared" si="22"/>
        <v>Paid</v>
      </c>
      <c r="AH128" t="s">
        <v>31</v>
      </c>
    </row>
    <row r="129" spans="1:34">
      <c r="A129" t="s">
        <v>493</v>
      </c>
      <c r="B129">
        <f>COUNTIF($A:$A,A129)</f>
        <v>1</v>
      </c>
      <c r="C129" t="str">
        <f t="shared" si="12"/>
        <v>Unique</v>
      </c>
      <c r="D129" s="4">
        <v>45687</v>
      </c>
      <c r="E129">
        <f t="shared" si="13"/>
        <v>-4</v>
      </c>
      <c r="F129" s="4">
        <v>45683</v>
      </c>
      <c r="G129" t="s">
        <v>494</v>
      </c>
      <c r="H129" t="s">
        <v>112</v>
      </c>
      <c r="I129" t="str">
        <f t="shared" si="14"/>
        <v>Priya Menon</v>
      </c>
      <c r="J129" t="s">
        <v>88</v>
      </c>
      <c r="K129" t="str">
        <f t="shared" si="15"/>
        <v>Corporate</v>
      </c>
      <c r="L129" t="s">
        <v>61</v>
      </c>
      <c r="M129" t="str">
        <f t="shared" si="24"/>
        <v>West</v>
      </c>
      <c r="N129" t="s">
        <v>70</v>
      </c>
      <c r="O129" t="str">
        <f t="shared" si="17"/>
        <v>Madhya Pradesh</v>
      </c>
      <c r="P129" t="s">
        <v>71</v>
      </c>
      <c r="Q129" t="str">
        <f t="shared" si="18"/>
        <v>Indore</v>
      </c>
      <c r="R129" t="s">
        <v>26</v>
      </c>
      <c r="S129" t="str">
        <f t="shared" si="19"/>
        <v>Office Supplies</v>
      </c>
      <c r="T129" t="s">
        <v>122</v>
      </c>
      <c r="U129" t="str">
        <f t="shared" si="20"/>
        <v>Storage</v>
      </c>
      <c r="V129" t="s">
        <v>495</v>
      </c>
      <c r="X129" t="s">
        <v>29</v>
      </c>
      <c r="Y129" t="str">
        <f t="shared" si="21"/>
        <v>Second Class</v>
      </c>
      <c r="Z129">
        <v>2</v>
      </c>
      <c r="AA129">
        <v>3039.3</v>
      </c>
      <c r="AB129">
        <v>0.05</v>
      </c>
      <c r="AC129">
        <v>5774.67</v>
      </c>
      <c r="AD129">
        <v>3518.36</v>
      </c>
      <c r="AE129">
        <v>2256.31</v>
      </c>
      <c r="AF129" t="s">
        <v>30</v>
      </c>
      <c r="AG129" t="str">
        <f t="shared" si="22"/>
        <v>Paid</v>
      </c>
      <c r="AH129" t="s">
        <v>31</v>
      </c>
    </row>
    <row r="130" spans="1:34">
      <c r="A130" t="s">
        <v>496</v>
      </c>
      <c r="B130">
        <f>COUNTIF($A:$A,A130)</f>
        <v>1</v>
      </c>
      <c r="C130" t="str">
        <f t="shared" ref="C130:C193" si="25">IF(B130&gt;1,"Review Duplicate ID","Unique")</f>
        <v>Unique</v>
      </c>
      <c r="D130" s="4">
        <v>45639</v>
      </c>
      <c r="E130">
        <f t="shared" ref="E130:E193" si="26">F130-D130</f>
        <v>3</v>
      </c>
      <c r="F130" s="4">
        <v>45642</v>
      </c>
      <c r="G130" t="s">
        <v>497</v>
      </c>
      <c r="H130" t="s">
        <v>77</v>
      </c>
      <c r="I130" t="str">
        <f t="shared" ref="I130:I193" si="27">PROPER(TRIM(H130))</f>
        <v>Neha Gupta</v>
      </c>
      <c r="J130" t="s">
        <v>35</v>
      </c>
      <c r="K130" t="str">
        <f t="shared" ref="K130:K193" si="28">PROPER(TRIM(J130))</f>
        <v>Small Business</v>
      </c>
      <c r="L130" t="s">
        <v>36</v>
      </c>
      <c r="M130" t="str">
        <f t="shared" si="24"/>
        <v>East</v>
      </c>
      <c r="N130" t="s">
        <v>37</v>
      </c>
      <c r="O130" t="str">
        <f t="shared" ref="O130:O193" si="29">PROPER(TRIM(N130))</f>
        <v>Odisha</v>
      </c>
      <c r="P130" t="s">
        <v>38</v>
      </c>
      <c r="Q130" t="str">
        <f t="shared" ref="Q130:Q193" si="30">PROPER(TRIM(P130))</f>
        <v>Bhubaneswar</v>
      </c>
      <c r="R130" t="s">
        <v>39</v>
      </c>
      <c r="S130" t="str">
        <f t="shared" ref="S130:S193" si="31">PROPER(TRIM(R130))</f>
        <v>Furniture</v>
      </c>
      <c r="T130" t="s">
        <v>55</v>
      </c>
      <c r="U130" t="str">
        <f t="shared" ref="U130:U193" si="32">PROPER(TRIM(T130))</f>
        <v>Furnishings</v>
      </c>
      <c r="V130" t="s">
        <v>498</v>
      </c>
      <c r="X130" t="s">
        <v>57</v>
      </c>
      <c r="Y130" t="str">
        <f t="shared" si="21"/>
        <v>Standard Class</v>
      </c>
      <c r="Z130">
        <v>5</v>
      </c>
      <c r="AA130">
        <v>923.45</v>
      </c>
      <c r="AB130">
        <v>0.05</v>
      </c>
      <c r="AC130">
        <v>4386.3900000000003</v>
      </c>
      <c r="AD130">
        <v>3366.88</v>
      </c>
      <c r="AE130">
        <v>1019.51</v>
      </c>
      <c r="AF130" t="s">
        <v>30</v>
      </c>
      <c r="AG130" t="str">
        <f t="shared" si="22"/>
        <v>Paid</v>
      </c>
      <c r="AH130" t="s">
        <v>101</v>
      </c>
    </row>
    <row r="131" spans="1:34">
      <c r="A131" t="s">
        <v>499</v>
      </c>
      <c r="B131">
        <f>COUNTIF($A:$A,A131)</f>
        <v>1</v>
      </c>
      <c r="C131" t="str">
        <f t="shared" si="25"/>
        <v>Unique</v>
      </c>
      <c r="D131" s="4">
        <v>45492</v>
      </c>
      <c r="E131">
        <f t="shared" si="26"/>
        <v>6</v>
      </c>
      <c r="F131" s="4">
        <v>45498</v>
      </c>
      <c r="G131" t="s">
        <v>500</v>
      </c>
      <c r="H131" t="s">
        <v>45</v>
      </c>
      <c r="I131" t="str">
        <f t="shared" si="27"/>
        <v>Isha Nair</v>
      </c>
      <c r="J131" t="s">
        <v>35</v>
      </c>
      <c r="K131" t="str">
        <f t="shared" si="28"/>
        <v>Small Business</v>
      </c>
      <c r="L131" t="s">
        <v>61</v>
      </c>
      <c r="M131" t="str">
        <f t="shared" si="24"/>
        <v>West</v>
      </c>
      <c r="N131" t="s">
        <v>188</v>
      </c>
      <c r="O131" t="str">
        <f t="shared" si="29"/>
        <v>Goa</v>
      </c>
      <c r="P131" t="s">
        <v>189</v>
      </c>
      <c r="Q131" t="str">
        <f t="shared" si="30"/>
        <v>Panaji</v>
      </c>
      <c r="R131" t="s">
        <v>26</v>
      </c>
      <c r="S131" t="str">
        <f t="shared" si="31"/>
        <v>Office Supplies</v>
      </c>
      <c r="T131" t="s">
        <v>151</v>
      </c>
      <c r="U131" t="str">
        <f t="shared" si="32"/>
        <v>Binders</v>
      </c>
      <c r="V131" t="s">
        <v>501</v>
      </c>
      <c r="X131" t="s">
        <v>57</v>
      </c>
      <c r="Y131" t="str">
        <f t="shared" ref="Y131:Y194" si="33">PROPER(TRIM(X131))</f>
        <v>Standard Class</v>
      </c>
      <c r="Z131">
        <v>7</v>
      </c>
      <c r="AA131">
        <v>2741.29</v>
      </c>
      <c r="AB131">
        <v>0.05</v>
      </c>
      <c r="AC131">
        <v>18229.580000000002</v>
      </c>
      <c r="AD131">
        <v>15139.15</v>
      </c>
      <c r="AE131">
        <v>3090.43</v>
      </c>
      <c r="AF131" t="s">
        <v>30</v>
      </c>
      <c r="AG131" t="str">
        <f t="shared" ref="AG131:AG194" si="34">PROPER(TRIM(AF131))</f>
        <v>Paid</v>
      </c>
      <c r="AH131" t="s">
        <v>31</v>
      </c>
    </row>
    <row r="132" spans="1:34">
      <c r="A132" t="s">
        <v>502</v>
      </c>
      <c r="B132">
        <f>COUNTIF($A:$A,A132)</f>
        <v>1</v>
      </c>
      <c r="C132" t="str">
        <f t="shared" si="25"/>
        <v>Unique</v>
      </c>
      <c r="D132" s="4">
        <v>45318</v>
      </c>
      <c r="E132">
        <f t="shared" si="26"/>
        <v>6</v>
      </c>
      <c r="F132" s="4">
        <v>45324</v>
      </c>
      <c r="G132" t="s">
        <v>503</v>
      </c>
      <c r="H132" t="s">
        <v>51</v>
      </c>
      <c r="I132" t="str">
        <f t="shared" si="27"/>
        <v>Arjun Bose</v>
      </c>
      <c r="J132" t="s">
        <v>22</v>
      </c>
      <c r="K132" t="str">
        <f t="shared" si="28"/>
        <v>Consumer</v>
      </c>
      <c r="L132" t="s">
        <v>61</v>
      </c>
      <c r="M132" t="str">
        <f t="shared" si="24"/>
        <v>West</v>
      </c>
      <c r="N132" t="s">
        <v>178</v>
      </c>
      <c r="O132" t="str">
        <f t="shared" si="29"/>
        <v>Gujarat</v>
      </c>
      <c r="P132" t="s">
        <v>179</v>
      </c>
      <c r="Q132" t="str">
        <f t="shared" si="30"/>
        <v>Ahmedabad</v>
      </c>
      <c r="R132" t="s">
        <v>26</v>
      </c>
      <c r="S132" t="str">
        <f t="shared" si="31"/>
        <v>Office Supplies</v>
      </c>
      <c r="T132" t="s">
        <v>89</v>
      </c>
      <c r="U132" t="str">
        <f t="shared" si="32"/>
        <v>Labels</v>
      </c>
      <c r="V132" t="s">
        <v>504</v>
      </c>
      <c r="X132" t="s">
        <v>42</v>
      </c>
      <c r="Y132" t="str">
        <f t="shared" si="33"/>
        <v>Same Day</v>
      </c>
      <c r="Z132">
        <v>5</v>
      </c>
      <c r="AA132">
        <v>218.42</v>
      </c>
      <c r="AB132">
        <v>0.2</v>
      </c>
      <c r="AC132">
        <v>873.68</v>
      </c>
      <c r="AD132">
        <v>661.72</v>
      </c>
      <c r="AE132">
        <v>211.96</v>
      </c>
      <c r="AF132" t="s">
        <v>109</v>
      </c>
      <c r="AG132" t="str">
        <f t="shared" si="34"/>
        <v>Pending</v>
      </c>
      <c r="AH132" t="s">
        <v>66</v>
      </c>
    </row>
    <row r="133" spans="1:34">
      <c r="A133" t="s">
        <v>505</v>
      </c>
      <c r="B133">
        <f>COUNTIF($A:$A,A133)</f>
        <v>1</v>
      </c>
      <c r="C133" t="str">
        <f t="shared" si="25"/>
        <v>Unique</v>
      </c>
      <c r="D133" s="4">
        <v>45929</v>
      </c>
      <c r="E133">
        <f t="shared" si="26"/>
        <v>-172</v>
      </c>
      <c r="F133" s="4">
        <v>45757</v>
      </c>
      <c r="G133" t="s">
        <v>506</v>
      </c>
      <c r="H133" t="s">
        <v>60</v>
      </c>
      <c r="I133" t="str">
        <f t="shared" si="27"/>
        <v>Ananya Rao</v>
      </c>
      <c r="J133" t="s">
        <v>93</v>
      </c>
      <c r="K133" t="str">
        <f t="shared" si="28"/>
        <v>Home Office</v>
      </c>
      <c r="L133" t="s">
        <v>36</v>
      </c>
      <c r="M133" t="str">
        <f t="shared" si="24"/>
        <v>East</v>
      </c>
      <c r="N133" t="s">
        <v>227</v>
      </c>
      <c r="O133" t="str">
        <f t="shared" si="29"/>
        <v>Jharkhand</v>
      </c>
      <c r="P133" t="s">
        <v>228</v>
      </c>
      <c r="Q133" t="str">
        <f t="shared" si="30"/>
        <v>Ranchi</v>
      </c>
      <c r="R133" t="s">
        <v>26</v>
      </c>
      <c r="S133" t="str">
        <f t="shared" si="31"/>
        <v>Office Supplies</v>
      </c>
      <c r="T133" t="s">
        <v>27</v>
      </c>
      <c r="U133" t="str">
        <f t="shared" si="32"/>
        <v>Paper</v>
      </c>
      <c r="V133" t="s">
        <v>507</v>
      </c>
      <c r="X133" t="s">
        <v>42</v>
      </c>
      <c r="Y133" t="str">
        <f t="shared" si="33"/>
        <v>Same Day</v>
      </c>
      <c r="Z133">
        <v>9</v>
      </c>
      <c r="AA133">
        <v>373.91</v>
      </c>
      <c r="AB133">
        <v>0.2</v>
      </c>
      <c r="AC133">
        <v>2692.15</v>
      </c>
      <c r="AD133">
        <v>2044.49</v>
      </c>
      <c r="AE133">
        <v>647.66</v>
      </c>
      <c r="AF133" t="s">
        <v>30</v>
      </c>
      <c r="AG133" t="str">
        <f t="shared" si="34"/>
        <v>Paid</v>
      </c>
      <c r="AH133" t="s">
        <v>31</v>
      </c>
    </row>
    <row r="134" spans="1:34">
      <c r="A134" t="s">
        <v>508</v>
      </c>
      <c r="B134">
        <f>COUNTIF($A:$A,A134)</f>
        <v>1</v>
      </c>
      <c r="C134" t="str">
        <f t="shared" si="25"/>
        <v>Unique</v>
      </c>
      <c r="D134" s="4">
        <v>45393</v>
      </c>
      <c r="E134">
        <f t="shared" si="26"/>
        <v>0</v>
      </c>
      <c r="F134" s="4">
        <v>45393</v>
      </c>
      <c r="G134" t="s">
        <v>509</v>
      </c>
      <c r="H134" t="s">
        <v>263</v>
      </c>
      <c r="I134" t="str">
        <f t="shared" si="27"/>
        <v>Kabir Singh</v>
      </c>
      <c r="J134" t="s">
        <v>88</v>
      </c>
      <c r="K134" t="str">
        <f t="shared" si="28"/>
        <v>Corporate</v>
      </c>
      <c r="L134" t="s">
        <v>36</v>
      </c>
      <c r="M134" t="str">
        <f t="shared" si="24"/>
        <v>East</v>
      </c>
      <c r="N134" t="s">
        <v>164</v>
      </c>
      <c r="O134" t="str">
        <f t="shared" si="29"/>
        <v>Assam</v>
      </c>
      <c r="P134" t="s">
        <v>165</v>
      </c>
      <c r="Q134" t="str">
        <f t="shared" si="30"/>
        <v>Guwahati</v>
      </c>
      <c r="R134" t="s">
        <v>72</v>
      </c>
      <c r="S134" t="str">
        <f t="shared" si="31"/>
        <v>Technology</v>
      </c>
      <c r="T134" t="s">
        <v>273</v>
      </c>
      <c r="U134" t="str">
        <f t="shared" si="32"/>
        <v>Machines</v>
      </c>
      <c r="V134" t="s">
        <v>510</v>
      </c>
      <c r="X134" t="s">
        <v>48</v>
      </c>
      <c r="Y134" t="str">
        <f t="shared" si="33"/>
        <v>First Class</v>
      </c>
      <c r="Z134">
        <v>2</v>
      </c>
      <c r="AA134">
        <v>533.08000000000004</v>
      </c>
      <c r="AB134">
        <v>0</v>
      </c>
      <c r="AC134">
        <v>1066.1600000000001</v>
      </c>
      <c r="AD134">
        <v>656.3</v>
      </c>
      <c r="AE134">
        <v>409.86</v>
      </c>
      <c r="AF134" t="s">
        <v>153</v>
      </c>
      <c r="AG134" t="str">
        <f t="shared" si="34"/>
        <v>Failed</v>
      </c>
      <c r="AH134" t="s">
        <v>66</v>
      </c>
    </row>
    <row r="135" spans="1:34">
      <c r="A135" t="s">
        <v>511</v>
      </c>
      <c r="B135">
        <f>COUNTIF($A:$A,A135)</f>
        <v>1</v>
      </c>
      <c r="C135" t="str">
        <f t="shared" si="25"/>
        <v>Unique</v>
      </c>
      <c r="D135" s="4">
        <v>45639</v>
      </c>
      <c r="E135">
        <f t="shared" si="26"/>
        <v>5</v>
      </c>
      <c r="F135" s="4">
        <v>45644</v>
      </c>
      <c r="G135" t="s">
        <v>512</v>
      </c>
      <c r="H135" t="s">
        <v>21</v>
      </c>
      <c r="I135" t="str">
        <f t="shared" si="27"/>
        <v>Karan Malhotra</v>
      </c>
      <c r="J135" t="s">
        <v>22</v>
      </c>
      <c r="K135" t="str">
        <f t="shared" si="28"/>
        <v>Consumer</v>
      </c>
      <c r="L135" t="s">
        <v>61</v>
      </c>
      <c r="M135" t="str">
        <f t="shared" si="24"/>
        <v>West</v>
      </c>
      <c r="N135" t="s">
        <v>188</v>
      </c>
      <c r="O135" t="str">
        <f t="shared" si="29"/>
        <v>Goa</v>
      </c>
      <c r="P135" t="s">
        <v>189</v>
      </c>
      <c r="Q135" t="str">
        <f t="shared" si="30"/>
        <v>Panaji</v>
      </c>
      <c r="R135" t="s">
        <v>72</v>
      </c>
      <c r="S135" t="str">
        <f t="shared" si="31"/>
        <v>Technology</v>
      </c>
      <c r="T135" t="s">
        <v>169</v>
      </c>
      <c r="U135" t="str">
        <f t="shared" si="32"/>
        <v>Phones</v>
      </c>
      <c r="V135" t="s">
        <v>513</v>
      </c>
      <c r="X135" t="s">
        <v>29</v>
      </c>
      <c r="Y135" t="str">
        <f t="shared" si="33"/>
        <v>Second Class</v>
      </c>
      <c r="Z135">
        <v>8</v>
      </c>
      <c r="AA135">
        <v>3372.15</v>
      </c>
      <c r="AB135">
        <v>0.15</v>
      </c>
      <c r="AC135">
        <v>22930.62</v>
      </c>
      <c r="AD135">
        <v>16875.55</v>
      </c>
      <c r="AE135">
        <v>6055.07</v>
      </c>
      <c r="AF135" t="s">
        <v>30</v>
      </c>
      <c r="AG135" t="str">
        <f t="shared" si="34"/>
        <v>Paid</v>
      </c>
      <c r="AH135" t="s">
        <v>31</v>
      </c>
    </row>
    <row r="136" spans="1:34">
      <c r="A136" t="s">
        <v>514</v>
      </c>
      <c r="B136">
        <f>COUNTIF($A:$A,A136)</f>
        <v>1</v>
      </c>
      <c r="C136" t="str">
        <f t="shared" si="25"/>
        <v>Unique</v>
      </c>
      <c r="D136" s="4">
        <v>45852</v>
      </c>
      <c r="E136">
        <f t="shared" si="26"/>
        <v>0</v>
      </c>
      <c r="F136" s="4">
        <v>45852</v>
      </c>
      <c r="G136" t="s">
        <v>515</v>
      </c>
      <c r="H136" t="s">
        <v>69</v>
      </c>
      <c r="I136" t="str">
        <f t="shared" si="27"/>
        <v>Vikram Iyer</v>
      </c>
      <c r="J136" t="s">
        <v>93</v>
      </c>
      <c r="K136" t="str">
        <f t="shared" si="28"/>
        <v>Home Office</v>
      </c>
      <c r="L136" t="s">
        <v>36</v>
      </c>
      <c r="M136" t="str">
        <f t="shared" si="24"/>
        <v>East</v>
      </c>
      <c r="N136" t="s">
        <v>97</v>
      </c>
      <c r="O136" t="str">
        <f t="shared" si="29"/>
        <v>West Bengal</v>
      </c>
      <c r="P136" t="s">
        <v>98</v>
      </c>
      <c r="Q136" t="str">
        <f t="shared" si="30"/>
        <v>Kolkata</v>
      </c>
      <c r="R136" t="s">
        <v>39</v>
      </c>
      <c r="S136" t="str">
        <f t="shared" si="31"/>
        <v>Furniture</v>
      </c>
      <c r="T136" t="s">
        <v>156</v>
      </c>
      <c r="U136" t="str">
        <f t="shared" si="32"/>
        <v>Bookcases</v>
      </c>
      <c r="V136" t="s">
        <v>516</v>
      </c>
      <c r="Y136" t="s">
        <v>2828</v>
      </c>
      <c r="Z136">
        <v>5</v>
      </c>
      <c r="AA136">
        <v>383.1</v>
      </c>
      <c r="AB136">
        <v>0.25</v>
      </c>
      <c r="AC136">
        <v>1436.62</v>
      </c>
      <c r="AD136">
        <v>912.52</v>
      </c>
      <c r="AE136">
        <v>524.1</v>
      </c>
      <c r="AF136" t="s">
        <v>109</v>
      </c>
      <c r="AG136" t="str">
        <f t="shared" si="34"/>
        <v>Pending</v>
      </c>
      <c r="AH136" t="s">
        <v>66</v>
      </c>
    </row>
    <row r="137" spans="1:34">
      <c r="A137" t="s">
        <v>517</v>
      </c>
      <c r="B137">
        <f>COUNTIF($A:$A,A137)</f>
        <v>1</v>
      </c>
      <c r="C137" t="str">
        <f t="shared" si="25"/>
        <v>Unique</v>
      </c>
      <c r="D137" s="4">
        <v>45893</v>
      </c>
      <c r="E137">
        <f t="shared" si="26"/>
        <v>0</v>
      </c>
      <c r="F137" s="4">
        <v>45893</v>
      </c>
      <c r="G137" t="s">
        <v>518</v>
      </c>
      <c r="H137" t="s">
        <v>160</v>
      </c>
      <c r="I137" t="str">
        <f t="shared" si="27"/>
        <v>Diya Patel</v>
      </c>
      <c r="J137" t="s">
        <v>35</v>
      </c>
      <c r="K137" t="str">
        <f t="shared" si="28"/>
        <v>Small Business</v>
      </c>
      <c r="L137" t="s">
        <v>52</v>
      </c>
      <c r="M137" t="str">
        <f t="shared" si="24"/>
        <v>South</v>
      </c>
      <c r="N137" t="s">
        <v>183</v>
      </c>
      <c r="O137" t="str">
        <f t="shared" si="29"/>
        <v>Kerala</v>
      </c>
      <c r="P137" t="s">
        <v>184</v>
      </c>
      <c r="Q137" t="str">
        <f t="shared" si="30"/>
        <v>Kochi</v>
      </c>
      <c r="R137" t="s">
        <v>39</v>
      </c>
      <c r="S137" t="str">
        <f t="shared" si="31"/>
        <v>Furniture</v>
      </c>
      <c r="T137" t="s">
        <v>156</v>
      </c>
      <c r="U137" t="str">
        <f t="shared" si="32"/>
        <v>Bookcases</v>
      </c>
      <c r="V137" t="s">
        <v>519</v>
      </c>
      <c r="X137" t="s">
        <v>57</v>
      </c>
      <c r="Y137" t="str">
        <f t="shared" si="33"/>
        <v>Standard Class</v>
      </c>
      <c r="Z137">
        <v>1</v>
      </c>
      <c r="AA137">
        <v>3424.78</v>
      </c>
      <c r="AB137">
        <v>0</v>
      </c>
      <c r="AC137">
        <v>3424.78</v>
      </c>
      <c r="AD137">
        <v>1951.45</v>
      </c>
      <c r="AE137">
        <v>1473.33</v>
      </c>
      <c r="AF137" t="s">
        <v>30</v>
      </c>
      <c r="AG137" t="str">
        <f t="shared" si="34"/>
        <v>Paid</v>
      </c>
      <c r="AH137" t="s">
        <v>31</v>
      </c>
    </row>
    <row r="138" spans="1:34">
      <c r="A138" t="s">
        <v>520</v>
      </c>
      <c r="B138">
        <f>COUNTIF($A:$A,A138)</f>
        <v>1</v>
      </c>
      <c r="C138" t="str">
        <f t="shared" si="25"/>
        <v>Unique</v>
      </c>
      <c r="D138" s="4">
        <v>45902</v>
      </c>
      <c r="E138">
        <f t="shared" si="26"/>
        <v>-199</v>
      </c>
      <c r="F138" s="4">
        <v>45703</v>
      </c>
      <c r="G138" t="s">
        <v>521</v>
      </c>
      <c r="H138" t="s">
        <v>34</v>
      </c>
      <c r="I138" t="str">
        <f t="shared" si="27"/>
        <v>Mira Das</v>
      </c>
      <c r="J138" t="s">
        <v>93</v>
      </c>
      <c r="K138" t="str">
        <f t="shared" si="28"/>
        <v>Home Office</v>
      </c>
      <c r="L138" t="s">
        <v>36</v>
      </c>
      <c r="M138" t="str">
        <f t="shared" si="24"/>
        <v>East</v>
      </c>
      <c r="N138" t="s">
        <v>227</v>
      </c>
      <c r="O138" t="str">
        <f t="shared" si="29"/>
        <v>Jharkhand</v>
      </c>
      <c r="P138" t="s">
        <v>228</v>
      </c>
      <c r="Q138" t="str">
        <f t="shared" si="30"/>
        <v>Ranchi</v>
      </c>
      <c r="R138" t="s">
        <v>26</v>
      </c>
      <c r="S138" t="str">
        <f t="shared" si="31"/>
        <v>Office Supplies</v>
      </c>
      <c r="T138" t="s">
        <v>151</v>
      </c>
      <c r="U138" t="str">
        <f t="shared" si="32"/>
        <v>Binders</v>
      </c>
      <c r="V138" t="s">
        <v>522</v>
      </c>
      <c r="X138" t="s">
        <v>523</v>
      </c>
      <c r="Y138" t="str">
        <f t="shared" si="33"/>
        <v>Standard Class</v>
      </c>
      <c r="Z138">
        <v>9</v>
      </c>
      <c r="AA138">
        <v>4330.33</v>
      </c>
      <c r="AB138">
        <v>0.2</v>
      </c>
      <c r="AC138">
        <v>31178.38</v>
      </c>
      <c r="AD138">
        <v>21421.09</v>
      </c>
      <c r="AE138">
        <v>9757.2900000000009</v>
      </c>
      <c r="AF138" t="s">
        <v>30</v>
      </c>
      <c r="AG138" t="str">
        <f t="shared" si="34"/>
        <v>Paid</v>
      </c>
      <c r="AH138" t="s">
        <v>31</v>
      </c>
    </row>
    <row r="139" spans="1:34">
      <c r="A139" t="s">
        <v>524</v>
      </c>
      <c r="B139">
        <f>COUNTIF($A:$A,A139)</f>
        <v>1</v>
      </c>
      <c r="C139" t="str">
        <f t="shared" si="25"/>
        <v>Unique</v>
      </c>
      <c r="D139" s="4">
        <v>45666</v>
      </c>
      <c r="E139">
        <f t="shared" si="26"/>
        <v>235</v>
      </c>
      <c r="F139" s="4">
        <v>45901</v>
      </c>
      <c r="G139" t="s">
        <v>525</v>
      </c>
      <c r="H139" t="s">
        <v>130</v>
      </c>
      <c r="I139" t="str">
        <f t="shared" si="27"/>
        <v>Sneha Kapoor</v>
      </c>
      <c r="J139" t="s">
        <v>35</v>
      </c>
      <c r="K139" t="str">
        <f t="shared" si="28"/>
        <v>Small Business</v>
      </c>
      <c r="L139" t="s">
        <v>23</v>
      </c>
      <c r="M139" t="str">
        <f t="shared" si="24"/>
        <v>North</v>
      </c>
      <c r="N139" t="s">
        <v>24</v>
      </c>
      <c r="O139" t="str">
        <f t="shared" si="29"/>
        <v>Rajasthan</v>
      </c>
      <c r="P139" t="s">
        <v>25</v>
      </c>
      <c r="Q139" t="str">
        <f t="shared" si="30"/>
        <v>Jaipur</v>
      </c>
      <c r="R139" t="s">
        <v>39</v>
      </c>
      <c r="S139" t="str">
        <f t="shared" si="31"/>
        <v>Furniture</v>
      </c>
      <c r="T139" t="s">
        <v>64</v>
      </c>
      <c r="U139" t="str">
        <f t="shared" si="32"/>
        <v>Chairs</v>
      </c>
      <c r="V139" t="s">
        <v>526</v>
      </c>
      <c r="X139" t="s">
        <v>42</v>
      </c>
      <c r="Y139" t="str">
        <f t="shared" si="33"/>
        <v>Same Day</v>
      </c>
      <c r="Z139">
        <v>8</v>
      </c>
      <c r="AA139">
        <v>2667.07</v>
      </c>
      <c r="AB139">
        <v>0.1</v>
      </c>
      <c r="AC139">
        <v>19202.900000000001</v>
      </c>
      <c r="AD139">
        <v>15526.62</v>
      </c>
      <c r="AE139">
        <v>3676.28</v>
      </c>
      <c r="AF139" t="s">
        <v>30</v>
      </c>
      <c r="AG139" t="str">
        <f t="shared" si="34"/>
        <v>Paid</v>
      </c>
      <c r="AH139" t="s">
        <v>31</v>
      </c>
    </row>
    <row r="140" spans="1:34">
      <c r="A140" t="s">
        <v>527</v>
      </c>
      <c r="B140">
        <f>COUNTIF($A:$A,A140)</f>
        <v>1</v>
      </c>
      <c r="C140" t="str">
        <f t="shared" si="25"/>
        <v>Unique</v>
      </c>
      <c r="D140" s="4">
        <v>45311</v>
      </c>
      <c r="E140">
        <f t="shared" si="26"/>
        <v>6</v>
      </c>
      <c r="F140" s="4">
        <v>45317</v>
      </c>
      <c r="G140" t="s">
        <v>528</v>
      </c>
      <c r="H140" t="s">
        <v>160</v>
      </c>
      <c r="I140" t="str">
        <f t="shared" si="27"/>
        <v>Diya Patel</v>
      </c>
      <c r="J140" t="s">
        <v>93</v>
      </c>
      <c r="K140" t="str">
        <f t="shared" si="28"/>
        <v>Home Office</v>
      </c>
      <c r="L140" t="s">
        <v>36</v>
      </c>
      <c r="M140" t="str">
        <f t="shared" si="24"/>
        <v>East</v>
      </c>
      <c r="N140" t="s">
        <v>227</v>
      </c>
      <c r="O140" t="str">
        <f t="shared" si="29"/>
        <v>Jharkhand</v>
      </c>
      <c r="P140" t="s">
        <v>228</v>
      </c>
      <c r="Q140" t="str">
        <f t="shared" si="30"/>
        <v>Ranchi</v>
      </c>
      <c r="R140" t="s">
        <v>72</v>
      </c>
      <c r="S140" t="str">
        <f t="shared" si="31"/>
        <v>Technology</v>
      </c>
      <c r="T140" t="s">
        <v>273</v>
      </c>
      <c r="U140" t="str">
        <f t="shared" si="32"/>
        <v>Machines</v>
      </c>
      <c r="V140" t="s">
        <v>529</v>
      </c>
      <c r="X140" t="s">
        <v>57</v>
      </c>
      <c r="Y140" t="str">
        <f t="shared" si="33"/>
        <v>Standard Class</v>
      </c>
      <c r="Z140">
        <v>8</v>
      </c>
      <c r="AA140">
        <v>4003.05</v>
      </c>
      <c r="AB140">
        <v>0.25</v>
      </c>
      <c r="AC140">
        <v>24018.3</v>
      </c>
      <c r="AD140">
        <v>14070.78</v>
      </c>
      <c r="AE140">
        <v>9947.52</v>
      </c>
      <c r="AF140" t="s">
        <v>30</v>
      </c>
      <c r="AG140" t="str">
        <f t="shared" si="34"/>
        <v>Paid</v>
      </c>
      <c r="AH140" t="s">
        <v>31</v>
      </c>
    </row>
    <row r="141" spans="1:34">
      <c r="A141" t="s">
        <v>530</v>
      </c>
      <c r="B141">
        <f>COUNTIF($A:$A,A141)</f>
        <v>1</v>
      </c>
      <c r="C141" t="str">
        <f t="shared" si="25"/>
        <v>Unique</v>
      </c>
      <c r="D141" s="4">
        <v>45718</v>
      </c>
      <c r="E141">
        <f t="shared" si="26"/>
        <v>123</v>
      </c>
      <c r="F141" s="4">
        <v>45841</v>
      </c>
      <c r="G141" t="s">
        <v>531</v>
      </c>
      <c r="H141" t="s">
        <v>77</v>
      </c>
      <c r="I141" t="str">
        <f t="shared" si="27"/>
        <v>Neha Gupta</v>
      </c>
      <c r="J141" t="s">
        <v>93</v>
      </c>
      <c r="K141" t="str">
        <f t="shared" si="28"/>
        <v>Home Office</v>
      </c>
      <c r="L141" t="s">
        <v>52</v>
      </c>
      <c r="M141" t="str">
        <f t="shared" si="24"/>
        <v>South</v>
      </c>
      <c r="N141" t="s">
        <v>173</v>
      </c>
      <c r="O141" t="str">
        <f t="shared" si="29"/>
        <v>Karnataka</v>
      </c>
      <c r="P141" t="s">
        <v>174</v>
      </c>
      <c r="Q141" t="str">
        <f t="shared" si="30"/>
        <v>Bengaluru</v>
      </c>
      <c r="R141" t="s">
        <v>26</v>
      </c>
      <c r="S141" t="str">
        <f t="shared" si="31"/>
        <v>Office Supplies</v>
      </c>
      <c r="T141" t="s">
        <v>89</v>
      </c>
      <c r="U141" t="str">
        <f t="shared" si="32"/>
        <v>Labels</v>
      </c>
      <c r="V141" t="s">
        <v>532</v>
      </c>
      <c r="X141" t="s">
        <v>57</v>
      </c>
      <c r="Y141" t="str">
        <f t="shared" si="33"/>
        <v>Standard Class</v>
      </c>
      <c r="Z141">
        <v>8</v>
      </c>
      <c r="AA141">
        <v>1287.6300000000001</v>
      </c>
      <c r="AB141">
        <v>0</v>
      </c>
      <c r="AC141">
        <v>10301.040000000001</v>
      </c>
      <c r="AD141">
        <v>6564.06</v>
      </c>
      <c r="AE141">
        <v>3736.98</v>
      </c>
      <c r="AF141" t="s">
        <v>30</v>
      </c>
      <c r="AG141" t="str">
        <f t="shared" si="34"/>
        <v>Paid</v>
      </c>
      <c r="AH141" t="s">
        <v>31</v>
      </c>
    </row>
    <row r="142" spans="1:34">
      <c r="A142" t="s">
        <v>533</v>
      </c>
      <c r="B142">
        <f>COUNTIF($A:$A,A142)</f>
        <v>1</v>
      </c>
      <c r="C142" t="str">
        <f t="shared" si="25"/>
        <v>Unique</v>
      </c>
      <c r="D142" s="4">
        <v>45443</v>
      </c>
      <c r="E142">
        <f t="shared" si="26"/>
        <v>-146</v>
      </c>
      <c r="F142" s="4">
        <v>45297</v>
      </c>
      <c r="G142" t="s">
        <v>534</v>
      </c>
      <c r="H142" t="s">
        <v>34</v>
      </c>
      <c r="I142" t="str">
        <f t="shared" si="27"/>
        <v>Mira Das</v>
      </c>
      <c r="J142" t="s">
        <v>88</v>
      </c>
      <c r="K142" t="str">
        <f t="shared" si="28"/>
        <v>Corporate</v>
      </c>
      <c r="L142" t="s">
        <v>52</v>
      </c>
      <c r="M142" t="str">
        <f t="shared" si="24"/>
        <v>South</v>
      </c>
      <c r="N142" t="s">
        <v>173</v>
      </c>
      <c r="O142" t="str">
        <f t="shared" si="29"/>
        <v>Karnataka</v>
      </c>
      <c r="P142" t="s">
        <v>174</v>
      </c>
      <c r="Q142" t="str">
        <f t="shared" si="30"/>
        <v>Bengaluru</v>
      </c>
      <c r="R142" t="s">
        <v>39</v>
      </c>
      <c r="S142" t="str">
        <f t="shared" si="31"/>
        <v>Furniture</v>
      </c>
      <c r="T142" t="s">
        <v>156</v>
      </c>
      <c r="U142" t="str">
        <f t="shared" si="32"/>
        <v>Bookcases</v>
      </c>
      <c r="V142" t="s">
        <v>535</v>
      </c>
      <c r="X142" t="s">
        <v>42</v>
      </c>
      <c r="Y142" t="str">
        <f t="shared" si="33"/>
        <v>Same Day</v>
      </c>
      <c r="Z142">
        <v>3</v>
      </c>
      <c r="AA142">
        <v>2914.55</v>
      </c>
      <c r="AB142">
        <v>0</v>
      </c>
      <c r="AC142">
        <v>8743.65</v>
      </c>
      <c r="AD142">
        <v>6603.76</v>
      </c>
      <c r="AE142">
        <v>2139.89</v>
      </c>
      <c r="AF142" t="s">
        <v>30</v>
      </c>
      <c r="AG142" t="str">
        <f t="shared" si="34"/>
        <v>Paid</v>
      </c>
      <c r="AH142" t="s">
        <v>31</v>
      </c>
    </row>
    <row r="143" spans="1:34">
      <c r="A143" t="s">
        <v>536</v>
      </c>
      <c r="B143">
        <f>COUNTIF($A:$A,A143)</f>
        <v>1</v>
      </c>
      <c r="C143" t="str">
        <f t="shared" si="25"/>
        <v>Unique</v>
      </c>
      <c r="D143" s="4">
        <v>45374</v>
      </c>
      <c r="E143">
        <f t="shared" si="26"/>
        <v>6</v>
      </c>
      <c r="F143" s="4">
        <v>45380</v>
      </c>
      <c r="G143" t="s">
        <v>537</v>
      </c>
      <c r="H143" t="s">
        <v>112</v>
      </c>
      <c r="I143" t="str">
        <f t="shared" si="27"/>
        <v>Priya Menon</v>
      </c>
      <c r="J143" t="s">
        <v>88</v>
      </c>
      <c r="K143" t="str">
        <f t="shared" si="28"/>
        <v>Corporate</v>
      </c>
      <c r="L143" t="s">
        <v>23</v>
      </c>
      <c r="M143" t="str">
        <f t="shared" si="24"/>
        <v>North</v>
      </c>
      <c r="N143" t="s">
        <v>349</v>
      </c>
      <c r="O143" t="str">
        <f t="shared" si="29"/>
        <v>Delhi</v>
      </c>
      <c r="P143" t="s">
        <v>350</v>
      </c>
      <c r="Q143" t="str">
        <f t="shared" si="30"/>
        <v>New Delhi</v>
      </c>
      <c r="R143" t="s">
        <v>39</v>
      </c>
      <c r="S143" t="str">
        <f t="shared" si="31"/>
        <v>Furniture</v>
      </c>
      <c r="T143" t="s">
        <v>156</v>
      </c>
      <c r="U143" t="str">
        <f t="shared" si="32"/>
        <v>Bookcases</v>
      </c>
      <c r="V143" t="s">
        <v>538</v>
      </c>
      <c r="X143" t="s">
        <v>42</v>
      </c>
      <c r="Y143" t="str">
        <f t="shared" si="33"/>
        <v>Same Day</v>
      </c>
      <c r="Z143">
        <v>7</v>
      </c>
      <c r="AA143">
        <v>634.29</v>
      </c>
      <c r="AB143">
        <v>0.1</v>
      </c>
      <c r="AC143">
        <v>3996.03</v>
      </c>
      <c r="AD143">
        <v>2859.51</v>
      </c>
      <c r="AE143">
        <v>1136.52</v>
      </c>
      <c r="AF143" t="s">
        <v>30</v>
      </c>
      <c r="AG143" t="str">
        <f t="shared" si="34"/>
        <v>Paid</v>
      </c>
      <c r="AH143" t="s">
        <v>101</v>
      </c>
    </row>
    <row r="144" spans="1:34">
      <c r="A144" t="s">
        <v>539</v>
      </c>
      <c r="B144">
        <f>COUNTIF($A:$A,A144)</f>
        <v>1</v>
      </c>
      <c r="C144" t="str">
        <f t="shared" si="25"/>
        <v>Unique</v>
      </c>
      <c r="D144" s="4">
        <v>45381</v>
      </c>
      <c r="E144">
        <f t="shared" si="26"/>
        <v>-4</v>
      </c>
      <c r="F144" s="4">
        <v>45377</v>
      </c>
      <c r="G144" t="s">
        <v>540</v>
      </c>
      <c r="H144" t="s">
        <v>87</v>
      </c>
      <c r="I144" t="str">
        <f t="shared" si="27"/>
        <v>Aditi Sen</v>
      </c>
      <c r="J144" t="s">
        <v>93</v>
      </c>
      <c r="K144" t="str">
        <f t="shared" si="28"/>
        <v>Home Office</v>
      </c>
      <c r="L144" t="s">
        <v>23</v>
      </c>
      <c r="M144" t="str">
        <f t="shared" si="24"/>
        <v>North</v>
      </c>
      <c r="N144" t="s">
        <v>24</v>
      </c>
      <c r="O144" t="str">
        <f t="shared" si="29"/>
        <v>Rajasthan</v>
      </c>
      <c r="P144" t="s">
        <v>25</v>
      </c>
      <c r="Q144" t="str">
        <f t="shared" si="30"/>
        <v>Jaipur</v>
      </c>
      <c r="R144" t="s">
        <v>72</v>
      </c>
      <c r="S144" t="str">
        <f t="shared" si="31"/>
        <v>Technology</v>
      </c>
      <c r="T144" t="s">
        <v>169</v>
      </c>
      <c r="U144" t="str">
        <f t="shared" si="32"/>
        <v>Phones</v>
      </c>
      <c r="V144" t="s">
        <v>541</v>
      </c>
      <c r="X144" t="s">
        <v>29</v>
      </c>
      <c r="Y144" t="str">
        <f t="shared" si="33"/>
        <v>Second Class</v>
      </c>
      <c r="Z144">
        <v>5</v>
      </c>
      <c r="AA144">
        <v>907.54</v>
      </c>
      <c r="AB144">
        <v>0.15</v>
      </c>
      <c r="AC144">
        <v>3857.04</v>
      </c>
      <c r="AD144">
        <v>2769.26</v>
      </c>
      <c r="AE144">
        <v>1087.78</v>
      </c>
      <c r="AF144" t="s">
        <v>30</v>
      </c>
      <c r="AG144" t="str">
        <f t="shared" si="34"/>
        <v>Paid</v>
      </c>
      <c r="AH144" t="s">
        <v>31</v>
      </c>
    </row>
    <row r="145" spans="1:34">
      <c r="A145" t="s">
        <v>542</v>
      </c>
      <c r="B145">
        <f>COUNTIF($A:$A,A145)</f>
        <v>1</v>
      </c>
      <c r="C145" t="str">
        <f t="shared" si="25"/>
        <v>Unique</v>
      </c>
      <c r="D145" s="4">
        <v>45375</v>
      </c>
      <c r="E145">
        <f t="shared" si="26"/>
        <v>2</v>
      </c>
      <c r="F145" s="4">
        <v>45377</v>
      </c>
      <c r="G145" t="s">
        <v>543</v>
      </c>
      <c r="H145" t="s">
        <v>112</v>
      </c>
      <c r="I145" t="str">
        <f t="shared" si="27"/>
        <v>Priya Menon</v>
      </c>
      <c r="J145" t="s">
        <v>22</v>
      </c>
      <c r="K145" t="str">
        <f t="shared" si="28"/>
        <v>Consumer</v>
      </c>
      <c r="L145" t="s">
        <v>61</v>
      </c>
      <c r="M145" t="str">
        <f t="shared" si="24"/>
        <v>West</v>
      </c>
      <c r="N145" t="s">
        <v>178</v>
      </c>
      <c r="O145" t="str">
        <f t="shared" si="29"/>
        <v>Gujarat</v>
      </c>
      <c r="P145" t="s">
        <v>179</v>
      </c>
      <c r="Q145" t="str">
        <f t="shared" si="30"/>
        <v>Ahmedabad</v>
      </c>
      <c r="R145" t="s">
        <v>26</v>
      </c>
      <c r="S145" t="str">
        <f t="shared" si="31"/>
        <v>Office Supplies</v>
      </c>
      <c r="T145" t="s">
        <v>27</v>
      </c>
      <c r="U145" t="str">
        <f t="shared" si="32"/>
        <v>Paper</v>
      </c>
      <c r="V145" t="s">
        <v>544</v>
      </c>
      <c r="X145" t="s">
        <v>29</v>
      </c>
      <c r="Y145" t="str">
        <f t="shared" si="33"/>
        <v>Second Class</v>
      </c>
      <c r="Z145">
        <v>1</v>
      </c>
      <c r="AA145">
        <v>3409.5</v>
      </c>
      <c r="AB145">
        <v>0.1</v>
      </c>
      <c r="AC145">
        <v>3068.55</v>
      </c>
      <c r="AD145">
        <v>1916.16</v>
      </c>
      <c r="AE145">
        <v>1152.3900000000001</v>
      </c>
      <c r="AF145" t="s">
        <v>30</v>
      </c>
      <c r="AG145" t="str">
        <f t="shared" si="34"/>
        <v>Paid</v>
      </c>
      <c r="AH145" t="s">
        <v>101</v>
      </c>
    </row>
    <row r="146" spans="1:34">
      <c r="A146" t="s">
        <v>545</v>
      </c>
      <c r="B146">
        <f>COUNTIF($A:$A,A146)</f>
        <v>1</v>
      </c>
      <c r="C146" t="str">
        <f t="shared" si="25"/>
        <v>Unique</v>
      </c>
      <c r="D146" s="4">
        <v>45479</v>
      </c>
      <c r="E146">
        <f t="shared" si="26"/>
        <v>-21</v>
      </c>
      <c r="F146" s="4">
        <v>45458</v>
      </c>
      <c r="G146" t="s">
        <v>546</v>
      </c>
      <c r="H146" t="s">
        <v>263</v>
      </c>
      <c r="I146" t="str">
        <f t="shared" si="27"/>
        <v>Kabir Singh</v>
      </c>
      <c r="J146" t="s">
        <v>35</v>
      </c>
      <c r="K146" t="str">
        <f t="shared" si="28"/>
        <v>Small Business</v>
      </c>
      <c r="L146" t="s">
        <v>52</v>
      </c>
      <c r="M146" t="str">
        <f t="shared" si="24"/>
        <v>South</v>
      </c>
      <c r="N146" t="s">
        <v>53</v>
      </c>
      <c r="O146" t="str">
        <f t="shared" si="29"/>
        <v>Telangana</v>
      </c>
      <c r="P146" t="s">
        <v>54</v>
      </c>
      <c r="Q146" t="str">
        <f t="shared" si="30"/>
        <v>Hyderabad</v>
      </c>
      <c r="R146" t="s">
        <v>72</v>
      </c>
      <c r="S146" t="str">
        <f t="shared" si="31"/>
        <v>Technology</v>
      </c>
      <c r="T146" t="s">
        <v>73</v>
      </c>
      <c r="U146" t="str">
        <f t="shared" si="32"/>
        <v>Accessories</v>
      </c>
      <c r="V146" t="s">
        <v>547</v>
      </c>
      <c r="X146" t="s">
        <v>48</v>
      </c>
      <c r="Y146" t="str">
        <f t="shared" si="33"/>
        <v>First Class</v>
      </c>
      <c r="Z146">
        <v>7</v>
      </c>
      <c r="AA146">
        <v>2147.9899999999998</v>
      </c>
      <c r="AB146">
        <v>0.25</v>
      </c>
      <c r="AC146">
        <v>11276.95</v>
      </c>
      <c r="AD146">
        <v>6908.76</v>
      </c>
      <c r="AE146">
        <v>4368.1899999999996</v>
      </c>
      <c r="AF146" t="s">
        <v>100</v>
      </c>
      <c r="AG146" t="str">
        <f t="shared" si="34"/>
        <v>Refunded</v>
      </c>
      <c r="AH146" t="s">
        <v>101</v>
      </c>
    </row>
    <row r="147" spans="1:34">
      <c r="A147" t="s">
        <v>548</v>
      </c>
      <c r="B147">
        <f>COUNTIF($A:$A,A147)</f>
        <v>1</v>
      </c>
      <c r="C147" t="str">
        <f t="shared" si="25"/>
        <v>Unique</v>
      </c>
      <c r="D147" s="4">
        <v>45965</v>
      </c>
      <c r="E147">
        <f t="shared" si="26"/>
        <v>-205</v>
      </c>
      <c r="F147" s="4">
        <v>45760</v>
      </c>
      <c r="G147" t="s">
        <v>549</v>
      </c>
      <c r="H147" t="s">
        <v>34</v>
      </c>
      <c r="I147" t="str">
        <f t="shared" si="27"/>
        <v>Mira Das</v>
      </c>
      <c r="J147" t="s">
        <v>35</v>
      </c>
      <c r="K147" t="str">
        <f t="shared" si="28"/>
        <v>Small Business</v>
      </c>
      <c r="L147" t="s">
        <v>61</v>
      </c>
      <c r="M147" t="str">
        <f t="shared" si="24"/>
        <v>West</v>
      </c>
      <c r="N147" t="s">
        <v>188</v>
      </c>
      <c r="O147" t="str">
        <f t="shared" si="29"/>
        <v>Goa</v>
      </c>
      <c r="P147" t="s">
        <v>189</v>
      </c>
      <c r="Q147" t="str">
        <f t="shared" si="30"/>
        <v>Panaji</v>
      </c>
      <c r="R147" t="s">
        <v>26</v>
      </c>
      <c r="S147" t="str">
        <f t="shared" si="31"/>
        <v>Office Supplies</v>
      </c>
      <c r="T147" t="s">
        <v>27</v>
      </c>
      <c r="U147" t="str">
        <f t="shared" si="32"/>
        <v>Paper</v>
      </c>
      <c r="V147" t="s">
        <v>550</v>
      </c>
      <c r="X147" t="s">
        <v>57</v>
      </c>
      <c r="Y147" t="str">
        <f t="shared" si="33"/>
        <v>Standard Class</v>
      </c>
      <c r="Z147">
        <v>4</v>
      </c>
      <c r="AA147">
        <v>4182.1499999999996</v>
      </c>
      <c r="AB147">
        <v>0.1</v>
      </c>
      <c r="AC147">
        <v>15055.74</v>
      </c>
      <c r="AD147">
        <v>9808.83</v>
      </c>
      <c r="AE147">
        <v>5246.91</v>
      </c>
      <c r="AF147" t="s">
        <v>30</v>
      </c>
      <c r="AG147" t="str">
        <f t="shared" si="34"/>
        <v>Paid</v>
      </c>
      <c r="AH147" t="s">
        <v>31</v>
      </c>
    </row>
    <row r="148" spans="1:34">
      <c r="A148" t="s">
        <v>551</v>
      </c>
      <c r="B148">
        <f>COUNTIF($A:$A,A148)</f>
        <v>1</v>
      </c>
      <c r="C148" t="str">
        <f t="shared" si="25"/>
        <v>Unique</v>
      </c>
      <c r="D148" s="4">
        <v>45868</v>
      </c>
      <c r="E148">
        <f t="shared" si="26"/>
        <v>2</v>
      </c>
      <c r="F148" s="4">
        <v>45870</v>
      </c>
      <c r="G148" t="s">
        <v>552</v>
      </c>
      <c r="H148" t="s">
        <v>130</v>
      </c>
      <c r="I148" t="str">
        <f t="shared" si="27"/>
        <v>Sneha Kapoor</v>
      </c>
      <c r="J148" t="s">
        <v>35</v>
      </c>
      <c r="K148" t="str">
        <f t="shared" si="28"/>
        <v>Small Business</v>
      </c>
      <c r="L148" t="s">
        <v>52</v>
      </c>
      <c r="M148" t="str">
        <f t="shared" si="24"/>
        <v>South</v>
      </c>
      <c r="N148" t="s">
        <v>246</v>
      </c>
      <c r="O148" t="str">
        <f t="shared" si="29"/>
        <v>Tamil Nadu</v>
      </c>
      <c r="P148" t="s">
        <v>247</v>
      </c>
      <c r="Q148" t="str">
        <f t="shared" si="30"/>
        <v>Chennai</v>
      </c>
      <c r="R148" t="s">
        <v>26</v>
      </c>
      <c r="S148" t="str">
        <f t="shared" si="31"/>
        <v>Office Supplies</v>
      </c>
      <c r="T148" t="s">
        <v>122</v>
      </c>
      <c r="U148" t="str">
        <f t="shared" si="32"/>
        <v>Storage</v>
      </c>
      <c r="V148" t="s">
        <v>553</v>
      </c>
      <c r="X148" t="s">
        <v>42</v>
      </c>
      <c r="Y148" t="str">
        <f t="shared" si="33"/>
        <v>Same Day</v>
      </c>
      <c r="Z148">
        <v>9</v>
      </c>
      <c r="AA148">
        <v>3165.43</v>
      </c>
      <c r="AB148">
        <v>0.1</v>
      </c>
      <c r="AC148">
        <v>25639.98</v>
      </c>
      <c r="AD148">
        <v>21635.08</v>
      </c>
      <c r="AE148">
        <v>4004.9</v>
      </c>
      <c r="AF148" t="s">
        <v>30</v>
      </c>
      <c r="AG148" t="str">
        <f t="shared" si="34"/>
        <v>Paid</v>
      </c>
      <c r="AH148" t="s">
        <v>31</v>
      </c>
    </row>
    <row r="149" spans="1:34">
      <c r="A149" t="s">
        <v>554</v>
      </c>
      <c r="B149">
        <f>COUNTIF($A:$A,A149)</f>
        <v>1</v>
      </c>
      <c r="C149" t="str">
        <f t="shared" si="25"/>
        <v>Unique</v>
      </c>
      <c r="D149" s="4">
        <v>45649</v>
      </c>
      <c r="E149">
        <f t="shared" si="26"/>
        <v>7</v>
      </c>
      <c r="F149" s="4">
        <v>45656</v>
      </c>
      <c r="G149" t="s">
        <v>555</v>
      </c>
      <c r="H149" t="s">
        <v>112</v>
      </c>
      <c r="I149" t="str">
        <f t="shared" si="27"/>
        <v>Priya Menon</v>
      </c>
      <c r="J149" t="s">
        <v>93</v>
      </c>
      <c r="K149" t="str">
        <f t="shared" si="28"/>
        <v>Home Office</v>
      </c>
      <c r="L149" t="s">
        <v>61</v>
      </c>
      <c r="M149" t="str">
        <f t="shared" si="24"/>
        <v>West</v>
      </c>
      <c r="N149" t="s">
        <v>188</v>
      </c>
      <c r="O149" t="str">
        <f t="shared" si="29"/>
        <v>Goa</v>
      </c>
      <c r="P149" t="s">
        <v>189</v>
      </c>
      <c r="Q149" t="str">
        <f t="shared" si="30"/>
        <v>Panaji</v>
      </c>
      <c r="R149" t="s">
        <v>39</v>
      </c>
      <c r="S149" t="str">
        <f t="shared" si="31"/>
        <v>Furniture</v>
      </c>
      <c r="T149" t="s">
        <v>55</v>
      </c>
      <c r="U149" t="str">
        <f t="shared" si="32"/>
        <v>Furnishings</v>
      </c>
      <c r="V149" t="s">
        <v>556</v>
      </c>
      <c r="X149" t="s">
        <v>48</v>
      </c>
      <c r="Y149" t="str">
        <f t="shared" si="33"/>
        <v>First Class</v>
      </c>
      <c r="Z149">
        <v>8</v>
      </c>
      <c r="AA149">
        <v>386.1</v>
      </c>
      <c r="AB149">
        <v>0.1</v>
      </c>
      <c r="AC149">
        <v>2779.92</v>
      </c>
      <c r="AD149">
        <v>1744.05</v>
      </c>
      <c r="AE149">
        <v>1035.8699999999999</v>
      </c>
      <c r="AF149" t="s">
        <v>30</v>
      </c>
      <c r="AG149" t="str">
        <f t="shared" si="34"/>
        <v>Paid</v>
      </c>
      <c r="AH149" t="s">
        <v>31</v>
      </c>
    </row>
    <row r="150" spans="1:34">
      <c r="A150" t="s">
        <v>557</v>
      </c>
      <c r="B150">
        <f>COUNTIF($A:$A,A150)</f>
        <v>1</v>
      </c>
      <c r="C150" t="str">
        <f t="shared" si="25"/>
        <v>Unique</v>
      </c>
      <c r="D150" s="4">
        <v>45902</v>
      </c>
      <c r="E150">
        <f t="shared" si="26"/>
        <v>-201</v>
      </c>
      <c r="F150" s="4">
        <v>45701</v>
      </c>
      <c r="G150" t="s">
        <v>558</v>
      </c>
      <c r="H150" t="s">
        <v>34</v>
      </c>
      <c r="I150" t="str">
        <f t="shared" si="27"/>
        <v>Mira Das</v>
      </c>
      <c r="J150" t="s">
        <v>93</v>
      </c>
      <c r="K150" t="str">
        <f t="shared" si="28"/>
        <v>Home Office</v>
      </c>
      <c r="L150" t="s">
        <v>61</v>
      </c>
      <c r="M150" t="str">
        <f t="shared" si="24"/>
        <v>West</v>
      </c>
      <c r="N150" t="s">
        <v>70</v>
      </c>
      <c r="O150" t="str">
        <f t="shared" si="29"/>
        <v>Madhya Pradesh</v>
      </c>
      <c r="P150" t="s">
        <v>71</v>
      </c>
      <c r="Q150" t="str">
        <f t="shared" si="30"/>
        <v>Indore</v>
      </c>
      <c r="R150" t="s">
        <v>72</v>
      </c>
      <c r="S150" t="str">
        <f t="shared" si="31"/>
        <v>Technology</v>
      </c>
      <c r="T150" t="s">
        <v>169</v>
      </c>
      <c r="U150" t="str">
        <f t="shared" si="32"/>
        <v>Phones</v>
      </c>
      <c r="V150" t="s">
        <v>559</v>
      </c>
      <c r="Y150" t="s">
        <v>2828</v>
      </c>
      <c r="Z150">
        <v>8</v>
      </c>
      <c r="AA150">
        <v>1696.07</v>
      </c>
      <c r="AB150">
        <v>0.25</v>
      </c>
      <c r="AC150">
        <v>10176.42</v>
      </c>
      <c r="AD150">
        <v>7604.47</v>
      </c>
      <c r="AE150">
        <v>2571.9499999999998</v>
      </c>
      <c r="AF150" t="s">
        <v>30</v>
      </c>
      <c r="AG150" t="str">
        <f t="shared" si="34"/>
        <v>Paid</v>
      </c>
      <c r="AH150" t="s">
        <v>31</v>
      </c>
    </row>
    <row r="151" spans="1:34">
      <c r="A151" t="s">
        <v>560</v>
      </c>
      <c r="B151">
        <f>COUNTIF($A:$A,A151)</f>
        <v>1</v>
      </c>
      <c r="C151" t="str">
        <f t="shared" si="25"/>
        <v>Unique</v>
      </c>
      <c r="D151" s="4">
        <v>45321</v>
      </c>
      <c r="E151">
        <f t="shared" si="26"/>
        <v>0</v>
      </c>
      <c r="F151" s="4">
        <v>45321</v>
      </c>
      <c r="G151" t="s">
        <v>561</v>
      </c>
      <c r="H151" t="s">
        <v>126</v>
      </c>
      <c r="I151" t="str">
        <f t="shared" si="27"/>
        <v>Aarav Sharma</v>
      </c>
      <c r="J151" t="s">
        <v>35</v>
      </c>
      <c r="K151" t="str">
        <f t="shared" si="28"/>
        <v>Small Business</v>
      </c>
      <c r="L151" t="s">
        <v>562</v>
      </c>
      <c r="M151" t="str">
        <f t="shared" si="24"/>
        <v>West</v>
      </c>
      <c r="N151" t="s">
        <v>24</v>
      </c>
      <c r="O151" t="str">
        <f t="shared" si="29"/>
        <v>Rajasthan</v>
      </c>
      <c r="P151" t="s">
        <v>107</v>
      </c>
      <c r="Q151" t="str">
        <f t="shared" si="30"/>
        <v>Udaipur</v>
      </c>
      <c r="R151" t="s">
        <v>72</v>
      </c>
      <c r="S151" t="str">
        <f t="shared" si="31"/>
        <v>Technology</v>
      </c>
      <c r="T151" t="s">
        <v>78</v>
      </c>
      <c r="U151" t="str">
        <f t="shared" si="32"/>
        <v>Copiers</v>
      </c>
      <c r="V151" t="s">
        <v>563</v>
      </c>
      <c r="X151" t="s">
        <v>42</v>
      </c>
      <c r="Y151" t="str">
        <f t="shared" si="33"/>
        <v>Same Day</v>
      </c>
      <c r="Z151">
        <v>7</v>
      </c>
      <c r="AA151">
        <v>2527.61</v>
      </c>
      <c r="AB151">
        <v>0.25</v>
      </c>
      <c r="AC151">
        <v>13269.95</v>
      </c>
      <c r="AD151">
        <v>8977.1</v>
      </c>
      <c r="AE151">
        <v>4292.8500000000004</v>
      </c>
      <c r="AF151" t="s">
        <v>30</v>
      </c>
      <c r="AG151" t="str">
        <f t="shared" si="34"/>
        <v>Paid</v>
      </c>
      <c r="AH151" t="s">
        <v>31</v>
      </c>
    </row>
    <row r="152" spans="1:34">
      <c r="A152" t="s">
        <v>564</v>
      </c>
      <c r="B152">
        <f>COUNTIF($A:$A,A152)</f>
        <v>1</v>
      </c>
      <c r="C152" t="str">
        <f t="shared" si="25"/>
        <v>Unique</v>
      </c>
      <c r="D152" s="4">
        <v>45385</v>
      </c>
      <c r="E152">
        <f t="shared" si="26"/>
        <v>244</v>
      </c>
      <c r="F152" s="4">
        <v>45629</v>
      </c>
      <c r="G152" t="s">
        <v>565</v>
      </c>
      <c r="H152" t="s">
        <v>51</v>
      </c>
      <c r="I152" t="str">
        <f t="shared" si="27"/>
        <v>Arjun Bose</v>
      </c>
      <c r="J152" t="s">
        <v>22</v>
      </c>
      <c r="K152" t="str">
        <f t="shared" si="28"/>
        <v>Consumer</v>
      </c>
      <c r="M152" t="s">
        <v>2828</v>
      </c>
      <c r="N152" t="s">
        <v>178</v>
      </c>
      <c r="O152" t="str">
        <f t="shared" si="29"/>
        <v>Gujarat</v>
      </c>
      <c r="P152" t="s">
        <v>179</v>
      </c>
      <c r="Q152" t="str">
        <f t="shared" si="30"/>
        <v>Ahmedabad</v>
      </c>
      <c r="R152" t="s">
        <v>39</v>
      </c>
      <c r="S152" t="str">
        <f t="shared" si="31"/>
        <v>Furniture</v>
      </c>
      <c r="T152" t="s">
        <v>156</v>
      </c>
      <c r="U152" t="str">
        <f t="shared" si="32"/>
        <v>Bookcases</v>
      </c>
      <c r="V152" t="s">
        <v>566</v>
      </c>
      <c r="X152" t="s">
        <v>48</v>
      </c>
      <c r="Y152" t="str">
        <f t="shared" si="33"/>
        <v>First Class</v>
      </c>
      <c r="Z152">
        <v>1</v>
      </c>
      <c r="AA152">
        <v>1554.12</v>
      </c>
      <c r="AB152">
        <v>0.1</v>
      </c>
      <c r="AC152">
        <v>1398.71</v>
      </c>
      <c r="AD152">
        <v>1056.92</v>
      </c>
      <c r="AE152">
        <v>341.79</v>
      </c>
      <c r="AF152" t="s">
        <v>30</v>
      </c>
      <c r="AG152" t="str">
        <f t="shared" si="34"/>
        <v>Paid</v>
      </c>
      <c r="AH152" t="s">
        <v>31</v>
      </c>
    </row>
    <row r="153" spans="1:34">
      <c r="A153" t="s">
        <v>567</v>
      </c>
      <c r="B153">
        <f>COUNTIF($A:$A,A153)</f>
        <v>1</v>
      </c>
      <c r="C153" t="str">
        <f t="shared" si="25"/>
        <v>Unique</v>
      </c>
      <c r="D153" s="4">
        <v>45470</v>
      </c>
      <c r="E153">
        <f t="shared" si="26"/>
        <v>0</v>
      </c>
      <c r="F153" s="4">
        <v>45470</v>
      </c>
      <c r="G153" t="s">
        <v>568</v>
      </c>
      <c r="H153" t="s">
        <v>77</v>
      </c>
      <c r="I153" t="str">
        <f t="shared" si="27"/>
        <v>Neha Gupta</v>
      </c>
      <c r="J153" t="s">
        <v>93</v>
      </c>
      <c r="K153" t="str">
        <f t="shared" si="28"/>
        <v>Home Office</v>
      </c>
      <c r="M153" t="s">
        <v>2828</v>
      </c>
      <c r="N153" t="s">
        <v>70</v>
      </c>
      <c r="O153" t="str">
        <f t="shared" si="29"/>
        <v>Madhya Pradesh</v>
      </c>
      <c r="P153" t="s">
        <v>71</v>
      </c>
      <c r="Q153" t="str">
        <f t="shared" si="30"/>
        <v>Indore</v>
      </c>
      <c r="R153" t="s">
        <v>72</v>
      </c>
      <c r="S153" t="str">
        <f t="shared" si="31"/>
        <v>Technology</v>
      </c>
      <c r="T153" t="s">
        <v>78</v>
      </c>
      <c r="U153" t="str">
        <f t="shared" si="32"/>
        <v>Copiers</v>
      </c>
      <c r="V153" t="s">
        <v>569</v>
      </c>
      <c r="X153" t="s">
        <v>57</v>
      </c>
      <c r="Y153" t="str">
        <f t="shared" si="33"/>
        <v>Standard Class</v>
      </c>
      <c r="Z153">
        <v>2</v>
      </c>
      <c r="AA153">
        <v>3859.11</v>
      </c>
      <c r="AB153">
        <v>0</v>
      </c>
      <c r="AC153">
        <v>7718.22</v>
      </c>
      <c r="AD153">
        <v>5355.93</v>
      </c>
      <c r="AE153">
        <v>2362.29</v>
      </c>
      <c r="AF153" t="s">
        <v>109</v>
      </c>
      <c r="AG153" t="str">
        <f t="shared" si="34"/>
        <v>Pending</v>
      </c>
      <c r="AH153" t="s">
        <v>101</v>
      </c>
    </row>
    <row r="154" spans="1:34">
      <c r="A154" t="s">
        <v>570</v>
      </c>
      <c r="B154">
        <f>COUNTIF($A:$A,A154)</f>
        <v>1</v>
      </c>
      <c r="C154" t="str">
        <f t="shared" si="25"/>
        <v>Unique</v>
      </c>
      <c r="D154" s="4">
        <v>45457</v>
      </c>
      <c r="E154">
        <f t="shared" si="26"/>
        <v>3</v>
      </c>
      <c r="F154" s="4">
        <v>45460</v>
      </c>
      <c r="G154" t="s">
        <v>571</v>
      </c>
      <c r="H154" t="s">
        <v>263</v>
      </c>
      <c r="I154" t="str">
        <f t="shared" si="27"/>
        <v>Kabir Singh</v>
      </c>
      <c r="J154" t="s">
        <v>35</v>
      </c>
      <c r="K154" t="str">
        <f t="shared" si="28"/>
        <v>Small Business</v>
      </c>
      <c r="L154" t="s">
        <v>52</v>
      </c>
      <c r="M154" t="str">
        <f t="shared" ref="M154:M178" si="35">PROPER(TRIM(L154))</f>
        <v>South</v>
      </c>
      <c r="N154" t="s">
        <v>183</v>
      </c>
      <c r="O154" t="str">
        <f t="shared" si="29"/>
        <v>Kerala</v>
      </c>
      <c r="P154" t="s">
        <v>184</v>
      </c>
      <c r="Q154" t="str">
        <f t="shared" si="30"/>
        <v>Kochi</v>
      </c>
      <c r="R154" t="s">
        <v>39</v>
      </c>
      <c r="S154" t="str">
        <f t="shared" si="31"/>
        <v>Furniture</v>
      </c>
      <c r="T154" t="s">
        <v>40</v>
      </c>
      <c r="U154" t="str">
        <f t="shared" si="32"/>
        <v>Tables</v>
      </c>
      <c r="V154" t="s">
        <v>572</v>
      </c>
      <c r="X154" t="s">
        <v>29</v>
      </c>
      <c r="Y154" t="str">
        <f t="shared" si="33"/>
        <v>Second Class</v>
      </c>
      <c r="Z154">
        <v>6</v>
      </c>
      <c r="AA154">
        <v>1088.04</v>
      </c>
      <c r="AB154">
        <v>0.1</v>
      </c>
      <c r="AC154">
        <v>5875.42</v>
      </c>
      <c r="AD154">
        <v>4380.55</v>
      </c>
      <c r="AE154">
        <v>1494.87</v>
      </c>
      <c r="AF154" t="s">
        <v>109</v>
      </c>
      <c r="AG154" t="str">
        <f t="shared" si="34"/>
        <v>Pending</v>
      </c>
      <c r="AH154" t="s">
        <v>101</v>
      </c>
    </row>
    <row r="155" spans="1:34">
      <c r="A155" t="s">
        <v>573</v>
      </c>
      <c r="B155">
        <f>COUNTIF($A:$A,A155)</f>
        <v>1</v>
      </c>
      <c r="C155" t="str">
        <f t="shared" si="25"/>
        <v>Unique</v>
      </c>
      <c r="D155" s="4">
        <v>45923</v>
      </c>
      <c r="E155">
        <f t="shared" si="26"/>
        <v>2</v>
      </c>
      <c r="F155" s="4">
        <v>45925</v>
      </c>
      <c r="G155" t="s">
        <v>574</v>
      </c>
      <c r="H155" t="s">
        <v>87</v>
      </c>
      <c r="I155" t="str">
        <f t="shared" si="27"/>
        <v>Aditi Sen</v>
      </c>
      <c r="J155" t="s">
        <v>22</v>
      </c>
      <c r="K155" t="str">
        <f t="shared" si="28"/>
        <v>Consumer</v>
      </c>
      <c r="L155" t="s">
        <v>36</v>
      </c>
      <c r="M155" t="str">
        <f t="shared" si="35"/>
        <v>East</v>
      </c>
      <c r="N155" t="s">
        <v>37</v>
      </c>
      <c r="O155" t="str">
        <f t="shared" si="29"/>
        <v>Odisha</v>
      </c>
      <c r="P155" t="s">
        <v>38</v>
      </c>
      <c r="Q155" t="str">
        <f t="shared" si="30"/>
        <v>Bhubaneswar</v>
      </c>
      <c r="R155" t="s">
        <v>26</v>
      </c>
      <c r="S155" t="str">
        <f t="shared" si="31"/>
        <v>Office Supplies</v>
      </c>
      <c r="T155" t="s">
        <v>89</v>
      </c>
      <c r="U155" t="str">
        <f t="shared" si="32"/>
        <v>Labels</v>
      </c>
      <c r="V155" t="s">
        <v>575</v>
      </c>
      <c r="X155" t="s">
        <v>57</v>
      </c>
      <c r="Y155" t="str">
        <f t="shared" si="33"/>
        <v>Standard Class</v>
      </c>
      <c r="Z155">
        <v>7</v>
      </c>
      <c r="AA155">
        <v>3280.31</v>
      </c>
      <c r="AB155">
        <v>0</v>
      </c>
      <c r="AC155">
        <v>22962.17</v>
      </c>
      <c r="AD155">
        <v>15716.5</v>
      </c>
      <c r="AE155">
        <v>7245.67</v>
      </c>
      <c r="AF155" t="s">
        <v>100</v>
      </c>
      <c r="AG155" t="str">
        <f t="shared" si="34"/>
        <v>Refunded</v>
      </c>
      <c r="AH155" t="s">
        <v>101</v>
      </c>
    </row>
    <row r="156" spans="1:34">
      <c r="A156" t="s">
        <v>576</v>
      </c>
      <c r="B156">
        <f>COUNTIF($A:$A,A156)</f>
        <v>1</v>
      </c>
      <c r="C156" t="str">
        <f t="shared" si="25"/>
        <v>Unique</v>
      </c>
      <c r="D156" s="4">
        <v>45628</v>
      </c>
      <c r="E156">
        <f t="shared" si="26"/>
        <v>-295</v>
      </c>
      <c r="F156" s="4">
        <v>45333</v>
      </c>
      <c r="G156" t="s">
        <v>454</v>
      </c>
      <c r="H156" t="s">
        <v>112</v>
      </c>
      <c r="I156" t="str">
        <f t="shared" si="27"/>
        <v>Priya Menon</v>
      </c>
      <c r="J156" t="s">
        <v>22</v>
      </c>
      <c r="K156" t="str">
        <f t="shared" si="28"/>
        <v>Consumer</v>
      </c>
      <c r="L156" t="s">
        <v>52</v>
      </c>
      <c r="M156" t="str">
        <f t="shared" si="35"/>
        <v>South</v>
      </c>
      <c r="N156" t="s">
        <v>246</v>
      </c>
      <c r="O156" t="str">
        <f t="shared" si="29"/>
        <v>Tamil Nadu</v>
      </c>
      <c r="P156" t="s">
        <v>247</v>
      </c>
      <c r="Q156" t="str">
        <f t="shared" si="30"/>
        <v>Chennai</v>
      </c>
      <c r="R156" t="s">
        <v>39</v>
      </c>
      <c r="S156" t="str">
        <f t="shared" si="31"/>
        <v>Furniture</v>
      </c>
      <c r="T156" t="s">
        <v>156</v>
      </c>
      <c r="U156" t="str">
        <f t="shared" si="32"/>
        <v>Bookcases</v>
      </c>
      <c r="V156" t="s">
        <v>577</v>
      </c>
      <c r="X156" t="s">
        <v>42</v>
      </c>
      <c r="Y156" t="str">
        <f t="shared" si="33"/>
        <v>Same Day</v>
      </c>
      <c r="Z156">
        <v>1</v>
      </c>
      <c r="AA156">
        <v>2599.12</v>
      </c>
      <c r="AB156">
        <v>0.15</v>
      </c>
      <c r="AC156">
        <v>2209.25</v>
      </c>
      <c r="AD156">
        <v>1523.78</v>
      </c>
      <c r="AE156">
        <v>685.47</v>
      </c>
      <c r="AF156" t="s">
        <v>30</v>
      </c>
      <c r="AG156" t="str">
        <f t="shared" si="34"/>
        <v>Paid</v>
      </c>
      <c r="AH156" t="s">
        <v>31</v>
      </c>
    </row>
    <row r="157" spans="1:34">
      <c r="A157" t="s">
        <v>578</v>
      </c>
      <c r="B157">
        <f>COUNTIF($A:$A,A157)</f>
        <v>1</v>
      </c>
      <c r="C157" t="str">
        <f t="shared" si="25"/>
        <v>Unique</v>
      </c>
      <c r="D157" s="4">
        <v>45683</v>
      </c>
      <c r="E157">
        <f t="shared" si="26"/>
        <v>35</v>
      </c>
      <c r="F157" s="4">
        <v>45718</v>
      </c>
      <c r="G157" t="s">
        <v>579</v>
      </c>
      <c r="H157" t="s">
        <v>21</v>
      </c>
      <c r="I157" t="str">
        <f t="shared" si="27"/>
        <v>Karan Malhotra</v>
      </c>
      <c r="J157" t="s">
        <v>88</v>
      </c>
      <c r="K157" t="str">
        <f t="shared" si="28"/>
        <v>Corporate</v>
      </c>
      <c r="L157" t="s">
        <v>61</v>
      </c>
      <c r="M157" t="str">
        <f t="shared" si="35"/>
        <v>West</v>
      </c>
      <c r="N157" t="s">
        <v>24</v>
      </c>
      <c r="O157" t="str">
        <f t="shared" si="29"/>
        <v>Rajasthan</v>
      </c>
      <c r="P157" t="s">
        <v>107</v>
      </c>
      <c r="Q157" t="str">
        <f t="shared" si="30"/>
        <v>Udaipur</v>
      </c>
      <c r="R157" t="s">
        <v>39</v>
      </c>
      <c r="S157" t="str">
        <f t="shared" si="31"/>
        <v>Furniture</v>
      </c>
      <c r="T157" t="s">
        <v>55</v>
      </c>
      <c r="U157" t="str">
        <f t="shared" si="32"/>
        <v>Furnishings</v>
      </c>
      <c r="V157" t="s">
        <v>580</v>
      </c>
      <c r="X157" t="s">
        <v>42</v>
      </c>
      <c r="Y157" t="str">
        <f t="shared" si="33"/>
        <v>Same Day</v>
      </c>
      <c r="Z157">
        <v>3</v>
      </c>
      <c r="AA157">
        <v>2859.32</v>
      </c>
      <c r="AB157">
        <v>0.1</v>
      </c>
      <c r="AC157">
        <v>7720.16</v>
      </c>
      <c r="AD157">
        <v>5881</v>
      </c>
      <c r="AE157">
        <v>1839.16</v>
      </c>
      <c r="AF157" t="s">
        <v>100</v>
      </c>
      <c r="AG157" t="str">
        <f t="shared" si="34"/>
        <v>Refunded</v>
      </c>
      <c r="AH157" t="s">
        <v>101</v>
      </c>
    </row>
    <row r="158" spans="1:34">
      <c r="A158" t="s">
        <v>581</v>
      </c>
      <c r="B158">
        <f>COUNTIF($A:$A,A158)</f>
        <v>1</v>
      </c>
      <c r="C158" t="str">
        <f t="shared" si="25"/>
        <v>Unique</v>
      </c>
      <c r="D158" s="4">
        <v>45743</v>
      </c>
      <c r="E158">
        <f t="shared" si="26"/>
        <v>0</v>
      </c>
      <c r="F158" s="4">
        <v>45743</v>
      </c>
      <c r="G158" t="s">
        <v>582</v>
      </c>
      <c r="H158" t="s">
        <v>69</v>
      </c>
      <c r="I158" t="str">
        <f t="shared" si="27"/>
        <v>Vikram Iyer</v>
      </c>
      <c r="J158" t="s">
        <v>35</v>
      </c>
      <c r="K158" t="str">
        <f t="shared" si="28"/>
        <v>Small Business</v>
      </c>
      <c r="L158" t="s">
        <v>36</v>
      </c>
      <c r="M158" t="str">
        <f t="shared" si="35"/>
        <v>East</v>
      </c>
      <c r="N158" t="s">
        <v>143</v>
      </c>
      <c r="O158" t="str">
        <f t="shared" si="29"/>
        <v>Bihar</v>
      </c>
      <c r="P158" t="s">
        <v>144</v>
      </c>
      <c r="Q158" t="str">
        <f t="shared" si="30"/>
        <v>Patna</v>
      </c>
      <c r="R158" t="s">
        <v>72</v>
      </c>
      <c r="S158" t="str">
        <f t="shared" si="31"/>
        <v>Technology</v>
      </c>
      <c r="T158" t="s">
        <v>273</v>
      </c>
      <c r="U158" t="str">
        <f t="shared" si="32"/>
        <v>Machines</v>
      </c>
      <c r="V158" t="s">
        <v>583</v>
      </c>
      <c r="X158" t="s">
        <v>29</v>
      </c>
      <c r="Y158" t="str">
        <f t="shared" si="33"/>
        <v>Second Class</v>
      </c>
      <c r="Z158">
        <v>7</v>
      </c>
      <c r="AA158">
        <v>2305.37</v>
      </c>
      <c r="AB158">
        <v>0.25</v>
      </c>
      <c r="AC158">
        <v>12103.19</v>
      </c>
      <c r="AD158">
        <v>6717.87</v>
      </c>
      <c r="AE158">
        <v>5385.32</v>
      </c>
      <c r="AF158" t="s">
        <v>30</v>
      </c>
      <c r="AG158" t="str">
        <f t="shared" si="34"/>
        <v>Paid</v>
      </c>
      <c r="AH158" t="s">
        <v>31</v>
      </c>
    </row>
    <row r="159" spans="1:34">
      <c r="A159" t="s">
        <v>584</v>
      </c>
      <c r="B159">
        <f>COUNTIF($A:$A,A159)</f>
        <v>1</v>
      </c>
      <c r="C159" t="str">
        <f t="shared" si="25"/>
        <v>Unique</v>
      </c>
      <c r="D159" s="4">
        <v>45587</v>
      </c>
      <c r="E159">
        <f t="shared" si="26"/>
        <v>2</v>
      </c>
      <c r="F159" s="4">
        <v>45589</v>
      </c>
      <c r="G159" t="s">
        <v>585</v>
      </c>
      <c r="H159" t="s">
        <v>139</v>
      </c>
      <c r="I159" t="str">
        <f t="shared" si="27"/>
        <v>Rohan Mehta</v>
      </c>
      <c r="J159" t="s">
        <v>35</v>
      </c>
      <c r="K159" t="str">
        <f t="shared" si="28"/>
        <v>Small Business</v>
      </c>
      <c r="L159" t="s">
        <v>52</v>
      </c>
      <c r="M159" t="str">
        <f t="shared" si="35"/>
        <v>South</v>
      </c>
      <c r="N159" t="s">
        <v>82</v>
      </c>
      <c r="O159" t="str">
        <f t="shared" si="29"/>
        <v>Andhra Pradesh</v>
      </c>
      <c r="P159" t="s">
        <v>83</v>
      </c>
      <c r="Q159" t="str">
        <f t="shared" si="30"/>
        <v>Vijayawada</v>
      </c>
      <c r="R159" t="s">
        <v>39</v>
      </c>
      <c r="S159" t="str">
        <f t="shared" si="31"/>
        <v>Furniture</v>
      </c>
      <c r="T159" t="s">
        <v>156</v>
      </c>
      <c r="U159" t="str">
        <f t="shared" si="32"/>
        <v>Bookcases</v>
      </c>
      <c r="V159" t="s">
        <v>586</v>
      </c>
      <c r="X159" t="s">
        <v>57</v>
      </c>
      <c r="Y159" t="str">
        <f t="shared" si="33"/>
        <v>Standard Class</v>
      </c>
      <c r="Z159">
        <v>3</v>
      </c>
      <c r="AA159">
        <v>915.84</v>
      </c>
      <c r="AB159">
        <v>0.15</v>
      </c>
      <c r="AC159">
        <v>2335.39</v>
      </c>
      <c r="AD159">
        <v>1466.15</v>
      </c>
      <c r="AE159">
        <v>869.24</v>
      </c>
      <c r="AF159" t="s">
        <v>30</v>
      </c>
      <c r="AG159" t="str">
        <f t="shared" si="34"/>
        <v>Paid</v>
      </c>
      <c r="AH159" t="s">
        <v>31</v>
      </c>
    </row>
    <row r="160" spans="1:34">
      <c r="A160" t="s">
        <v>587</v>
      </c>
      <c r="B160">
        <f>COUNTIF($A:$A,A160)</f>
        <v>1</v>
      </c>
      <c r="C160" t="str">
        <f t="shared" si="25"/>
        <v>Unique</v>
      </c>
      <c r="D160" s="4">
        <v>45544</v>
      </c>
      <c r="E160">
        <f t="shared" si="26"/>
        <v>2</v>
      </c>
      <c r="F160" s="4">
        <v>45546</v>
      </c>
      <c r="G160" t="s">
        <v>588</v>
      </c>
      <c r="H160" t="s">
        <v>77</v>
      </c>
      <c r="I160" t="str">
        <f t="shared" si="27"/>
        <v>Neha Gupta</v>
      </c>
      <c r="J160" t="s">
        <v>93</v>
      </c>
      <c r="K160" t="str">
        <f t="shared" si="28"/>
        <v>Home Office</v>
      </c>
      <c r="L160" t="s">
        <v>52</v>
      </c>
      <c r="M160" t="str">
        <f t="shared" si="35"/>
        <v>South</v>
      </c>
      <c r="N160" t="s">
        <v>53</v>
      </c>
      <c r="O160" t="str">
        <f t="shared" si="29"/>
        <v>Telangana</v>
      </c>
      <c r="P160" t="s">
        <v>54</v>
      </c>
      <c r="Q160" t="str">
        <f t="shared" si="30"/>
        <v>Hyderabad</v>
      </c>
      <c r="R160" t="s">
        <v>39</v>
      </c>
      <c r="S160" t="str">
        <f t="shared" si="31"/>
        <v>Furniture</v>
      </c>
      <c r="T160" t="s">
        <v>156</v>
      </c>
      <c r="U160" t="str">
        <f t="shared" si="32"/>
        <v>Bookcases</v>
      </c>
      <c r="V160" t="s">
        <v>589</v>
      </c>
      <c r="X160" t="s">
        <v>48</v>
      </c>
      <c r="Y160" t="str">
        <f t="shared" si="33"/>
        <v>First Class</v>
      </c>
      <c r="Z160">
        <v>1</v>
      </c>
      <c r="AA160">
        <v>4199.54</v>
      </c>
      <c r="AB160">
        <v>0.05</v>
      </c>
      <c r="AC160">
        <v>3989.56</v>
      </c>
      <c r="AD160">
        <v>2381.38</v>
      </c>
      <c r="AE160">
        <v>1608.18</v>
      </c>
      <c r="AF160" t="s">
        <v>30</v>
      </c>
      <c r="AG160" t="str">
        <f t="shared" si="34"/>
        <v>Paid</v>
      </c>
      <c r="AH160" t="s">
        <v>31</v>
      </c>
    </row>
    <row r="161" spans="1:34">
      <c r="A161" t="s">
        <v>590</v>
      </c>
      <c r="B161">
        <f>COUNTIF($A:$A,A161)</f>
        <v>1</v>
      </c>
      <c r="C161" t="str">
        <f t="shared" si="25"/>
        <v>Unique</v>
      </c>
      <c r="D161" s="4">
        <v>45687</v>
      </c>
      <c r="E161">
        <f t="shared" si="26"/>
        <v>62</v>
      </c>
      <c r="F161" s="4">
        <v>45749</v>
      </c>
      <c r="G161" t="s">
        <v>591</v>
      </c>
      <c r="H161" t="s">
        <v>112</v>
      </c>
      <c r="I161" t="str">
        <f t="shared" si="27"/>
        <v>Priya Menon</v>
      </c>
      <c r="J161" t="s">
        <v>88</v>
      </c>
      <c r="K161" t="str">
        <f t="shared" si="28"/>
        <v>Corporate</v>
      </c>
      <c r="L161" t="s">
        <v>23</v>
      </c>
      <c r="M161" t="str">
        <f t="shared" si="35"/>
        <v>North</v>
      </c>
      <c r="N161" t="s">
        <v>235</v>
      </c>
      <c r="O161" t="str">
        <f t="shared" si="29"/>
        <v>Haryana</v>
      </c>
      <c r="P161" t="s">
        <v>236</v>
      </c>
      <c r="Q161" t="str">
        <f t="shared" si="30"/>
        <v>Gurugram</v>
      </c>
      <c r="R161" t="s">
        <v>39</v>
      </c>
      <c r="S161" t="str">
        <f t="shared" si="31"/>
        <v>Furniture</v>
      </c>
      <c r="T161" t="s">
        <v>64</v>
      </c>
      <c r="U161" t="str">
        <f t="shared" si="32"/>
        <v>Chairs</v>
      </c>
      <c r="V161" t="s">
        <v>592</v>
      </c>
      <c r="X161" t="s">
        <v>42</v>
      </c>
      <c r="Y161" t="str">
        <f t="shared" si="33"/>
        <v>Same Day</v>
      </c>
      <c r="Z161">
        <v>9</v>
      </c>
      <c r="AA161">
        <v>4430.5</v>
      </c>
      <c r="AB161">
        <v>0.15</v>
      </c>
      <c r="AC161">
        <v>33893.32</v>
      </c>
      <c r="AD161">
        <v>25750.35</v>
      </c>
      <c r="AE161">
        <v>8142.97</v>
      </c>
      <c r="AF161" t="s">
        <v>109</v>
      </c>
      <c r="AG161" t="str">
        <f t="shared" si="34"/>
        <v>Pending</v>
      </c>
      <c r="AH161" t="s">
        <v>66</v>
      </c>
    </row>
    <row r="162" spans="1:34">
      <c r="A162" t="s">
        <v>593</v>
      </c>
      <c r="B162">
        <f>COUNTIF($A:$A,A162)</f>
        <v>1</v>
      </c>
      <c r="C162" t="str">
        <f t="shared" si="25"/>
        <v>Unique</v>
      </c>
      <c r="D162" s="4">
        <v>45879</v>
      </c>
      <c r="E162">
        <f t="shared" si="26"/>
        <v>57</v>
      </c>
      <c r="F162" s="4">
        <v>45936</v>
      </c>
      <c r="G162" t="s">
        <v>594</v>
      </c>
      <c r="H162" t="s">
        <v>69</v>
      </c>
      <c r="I162" t="str">
        <f t="shared" si="27"/>
        <v>Vikram Iyer</v>
      </c>
      <c r="J162" t="s">
        <v>35</v>
      </c>
      <c r="K162" t="str">
        <f t="shared" si="28"/>
        <v>Small Business</v>
      </c>
      <c r="L162" t="s">
        <v>61</v>
      </c>
      <c r="M162" t="str">
        <f t="shared" si="35"/>
        <v>West</v>
      </c>
      <c r="N162" t="s">
        <v>62</v>
      </c>
      <c r="O162" t="str">
        <f t="shared" si="29"/>
        <v>Maharashtra</v>
      </c>
      <c r="P162" t="s">
        <v>63</v>
      </c>
      <c r="Q162" t="str">
        <f t="shared" si="30"/>
        <v>Mumbai</v>
      </c>
      <c r="R162" t="s">
        <v>26</v>
      </c>
      <c r="S162" t="str">
        <f t="shared" si="31"/>
        <v>Office Supplies</v>
      </c>
      <c r="T162" t="s">
        <v>27</v>
      </c>
      <c r="U162" t="str">
        <f t="shared" si="32"/>
        <v>Paper</v>
      </c>
      <c r="V162" t="s">
        <v>595</v>
      </c>
      <c r="X162" t="s">
        <v>29</v>
      </c>
      <c r="Y162" t="str">
        <f t="shared" si="33"/>
        <v>Second Class</v>
      </c>
      <c r="Z162">
        <v>4</v>
      </c>
      <c r="AA162">
        <v>1260.42</v>
      </c>
      <c r="AB162">
        <v>0.05</v>
      </c>
      <c r="AC162">
        <v>4789.6000000000004</v>
      </c>
      <c r="AD162">
        <v>4037.64</v>
      </c>
      <c r="AE162">
        <v>751.96</v>
      </c>
      <c r="AF162" t="s">
        <v>109</v>
      </c>
      <c r="AG162" t="str">
        <f t="shared" si="34"/>
        <v>Pending</v>
      </c>
      <c r="AH162" t="s">
        <v>66</v>
      </c>
    </row>
    <row r="163" spans="1:34">
      <c r="A163" t="s">
        <v>596</v>
      </c>
      <c r="B163">
        <f>COUNTIF($A:$A,A163)</f>
        <v>1</v>
      </c>
      <c r="C163" t="str">
        <f t="shared" si="25"/>
        <v>Unique</v>
      </c>
      <c r="D163" s="4">
        <v>45862</v>
      </c>
      <c r="E163">
        <f t="shared" si="26"/>
        <v>6</v>
      </c>
      <c r="F163" s="4">
        <v>45868</v>
      </c>
      <c r="G163" t="s">
        <v>597</v>
      </c>
      <c r="H163" t="s">
        <v>51</v>
      </c>
      <c r="I163" t="str">
        <f t="shared" si="27"/>
        <v>Arjun Bose</v>
      </c>
      <c r="J163" t="s">
        <v>598</v>
      </c>
      <c r="K163" t="str">
        <f t="shared" si="28"/>
        <v>Consumer</v>
      </c>
      <c r="L163" t="s">
        <v>61</v>
      </c>
      <c r="M163" t="str">
        <f t="shared" si="35"/>
        <v>West</v>
      </c>
      <c r="N163" t="s">
        <v>24</v>
      </c>
      <c r="O163" t="str">
        <f t="shared" si="29"/>
        <v>Rajasthan</v>
      </c>
      <c r="P163" t="s">
        <v>107</v>
      </c>
      <c r="Q163" t="str">
        <f t="shared" si="30"/>
        <v>Udaipur</v>
      </c>
      <c r="R163" t="s">
        <v>26</v>
      </c>
      <c r="S163" t="str">
        <f t="shared" si="31"/>
        <v>Office Supplies</v>
      </c>
      <c r="T163" t="s">
        <v>151</v>
      </c>
      <c r="U163" t="str">
        <f t="shared" si="32"/>
        <v>Binders</v>
      </c>
      <c r="V163" t="s">
        <v>599</v>
      </c>
      <c r="X163" t="s">
        <v>57</v>
      </c>
      <c r="Y163" t="str">
        <f t="shared" si="33"/>
        <v>Standard Class</v>
      </c>
      <c r="Z163">
        <v>1</v>
      </c>
      <c r="AA163">
        <v>1643.41</v>
      </c>
      <c r="AB163">
        <v>0</v>
      </c>
      <c r="AC163">
        <v>1643.41</v>
      </c>
      <c r="AD163">
        <v>907.4</v>
      </c>
      <c r="AE163">
        <v>736.01</v>
      </c>
      <c r="AF163" t="s">
        <v>109</v>
      </c>
      <c r="AG163" t="str">
        <f t="shared" si="34"/>
        <v>Pending</v>
      </c>
      <c r="AH163" t="s">
        <v>66</v>
      </c>
    </row>
    <row r="164" spans="1:34">
      <c r="A164" t="s">
        <v>600</v>
      </c>
      <c r="B164">
        <f>COUNTIF($A:$A,A164)</f>
        <v>1</v>
      </c>
      <c r="C164" t="str">
        <f t="shared" si="25"/>
        <v>Unique</v>
      </c>
      <c r="D164" s="4">
        <v>45538</v>
      </c>
      <c r="E164">
        <f t="shared" si="26"/>
        <v>-173</v>
      </c>
      <c r="F164" s="4">
        <v>45365</v>
      </c>
      <c r="G164" t="s">
        <v>601</v>
      </c>
      <c r="H164" t="s">
        <v>77</v>
      </c>
      <c r="I164" t="str">
        <f t="shared" si="27"/>
        <v>Neha Gupta</v>
      </c>
      <c r="J164" t="s">
        <v>35</v>
      </c>
      <c r="K164" t="str">
        <f t="shared" si="28"/>
        <v>Small Business</v>
      </c>
      <c r="L164" t="s">
        <v>61</v>
      </c>
      <c r="M164" t="str">
        <f t="shared" si="35"/>
        <v>West</v>
      </c>
      <c r="N164" t="s">
        <v>188</v>
      </c>
      <c r="O164" t="str">
        <f t="shared" si="29"/>
        <v>Goa</v>
      </c>
      <c r="P164" t="s">
        <v>189</v>
      </c>
      <c r="Q164" t="str">
        <f t="shared" si="30"/>
        <v>Panaji</v>
      </c>
      <c r="R164" t="s">
        <v>39</v>
      </c>
      <c r="S164" t="str">
        <f t="shared" si="31"/>
        <v>Furniture</v>
      </c>
      <c r="T164" t="s">
        <v>55</v>
      </c>
      <c r="U164" t="str">
        <f t="shared" si="32"/>
        <v>Furnishings</v>
      </c>
      <c r="V164" t="s">
        <v>602</v>
      </c>
      <c r="X164" t="s">
        <v>29</v>
      </c>
      <c r="Y164" t="str">
        <f t="shared" si="33"/>
        <v>Second Class</v>
      </c>
      <c r="Z164">
        <v>8</v>
      </c>
      <c r="AA164">
        <v>4472.84</v>
      </c>
      <c r="AB164">
        <v>0</v>
      </c>
      <c r="AC164">
        <v>35997.620000000003</v>
      </c>
      <c r="AD164">
        <v>26424.41</v>
      </c>
      <c r="AE164">
        <v>9358.31</v>
      </c>
      <c r="AF164" t="s">
        <v>109</v>
      </c>
      <c r="AG164" t="str">
        <f t="shared" si="34"/>
        <v>Pending</v>
      </c>
      <c r="AH164" t="s">
        <v>101</v>
      </c>
    </row>
    <row r="165" spans="1:34">
      <c r="A165" t="s">
        <v>603</v>
      </c>
      <c r="B165">
        <f>COUNTIF($A:$A,A165)</f>
        <v>1</v>
      </c>
      <c r="C165" t="str">
        <f t="shared" si="25"/>
        <v>Unique</v>
      </c>
      <c r="D165" s="4">
        <v>45921</v>
      </c>
      <c r="E165">
        <f t="shared" si="26"/>
        <v>5</v>
      </c>
      <c r="F165" s="4">
        <v>45926</v>
      </c>
      <c r="G165" t="s">
        <v>604</v>
      </c>
      <c r="H165" t="s">
        <v>139</v>
      </c>
      <c r="I165" t="str">
        <f t="shared" si="27"/>
        <v>Rohan Mehta</v>
      </c>
      <c r="J165" t="s">
        <v>93</v>
      </c>
      <c r="K165" t="str">
        <f t="shared" si="28"/>
        <v>Home Office</v>
      </c>
      <c r="L165" t="s">
        <v>61</v>
      </c>
      <c r="M165" t="str">
        <f t="shared" si="35"/>
        <v>West</v>
      </c>
      <c r="N165" t="s">
        <v>178</v>
      </c>
      <c r="O165" t="str">
        <f t="shared" si="29"/>
        <v>Gujarat</v>
      </c>
      <c r="P165" t="s">
        <v>179</v>
      </c>
      <c r="Q165" t="str">
        <f t="shared" si="30"/>
        <v>Ahmedabad</v>
      </c>
      <c r="R165" t="s">
        <v>39</v>
      </c>
      <c r="S165" t="str">
        <f t="shared" si="31"/>
        <v>Furniture</v>
      </c>
      <c r="T165" t="s">
        <v>40</v>
      </c>
      <c r="U165" t="str">
        <f t="shared" si="32"/>
        <v>Tables</v>
      </c>
      <c r="V165" t="s">
        <v>605</v>
      </c>
      <c r="Y165" t="s">
        <v>2828</v>
      </c>
      <c r="Z165">
        <v>6</v>
      </c>
      <c r="AA165">
        <v>2903.58</v>
      </c>
      <c r="AB165">
        <v>0.1</v>
      </c>
      <c r="AC165">
        <v>15679.33</v>
      </c>
      <c r="AD165">
        <v>12477.82</v>
      </c>
      <c r="AE165">
        <v>3201.51</v>
      </c>
      <c r="AF165" t="s">
        <v>109</v>
      </c>
      <c r="AG165" t="str">
        <f t="shared" si="34"/>
        <v>Pending</v>
      </c>
      <c r="AH165" t="s">
        <v>101</v>
      </c>
    </row>
    <row r="166" spans="1:34">
      <c r="A166" t="s">
        <v>606</v>
      </c>
      <c r="B166">
        <f>COUNTIF($A:$A,A166)</f>
        <v>1</v>
      </c>
      <c r="C166" t="str">
        <f t="shared" si="25"/>
        <v>Unique</v>
      </c>
      <c r="D166" s="4">
        <v>45909</v>
      </c>
      <c r="E166">
        <f t="shared" si="26"/>
        <v>5</v>
      </c>
      <c r="F166" s="4">
        <v>45914</v>
      </c>
      <c r="G166" t="s">
        <v>607</v>
      </c>
      <c r="H166" t="s">
        <v>116</v>
      </c>
      <c r="I166" t="str">
        <f t="shared" si="27"/>
        <v>Rahul Verma</v>
      </c>
      <c r="J166" t="s">
        <v>35</v>
      </c>
      <c r="K166" t="str">
        <f t="shared" si="28"/>
        <v>Small Business</v>
      </c>
      <c r="L166" t="s">
        <v>36</v>
      </c>
      <c r="M166" t="str">
        <f t="shared" si="35"/>
        <v>East</v>
      </c>
      <c r="N166" t="s">
        <v>97</v>
      </c>
      <c r="O166" t="str">
        <f t="shared" si="29"/>
        <v>West Bengal</v>
      </c>
      <c r="P166" t="s">
        <v>98</v>
      </c>
      <c r="Q166" t="str">
        <f t="shared" si="30"/>
        <v>Kolkata</v>
      </c>
      <c r="R166" t="s">
        <v>39</v>
      </c>
      <c r="S166" t="str">
        <f t="shared" si="31"/>
        <v>Furniture</v>
      </c>
      <c r="T166" t="s">
        <v>156</v>
      </c>
      <c r="U166" t="str">
        <f t="shared" si="32"/>
        <v>Bookcases</v>
      </c>
      <c r="V166" t="s">
        <v>608</v>
      </c>
      <c r="X166" t="s">
        <v>29</v>
      </c>
      <c r="Y166" t="str">
        <f t="shared" si="33"/>
        <v>Second Class</v>
      </c>
      <c r="Z166">
        <v>1</v>
      </c>
      <c r="AA166">
        <v>3154.42</v>
      </c>
      <c r="AB166">
        <v>0.25</v>
      </c>
      <c r="AC166">
        <v>2365.8200000000002</v>
      </c>
      <c r="AD166">
        <v>1547.99</v>
      </c>
      <c r="AE166">
        <v>817.83</v>
      </c>
      <c r="AF166" t="s">
        <v>30</v>
      </c>
      <c r="AG166" t="str">
        <f t="shared" si="34"/>
        <v>Paid</v>
      </c>
      <c r="AH166" t="s">
        <v>31</v>
      </c>
    </row>
    <row r="167" spans="1:34">
      <c r="A167" t="s">
        <v>609</v>
      </c>
      <c r="B167">
        <f>COUNTIF($A:$A,A167)</f>
        <v>1</v>
      </c>
      <c r="C167" t="str">
        <f t="shared" si="25"/>
        <v>Unique</v>
      </c>
      <c r="D167" s="4">
        <v>45618</v>
      </c>
      <c r="E167">
        <f t="shared" si="26"/>
        <v>7</v>
      </c>
      <c r="F167" s="4">
        <v>45625</v>
      </c>
      <c r="G167" t="s">
        <v>610</v>
      </c>
      <c r="H167" t="s">
        <v>34</v>
      </c>
      <c r="I167" t="str">
        <f t="shared" si="27"/>
        <v>Mira Das</v>
      </c>
      <c r="J167" t="s">
        <v>93</v>
      </c>
      <c r="K167" t="str">
        <f t="shared" si="28"/>
        <v>Home Office</v>
      </c>
      <c r="L167" t="s">
        <v>36</v>
      </c>
      <c r="M167" t="str">
        <f t="shared" si="35"/>
        <v>East</v>
      </c>
      <c r="N167" t="s">
        <v>143</v>
      </c>
      <c r="O167" t="str">
        <f t="shared" si="29"/>
        <v>Bihar</v>
      </c>
      <c r="P167" t="s">
        <v>144</v>
      </c>
      <c r="Q167" t="str">
        <f t="shared" si="30"/>
        <v>Patna</v>
      </c>
      <c r="R167" t="s">
        <v>39</v>
      </c>
      <c r="S167" t="str">
        <f t="shared" si="31"/>
        <v>Furniture</v>
      </c>
      <c r="T167" t="s">
        <v>64</v>
      </c>
      <c r="U167" t="str">
        <f t="shared" si="32"/>
        <v>Chairs</v>
      </c>
      <c r="V167" t="s">
        <v>611</v>
      </c>
      <c r="X167" t="s">
        <v>57</v>
      </c>
      <c r="Y167" t="str">
        <f t="shared" si="33"/>
        <v>Standard Class</v>
      </c>
      <c r="Z167">
        <v>4</v>
      </c>
      <c r="AA167">
        <v>3422.99</v>
      </c>
      <c r="AB167">
        <v>0.25</v>
      </c>
      <c r="AC167">
        <v>10268.969999999999</v>
      </c>
      <c r="AD167">
        <v>6470.92</v>
      </c>
      <c r="AE167">
        <v>3798.05</v>
      </c>
      <c r="AF167" t="s">
        <v>30</v>
      </c>
      <c r="AG167" t="str">
        <f t="shared" si="34"/>
        <v>Paid</v>
      </c>
      <c r="AH167" t="s">
        <v>31</v>
      </c>
    </row>
    <row r="168" spans="1:34">
      <c r="A168" t="s">
        <v>612</v>
      </c>
      <c r="B168">
        <f>COUNTIF($A:$A,A168)</f>
        <v>1</v>
      </c>
      <c r="C168" t="str">
        <f t="shared" si="25"/>
        <v>Unique</v>
      </c>
      <c r="D168" s="4">
        <v>45708</v>
      </c>
      <c r="E168">
        <f t="shared" si="26"/>
        <v>6</v>
      </c>
      <c r="F168" s="4">
        <v>45714</v>
      </c>
      <c r="G168" t="s">
        <v>613</v>
      </c>
      <c r="H168" t="s">
        <v>21</v>
      </c>
      <c r="I168" t="str">
        <f t="shared" si="27"/>
        <v>Karan Malhotra</v>
      </c>
      <c r="J168" t="s">
        <v>35</v>
      </c>
      <c r="K168" t="str">
        <f t="shared" si="28"/>
        <v>Small Business</v>
      </c>
      <c r="L168" t="s">
        <v>61</v>
      </c>
      <c r="M168" t="str">
        <f t="shared" si="35"/>
        <v>West</v>
      </c>
      <c r="N168" t="s">
        <v>178</v>
      </c>
      <c r="O168" t="str">
        <f t="shared" si="29"/>
        <v>Gujarat</v>
      </c>
      <c r="P168" t="s">
        <v>179</v>
      </c>
      <c r="Q168" t="str">
        <f t="shared" si="30"/>
        <v>Ahmedabad</v>
      </c>
      <c r="R168" t="s">
        <v>614</v>
      </c>
      <c r="S168" t="str">
        <f t="shared" si="31"/>
        <v>Office Supplies</v>
      </c>
      <c r="T168" t="s">
        <v>89</v>
      </c>
      <c r="U168" t="str">
        <f t="shared" si="32"/>
        <v>Labels</v>
      </c>
      <c r="V168" t="s">
        <v>615</v>
      </c>
      <c r="X168" t="s">
        <v>48</v>
      </c>
      <c r="Y168" t="str">
        <f t="shared" si="33"/>
        <v>First Class</v>
      </c>
      <c r="Z168">
        <v>1</v>
      </c>
      <c r="AA168">
        <v>2557.85</v>
      </c>
      <c r="AB168">
        <v>0.2</v>
      </c>
      <c r="AC168">
        <v>2046.28</v>
      </c>
      <c r="AD168">
        <v>1449.54</v>
      </c>
      <c r="AE168">
        <v>596.74</v>
      </c>
      <c r="AF168" t="s">
        <v>30</v>
      </c>
      <c r="AG168" t="str">
        <f t="shared" si="34"/>
        <v>Paid</v>
      </c>
      <c r="AH168" t="s">
        <v>31</v>
      </c>
    </row>
    <row r="169" spans="1:34">
      <c r="A169" t="s">
        <v>616</v>
      </c>
      <c r="B169">
        <f>COUNTIF($A:$A,A169)</f>
        <v>1</v>
      </c>
      <c r="C169" t="str">
        <f t="shared" si="25"/>
        <v>Unique</v>
      </c>
      <c r="D169" s="4">
        <v>45887</v>
      </c>
      <c r="E169">
        <f t="shared" si="26"/>
        <v>0</v>
      </c>
      <c r="F169" s="4">
        <v>45887</v>
      </c>
      <c r="G169" t="s">
        <v>617</v>
      </c>
      <c r="H169" t="s">
        <v>51</v>
      </c>
      <c r="I169" t="str">
        <f t="shared" si="27"/>
        <v>Arjun Bose</v>
      </c>
      <c r="J169" t="s">
        <v>93</v>
      </c>
      <c r="K169" t="str">
        <f t="shared" si="28"/>
        <v>Home Office</v>
      </c>
      <c r="L169" t="s">
        <v>52</v>
      </c>
      <c r="M169" t="str">
        <f t="shared" si="35"/>
        <v>South</v>
      </c>
      <c r="N169" t="s">
        <v>173</v>
      </c>
      <c r="O169" t="str">
        <f t="shared" si="29"/>
        <v>Karnataka</v>
      </c>
      <c r="P169" t="s">
        <v>174</v>
      </c>
      <c r="Q169" t="str">
        <f t="shared" si="30"/>
        <v>Bengaluru</v>
      </c>
      <c r="R169" t="s">
        <v>26</v>
      </c>
      <c r="S169" t="str">
        <f t="shared" si="31"/>
        <v>Office Supplies</v>
      </c>
      <c r="T169" t="s">
        <v>122</v>
      </c>
      <c r="U169" t="str">
        <f t="shared" si="32"/>
        <v>Storage</v>
      </c>
      <c r="V169" t="s">
        <v>618</v>
      </c>
      <c r="X169" t="s">
        <v>48</v>
      </c>
      <c r="Y169" t="str">
        <f t="shared" si="33"/>
        <v>First Class</v>
      </c>
      <c r="Z169">
        <v>9</v>
      </c>
      <c r="AA169">
        <v>3030.93</v>
      </c>
      <c r="AB169">
        <v>0.15</v>
      </c>
      <c r="AC169">
        <v>23186.61</v>
      </c>
      <c r="AD169">
        <v>17906.54</v>
      </c>
      <c r="AE169">
        <v>5280.07</v>
      </c>
      <c r="AF169" t="s">
        <v>30</v>
      </c>
      <c r="AG169" t="str">
        <f t="shared" si="34"/>
        <v>Paid</v>
      </c>
      <c r="AH169" t="s">
        <v>101</v>
      </c>
    </row>
    <row r="170" spans="1:34">
      <c r="A170" t="s">
        <v>619</v>
      </c>
      <c r="B170">
        <f>COUNTIF($A:$A,A170)</f>
        <v>1</v>
      </c>
      <c r="C170" t="str">
        <f t="shared" si="25"/>
        <v>Unique</v>
      </c>
      <c r="D170" s="4">
        <v>45677</v>
      </c>
      <c r="E170">
        <f t="shared" si="26"/>
        <v>3</v>
      </c>
      <c r="F170" s="4">
        <v>45680</v>
      </c>
      <c r="G170" t="s">
        <v>620</v>
      </c>
      <c r="H170" t="s">
        <v>263</v>
      </c>
      <c r="I170" t="str">
        <f t="shared" si="27"/>
        <v>Kabir Singh</v>
      </c>
      <c r="J170" t="s">
        <v>22</v>
      </c>
      <c r="K170" t="str">
        <f t="shared" si="28"/>
        <v>Consumer</v>
      </c>
      <c r="L170" t="s">
        <v>61</v>
      </c>
      <c r="M170" t="str">
        <f t="shared" si="35"/>
        <v>West</v>
      </c>
      <c r="N170" t="s">
        <v>62</v>
      </c>
      <c r="O170" t="str">
        <f t="shared" si="29"/>
        <v>Maharashtra</v>
      </c>
      <c r="P170" t="s">
        <v>63</v>
      </c>
      <c r="Q170" t="str">
        <f t="shared" si="30"/>
        <v>Mumbai</v>
      </c>
      <c r="R170" t="s">
        <v>72</v>
      </c>
      <c r="S170" t="str">
        <f t="shared" si="31"/>
        <v>Technology</v>
      </c>
      <c r="T170" t="s">
        <v>73</v>
      </c>
      <c r="U170" t="str">
        <f t="shared" si="32"/>
        <v>Accessories</v>
      </c>
      <c r="V170" t="s">
        <v>621</v>
      </c>
      <c r="X170" t="s">
        <v>42</v>
      </c>
      <c r="Y170" t="str">
        <f t="shared" si="33"/>
        <v>Same Day</v>
      </c>
      <c r="Z170">
        <v>5</v>
      </c>
      <c r="AA170">
        <v>639.27</v>
      </c>
      <c r="AB170">
        <v>0.2</v>
      </c>
      <c r="AC170">
        <v>2557.08</v>
      </c>
      <c r="AD170">
        <v>2025.69</v>
      </c>
      <c r="AE170">
        <v>531.39</v>
      </c>
      <c r="AF170" t="s">
        <v>30</v>
      </c>
      <c r="AG170" t="str">
        <f t="shared" si="34"/>
        <v>Paid</v>
      </c>
      <c r="AH170" t="s">
        <v>66</v>
      </c>
    </row>
    <row r="171" spans="1:34">
      <c r="A171" t="s">
        <v>622</v>
      </c>
      <c r="B171">
        <f>COUNTIF($A:$A,A171)</f>
        <v>1</v>
      </c>
      <c r="C171" t="str">
        <f t="shared" si="25"/>
        <v>Unique</v>
      </c>
      <c r="D171" s="4">
        <v>45913</v>
      </c>
      <c r="E171">
        <f t="shared" si="26"/>
        <v>0</v>
      </c>
      <c r="F171" s="4">
        <v>45913</v>
      </c>
      <c r="G171" t="s">
        <v>623</v>
      </c>
      <c r="H171" t="s">
        <v>160</v>
      </c>
      <c r="I171" t="str">
        <f t="shared" si="27"/>
        <v>Diya Patel</v>
      </c>
      <c r="J171" t="s">
        <v>22</v>
      </c>
      <c r="K171" t="str">
        <f t="shared" si="28"/>
        <v>Consumer</v>
      </c>
      <c r="L171" t="s">
        <v>36</v>
      </c>
      <c r="M171" t="str">
        <f t="shared" si="35"/>
        <v>East</v>
      </c>
      <c r="N171" t="s">
        <v>164</v>
      </c>
      <c r="O171" t="str">
        <f t="shared" si="29"/>
        <v>Assam</v>
      </c>
      <c r="P171" t="s">
        <v>165</v>
      </c>
      <c r="Q171" t="str">
        <f t="shared" si="30"/>
        <v>Guwahati</v>
      </c>
      <c r="R171" t="s">
        <v>26</v>
      </c>
      <c r="S171" t="str">
        <f t="shared" si="31"/>
        <v>Office Supplies</v>
      </c>
      <c r="T171" t="s">
        <v>46</v>
      </c>
      <c r="U171" t="str">
        <f t="shared" si="32"/>
        <v>Art</v>
      </c>
      <c r="V171" t="s">
        <v>624</v>
      </c>
      <c r="X171" t="s">
        <v>57</v>
      </c>
      <c r="Y171" t="str">
        <f t="shared" si="33"/>
        <v>Standard Class</v>
      </c>
      <c r="Z171">
        <v>8</v>
      </c>
      <c r="AA171">
        <v>733.9</v>
      </c>
      <c r="AB171">
        <v>0.05</v>
      </c>
      <c r="AC171">
        <v>5577.64</v>
      </c>
      <c r="AD171">
        <v>3541.29</v>
      </c>
      <c r="AE171">
        <v>2036.35</v>
      </c>
      <c r="AF171" t="s">
        <v>109</v>
      </c>
      <c r="AG171" t="str">
        <f t="shared" si="34"/>
        <v>Pending</v>
      </c>
      <c r="AH171" t="s">
        <v>101</v>
      </c>
    </row>
    <row r="172" spans="1:34">
      <c r="A172" t="s">
        <v>625</v>
      </c>
      <c r="B172">
        <f>COUNTIF($A:$A,A172)</f>
        <v>1</v>
      </c>
      <c r="C172" t="str">
        <f t="shared" si="25"/>
        <v>Unique</v>
      </c>
      <c r="D172" s="4">
        <v>45847</v>
      </c>
      <c r="E172">
        <f t="shared" si="26"/>
        <v>68</v>
      </c>
      <c r="F172" s="4">
        <v>45915</v>
      </c>
      <c r="G172" t="s">
        <v>626</v>
      </c>
      <c r="H172" t="s">
        <v>139</v>
      </c>
      <c r="I172" t="str">
        <f t="shared" si="27"/>
        <v>Rohan Mehta</v>
      </c>
      <c r="J172" t="s">
        <v>88</v>
      </c>
      <c r="K172" t="str">
        <f t="shared" si="28"/>
        <v>Corporate</v>
      </c>
      <c r="L172" t="s">
        <v>36</v>
      </c>
      <c r="M172" t="str">
        <f t="shared" si="35"/>
        <v>East</v>
      </c>
      <c r="N172" t="s">
        <v>143</v>
      </c>
      <c r="O172" t="str">
        <f t="shared" si="29"/>
        <v>Bihar</v>
      </c>
      <c r="P172" t="s">
        <v>144</v>
      </c>
      <c r="Q172" t="str">
        <f t="shared" si="30"/>
        <v>Patna</v>
      </c>
      <c r="R172" t="s">
        <v>72</v>
      </c>
      <c r="S172" t="str">
        <f t="shared" si="31"/>
        <v>Technology</v>
      </c>
      <c r="T172" t="s">
        <v>78</v>
      </c>
      <c r="U172" t="str">
        <f t="shared" si="32"/>
        <v>Copiers</v>
      </c>
      <c r="V172" t="s">
        <v>627</v>
      </c>
      <c r="X172" t="s">
        <v>57</v>
      </c>
      <c r="Y172" t="str">
        <f t="shared" si="33"/>
        <v>Standard Class</v>
      </c>
      <c r="Z172">
        <v>3</v>
      </c>
      <c r="AA172">
        <v>1711.32</v>
      </c>
      <c r="AB172">
        <v>0</v>
      </c>
      <c r="AC172">
        <v>5133.96</v>
      </c>
      <c r="AD172">
        <v>3930</v>
      </c>
      <c r="AE172">
        <v>1203.96</v>
      </c>
      <c r="AF172" t="s">
        <v>30</v>
      </c>
      <c r="AG172" t="str">
        <f t="shared" si="34"/>
        <v>Paid</v>
      </c>
      <c r="AH172" t="s">
        <v>31</v>
      </c>
    </row>
    <row r="173" spans="1:34">
      <c r="A173" t="s">
        <v>628</v>
      </c>
      <c r="B173">
        <f>COUNTIF($A:$A,A173)</f>
        <v>1</v>
      </c>
      <c r="C173" t="str">
        <f t="shared" si="25"/>
        <v>Unique</v>
      </c>
      <c r="D173" s="4">
        <v>45711</v>
      </c>
      <c r="E173">
        <f t="shared" si="26"/>
        <v>2</v>
      </c>
      <c r="F173" s="4">
        <v>45713</v>
      </c>
      <c r="G173" t="s">
        <v>629</v>
      </c>
      <c r="H173" t="s">
        <v>21</v>
      </c>
      <c r="I173" t="str">
        <f t="shared" si="27"/>
        <v>Karan Malhotra</v>
      </c>
      <c r="J173" t="s">
        <v>88</v>
      </c>
      <c r="K173" t="str">
        <f t="shared" si="28"/>
        <v>Corporate</v>
      </c>
      <c r="L173" t="s">
        <v>36</v>
      </c>
      <c r="M173" t="str">
        <f t="shared" si="35"/>
        <v>East</v>
      </c>
      <c r="N173" t="s">
        <v>143</v>
      </c>
      <c r="O173" t="str">
        <f t="shared" si="29"/>
        <v>Bihar</v>
      </c>
      <c r="P173" t="s">
        <v>144</v>
      </c>
      <c r="Q173" t="str">
        <f t="shared" si="30"/>
        <v>Patna</v>
      </c>
      <c r="R173" t="s">
        <v>26</v>
      </c>
      <c r="S173" t="str">
        <f t="shared" si="31"/>
        <v>Office Supplies</v>
      </c>
      <c r="T173" t="s">
        <v>89</v>
      </c>
      <c r="U173" t="str">
        <f t="shared" si="32"/>
        <v>Labels</v>
      </c>
      <c r="V173" t="s">
        <v>630</v>
      </c>
      <c r="X173" t="s">
        <v>42</v>
      </c>
      <c r="Y173" t="str">
        <f t="shared" si="33"/>
        <v>Same Day</v>
      </c>
      <c r="Z173">
        <v>5</v>
      </c>
      <c r="AA173">
        <v>4246.2700000000004</v>
      </c>
      <c r="AB173">
        <v>0.25</v>
      </c>
      <c r="AC173">
        <v>15923.51</v>
      </c>
      <c r="AD173">
        <v>11291.8</v>
      </c>
      <c r="AE173">
        <v>4631.71</v>
      </c>
      <c r="AF173" t="s">
        <v>30</v>
      </c>
      <c r="AG173" t="str">
        <f t="shared" si="34"/>
        <v>Paid</v>
      </c>
      <c r="AH173" t="s">
        <v>31</v>
      </c>
    </row>
    <row r="174" spans="1:34">
      <c r="A174" t="s">
        <v>631</v>
      </c>
      <c r="B174">
        <f>COUNTIF($A:$A,A174)</f>
        <v>1</v>
      </c>
      <c r="C174" t="str">
        <f t="shared" si="25"/>
        <v>Unique</v>
      </c>
      <c r="D174" s="4">
        <v>45696</v>
      </c>
      <c r="E174">
        <f t="shared" si="26"/>
        <v>242</v>
      </c>
      <c r="F174" s="4">
        <v>45938</v>
      </c>
      <c r="G174" t="s">
        <v>632</v>
      </c>
      <c r="H174" t="s">
        <v>21</v>
      </c>
      <c r="I174" t="str">
        <f t="shared" si="27"/>
        <v>Karan Malhotra</v>
      </c>
      <c r="J174" t="s">
        <v>88</v>
      </c>
      <c r="K174" t="str">
        <f t="shared" si="28"/>
        <v>Corporate</v>
      </c>
      <c r="L174" t="s">
        <v>23</v>
      </c>
      <c r="M174" t="str">
        <f t="shared" si="35"/>
        <v>North</v>
      </c>
      <c r="N174" t="s">
        <v>349</v>
      </c>
      <c r="O174" t="str">
        <f t="shared" si="29"/>
        <v>Delhi</v>
      </c>
      <c r="P174" t="s">
        <v>350</v>
      </c>
      <c r="Q174" t="str">
        <f t="shared" si="30"/>
        <v>New Delhi</v>
      </c>
      <c r="R174" t="s">
        <v>39</v>
      </c>
      <c r="S174" t="str">
        <f t="shared" si="31"/>
        <v>Furniture</v>
      </c>
      <c r="T174" t="s">
        <v>55</v>
      </c>
      <c r="U174" t="str">
        <f t="shared" si="32"/>
        <v>Furnishings</v>
      </c>
      <c r="V174" t="s">
        <v>633</v>
      </c>
      <c r="X174" t="s">
        <v>42</v>
      </c>
      <c r="Y174" t="str">
        <f t="shared" si="33"/>
        <v>Same Day</v>
      </c>
      <c r="Z174">
        <v>9</v>
      </c>
      <c r="AA174">
        <v>2962.62</v>
      </c>
      <c r="AB174">
        <v>0.1</v>
      </c>
      <c r="AC174">
        <v>23997.22</v>
      </c>
      <c r="AD174">
        <v>16134.63</v>
      </c>
      <c r="AE174">
        <v>7862.59</v>
      </c>
      <c r="AF174" t="s">
        <v>100</v>
      </c>
      <c r="AG174" t="str">
        <f t="shared" si="34"/>
        <v>Refunded</v>
      </c>
      <c r="AH174" t="s">
        <v>101</v>
      </c>
    </row>
    <row r="175" spans="1:34">
      <c r="A175" t="s">
        <v>634</v>
      </c>
      <c r="B175">
        <f>COUNTIF($A:$A,A175)</f>
        <v>1</v>
      </c>
      <c r="C175" t="str">
        <f t="shared" si="25"/>
        <v>Unique</v>
      </c>
      <c r="D175" s="4">
        <v>45327</v>
      </c>
      <c r="E175">
        <f t="shared" si="26"/>
        <v>182</v>
      </c>
      <c r="F175" s="4">
        <v>45509</v>
      </c>
      <c r="G175" t="s">
        <v>635</v>
      </c>
      <c r="H175" t="s">
        <v>636</v>
      </c>
      <c r="I175" t="str">
        <f t="shared" si="27"/>
        <v>Priya Menon</v>
      </c>
      <c r="J175" t="s">
        <v>93</v>
      </c>
      <c r="K175" t="str">
        <f t="shared" si="28"/>
        <v>Home Office</v>
      </c>
      <c r="L175" t="s">
        <v>23</v>
      </c>
      <c r="M175" t="str">
        <f t="shared" si="35"/>
        <v>North</v>
      </c>
      <c r="N175" t="s">
        <v>120</v>
      </c>
      <c r="O175" t="str">
        <f t="shared" si="29"/>
        <v>Punjab</v>
      </c>
      <c r="P175" t="s">
        <v>121</v>
      </c>
      <c r="Q175" t="str">
        <f t="shared" si="30"/>
        <v>Ludhiana</v>
      </c>
      <c r="R175" t="s">
        <v>72</v>
      </c>
      <c r="S175" t="str">
        <f t="shared" si="31"/>
        <v>Technology</v>
      </c>
      <c r="T175" t="s">
        <v>78</v>
      </c>
      <c r="U175" t="str">
        <f t="shared" si="32"/>
        <v>Copiers</v>
      </c>
      <c r="V175" t="s">
        <v>637</v>
      </c>
      <c r="X175" t="s">
        <v>29</v>
      </c>
      <c r="Y175" t="str">
        <f t="shared" si="33"/>
        <v>Second Class</v>
      </c>
      <c r="Z175">
        <v>1</v>
      </c>
      <c r="AA175">
        <v>2312.25</v>
      </c>
      <c r="AB175">
        <v>0.25</v>
      </c>
      <c r="AC175">
        <v>1734.19</v>
      </c>
      <c r="AD175">
        <v>1386.07</v>
      </c>
      <c r="AE175">
        <v>348.12</v>
      </c>
      <c r="AF175" t="s">
        <v>30</v>
      </c>
      <c r="AG175" t="str">
        <f t="shared" si="34"/>
        <v>Paid</v>
      </c>
      <c r="AH175" t="s">
        <v>31</v>
      </c>
    </row>
    <row r="176" spans="1:34">
      <c r="A176" t="s">
        <v>638</v>
      </c>
      <c r="B176">
        <f>COUNTIF($A:$A,A176)</f>
        <v>1</v>
      </c>
      <c r="C176" t="str">
        <f t="shared" si="25"/>
        <v>Unique</v>
      </c>
      <c r="D176" s="4">
        <v>45928</v>
      </c>
      <c r="E176">
        <f t="shared" si="26"/>
        <v>-171</v>
      </c>
      <c r="F176" s="4">
        <v>45757</v>
      </c>
      <c r="G176" t="s">
        <v>639</v>
      </c>
      <c r="H176" t="s">
        <v>21</v>
      </c>
      <c r="I176" t="str">
        <f t="shared" si="27"/>
        <v>Karan Malhotra</v>
      </c>
      <c r="J176" t="s">
        <v>35</v>
      </c>
      <c r="K176" t="str">
        <f t="shared" si="28"/>
        <v>Small Business</v>
      </c>
      <c r="L176" t="s">
        <v>52</v>
      </c>
      <c r="M176" t="str">
        <f t="shared" si="35"/>
        <v>South</v>
      </c>
      <c r="N176" t="s">
        <v>173</v>
      </c>
      <c r="O176" t="str">
        <f t="shared" si="29"/>
        <v>Karnataka</v>
      </c>
      <c r="P176" t="s">
        <v>174</v>
      </c>
      <c r="Q176" t="str">
        <f t="shared" si="30"/>
        <v>Bengaluru</v>
      </c>
      <c r="R176" t="s">
        <v>39</v>
      </c>
      <c r="S176" t="str">
        <f t="shared" si="31"/>
        <v>Furniture</v>
      </c>
      <c r="T176" t="s">
        <v>156</v>
      </c>
      <c r="U176" t="str">
        <f t="shared" si="32"/>
        <v>Bookcases</v>
      </c>
      <c r="V176" t="s">
        <v>640</v>
      </c>
      <c r="X176" t="s">
        <v>48</v>
      </c>
      <c r="Y176" t="str">
        <f t="shared" si="33"/>
        <v>First Class</v>
      </c>
      <c r="Z176">
        <v>6</v>
      </c>
      <c r="AA176">
        <v>1620.53</v>
      </c>
      <c r="AB176">
        <v>0.15</v>
      </c>
      <c r="AC176">
        <v>8264.7000000000007</v>
      </c>
      <c r="AD176">
        <v>4768.75</v>
      </c>
      <c r="AE176">
        <v>3495.95</v>
      </c>
      <c r="AF176" t="s">
        <v>109</v>
      </c>
      <c r="AG176" t="str">
        <f t="shared" si="34"/>
        <v>Pending</v>
      </c>
      <c r="AH176" t="s">
        <v>101</v>
      </c>
    </row>
    <row r="177" spans="1:34">
      <c r="A177" t="s">
        <v>641</v>
      </c>
      <c r="B177">
        <f>COUNTIF($A:$A,A177)</f>
        <v>1</v>
      </c>
      <c r="C177" t="str">
        <f t="shared" si="25"/>
        <v>Unique</v>
      </c>
      <c r="D177" s="4">
        <v>45318</v>
      </c>
      <c r="E177">
        <f t="shared" si="26"/>
        <v>35</v>
      </c>
      <c r="F177" s="4">
        <v>45353</v>
      </c>
      <c r="G177" t="s">
        <v>642</v>
      </c>
      <c r="H177" t="s">
        <v>51</v>
      </c>
      <c r="I177" t="str">
        <f t="shared" si="27"/>
        <v>Arjun Bose</v>
      </c>
      <c r="J177" t="s">
        <v>35</v>
      </c>
      <c r="K177" t="str">
        <f t="shared" si="28"/>
        <v>Small Business</v>
      </c>
      <c r="L177" t="s">
        <v>36</v>
      </c>
      <c r="M177" t="str">
        <f t="shared" si="35"/>
        <v>East</v>
      </c>
      <c r="N177" t="s">
        <v>143</v>
      </c>
      <c r="O177" t="str">
        <f t="shared" si="29"/>
        <v>Bihar</v>
      </c>
      <c r="P177" t="s">
        <v>144</v>
      </c>
      <c r="Q177" t="str">
        <f t="shared" si="30"/>
        <v>Patna</v>
      </c>
      <c r="R177" t="s">
        <v>72</v>
      </c>
      <c r="S177" t="str">
        <f t="shared" si="31"/>
        <v>Technology</v>
      </c>
      <c r="T177" t="s">
        <v>273</v>
      </c>
      <c r="U177" t="str">
        <f t="shared" si="32"/>
        <v>Machines</v>
      </c>
      <c r="V177" t="s">
        <v>643</v>
      </c>
      <c r="X177" t="s">
        <v>42</v>
      </c>
      <c r="Y177" t="str">
        <f t="shared" si="33"/>
        <v>Same Day</v>
      </c>
      <c r="Z177">
        <v>7</v>
      </c>
      <c r="AA177">
        <v>2673.42</v>
      </c>
      <c r="AB177">
        <v>0.15</v>
      </c>
      <c r="AC177">
        <v>15906.85</v>
      </c>
      <c r="AD177">
        <v>11014.46</v>
      </c>
      <c r="AE177">
        <v>4892.3900000000003</v>
      </c>
      <c r="AF177" t="s">
        <v>30</v>
      </c>
      <c r="AG177" t="str">
        <f t="shared" si="34"/>
        <v>Paid</v>
      </c>
      <c r="AH177" t="s">
        <v>101</v>
      </c>
    </row>
    <row r="178" spans="1:34">
      <c r="A178" t="s">
        <v>644</v>
      </c>
      <c r="B178">
        <f>COUNTIF($A:$A,A178)</f>
        <v>1</v>
      </c>
      <c r="C178" t="str">
        <f t="shared" si="25"/>
        <v>Unique</v>
      </c>
      <c r="D178" s="4">
        <v>45734</v>
      </c>
      <c r="E178">
        <f t="shared" si="26"/>
        <v>8</v>
      </c>
      <c r="F178" s="4">
        <v>45742</v>
      </c>
      <c r="G178" t="s">
        <v>645</v>
      </c>
      <c r="H178" t="s">
        <v>69</v>
      </c>
      <c r="I178" t="str">
        <f t="shared" si="27"/>
        <v>Vikram Iyer</v>
      </c>
      <c r="J178" t="s">
        <v>88</v>
      </c>
      <c r="K178" t="str">
        <f t="shared" si="28"/>
        <v>Corporate</v>
      </c>
      <c r="L178" t="s">
        <v>36</v>
      </c>
      <c r="M178" t="str">
        <f t="shared" si="35"/>
        <v>East</v>
      </c>
      <c r="N178" t="s">
        <v>227</v>
      </c>
      <c r="O178" t="str">
        <f t="shared" si="29"/>
        <v>Jharkhand</v>
      </c>
      <c r="P178" t="s">
        <v>228</v>
      </c>
      <c r="Q178" t="str">
        <f t="shared" si="30"/>
        <v>Ranchi</v>
      </c>
      <c r="R178" t="s">
        <v>39</v>
      </c>
      <c r="S178" t="str">
        <f t="shared" si="31"/>
        <v>Furniture</v>
      </c>
      <c r="T178" t="s">
        <v>156</v>
      </c>
      <c r="U178" t="str">
        <f t="shared" si="32"/>
        <v>Bookcases</v>
      </c>
      <c r="V178" t="s">
        <v>646</v>
      </c>
      <c r="X178" t="s">
        <v>57</v>
      </c>
      <c r="Y178" t="str">
        <f t="shared" si="33"/>
        <v>Standard Class</v>
      </c>
      <c r="Z178">
        <v>8</v>
      </c>
      <c r="AA178">
        <v>3563.09</v>
      </c>
      <c r="AB178">
        <v>0.15</v>
      </c>
      <c r="AC178">
        <v>24229.01</v>
      </c>
      <c r="AD178">
        <v>13910.64</v>
      </c>
      <c r="AE178">
        <v>10318.370000000001</v>
      </c>
      <c r="AF178" t="s">
        <v>30</v>
      </c>
      <c r="AG178" t="str">
        <f t="shared" si="34"/>
        <v>Paid</v>
      </c>
      <c r="AH178" t="s">
        <v>31</v>
      </c>
    </row>
    <row r="179" spans="1:34">
      <c r="A179" t="s">
        <v>647</v>
      </c>
      <c r="B179">
        <f>COUNTIF($A:$A,A179)</f>
        <v>1</v>
      </c>
      <c r="C179" t="str">
        <f t="shared" si="25"/>
        <v>Unique</v>
      </c>
      <c r="D179" s="4">
        <v>45297</v>
      </c>
      <c r="E179">
        <f t="shared" si="26"/>
        <v>149</v>
      </c>
      <c r="F179" s="4">
        <v>45446</v>
      </c>
      <c r="G179" t="s">
        <v>648</v>
      </c>
      <c r="H179" t="s">
        <v>130</v>
      </c>
      <c r="I179" t="str">
        <f t="shared" si="27"/>
        <v>Sneha Kapoor</v>
      </c>
      <c r="J179" t="s">
        <v>93</v>
      </c>
      <c r="K179" t="str">
        <f t="shared" si="28"/>
        <v>Home Office</v>
      </c>
      <c r="M179" t="s">
        <v>2828</v>
      </c>
      <c r="N179" t="s">
        <v>143</v>
      </c>
      <c r="O179" t="str">
        <f t="shared" si="29"/>
        <v>Bihar</v>
      </c>
      <c r="P179" t="s">
        <v>144</v>
      </c>
      <c r="Q179" t="str">
        <f t="shared" si="30"/>
        <v>Patna</v>
      </c>
      <c r="R179" t="s">
        <v>26</v>
      </c>
      <c r="S179" t="str">
        <f t="shared" si="31"/>
        <v>Office Supplies</v>
      </c>
      <c r="T179" t="s">
        <v>46</v>
      </c>
      <c r="U179" t="str">
        <f t="shared" si="32"/>
        <v>Art</v>
      </c>
      <c r="V179" t="s">
        <v>649</v>
      </c>
      <c r="X179" t="s">
        <v>42</v>
      </c>
      <c r="Y179" t="str">
        <f t="shared" si="33"/>
        <v>Same Day</v>
      </c>
      <c r="Z179">
        <v>8</v>
      </c>
      <c r="AA179">
        <v>3879.95</v>
      </c>
      <c r="AB179">
        <v>0</v>
      </c>
      <c r="AC179">
        <v>31039.599999999999</v>
      </c>
      <c r="AD179">
        <v>20866.72</v>
      </c>
      <c r="AE179">
        <v>10172.879999999999</v>
      </c>
      <c r="AF179" t="s">
        <v>30</v>
      </c>
      <c r="AG179" t="str">
        <f t="shared" si="34"/>
        <v>Paid</v>
      </c>
      <c r="AH179" t="s">
        <v>31</v>
      </c>
    </row>
    <row r="180" spans="1:34">
      <c r="A180" t="s">
        <v>650</v>
      </c>
      <c r="B180">
        <f>COUNTIF($A:$A,A180)</f>
        <v>1</v>
      </c>
      <c r="C180" t="str">
        <f t="shared" si="25"/>
        <v>Unique</v>
      </c>
      <c r="D180" s="4">
        <v>45565</v>
      </c>
      <c r="E180">
        <f t="shared" si="26"/>
        <v>0</v>
      </c>
      <c r="F180" s="4">
        <v>45565</v>
      </c>
      <c r="G180" t="s">
        <v>651</v>
      </c>
      <c r="H180" t="s">
        <v>45</v>
      </c>
      <c r="I180" t="str">
        <f t="shared" si="27"/>
        <v>Isha Nair</v>
      </c>
      <c r="J180" t="s">
        <v>88</v>
      </c>
      <c r="K180" t="str">
        <f t="shared" si="28"/>
        <v>Corporate</v>
      </c>
      <c r="L180" t="s">
        <v>52</v>
      </c>
      <c r="M180" t="str">
        <f t="shared" ref="M180:M186" si="36">PROPER(TRIM(L180))</f>
        <v>South</v>
      </c>
      <c r="N180" t="s">
        <v>53</v>
      </c>
      <c r="O180" t="str">
        <f t="shared" si="29"/>
        <v>Telangana</v>
      </c>
      <c r="P180" t="s">
        <v>54</v>
      </c>
      <c r="Q180" t="str">
        <f t="shared" si="30"/>
        <v>Hyderabad</v>
      </c>
      <c r="R180" t="s">
        <v>26</v>
      </c>
      <c r="S180" t="str">
        <f t="shared" si="31"/>
        <v>Office Supplies</v>
      </c>
      <c r="T180" t="s">
        <v>46</v>
      </c>
      <c r="U180" t="str">
        <f t="shared" si="32"/>
        <v>Art</v>
      </c>
      <c r="V180" t="s">
        <v>652</v>
      </c>
      <c r="X180" t="s">
        <v>57</v>
      </c>
      <c r="Y180" t="str">
        <f t="shared" si="33"/>
        <v>Standard Class</v>
      </c>
      <c r="Z180">
        <v>4</v>
      </c>
      <c r="AA180">
        <v>3281.74</v>
      </c>
      <c r="AB180">
        <v>0</v>
      </c>
      <c r="AC180">
        <v>13126.96</v>
      </c>
      <c r="AD180">
        <v>10732.44</v>
      </c>
      <c r="AE180">
        <v>2394.52</v>
      </c>
      <c r="AF180" t="s">
        <v>30</v>
      </c>
      <c r="AG180" t="str">
        <f t="shared" si="34"/>
        <v>Paid</v>
      </c>
      <c r="AH180" t="s">
        <v>31</v>
      </c>
    </row>
    <row r="181" spans="1:34">
      <c r="A181" t="s">
        <v>653</v>
      </c>
      <c r="B181">
        <f>COUNTIF($A:$A,A181)</f>
        <v>1</v>
      </c>
      <c r="C181" t="str">
        <f t="shared" si="25"/>
        <v>Unique</v>
      </c>
      <c r="D181" s="4">
        <v>45366</v>
      </c>
      <c r="E181">
        <f t="shared" si="26"/>
        <v>4</v>
      </c>
      <c r="F181" s="4">
        <v>45370</v>
      </c>
      <c r="G181" t="s">
        <v>654</v>
      </c>
      <c r="H181" t="s">
        <v>60</v>
      </c>
      <c r="I181" t="str">
        <f t="shared" si="27"/>
        <v>Ananya Rao</v>
      </c>
      <c r="J181" t="s">
        <v>35</v>
      </c>
      <c r="K181" t="str">
        <f t="shared" si="28"/>
        <v>Small Business</v>
      </c>
      <c r="L181" t="s">
        <v>52</v>
      </c>
      <c r="M181" t="str">
        <f t="shared" si="36"/>
        <v>South</v>
      </c>
      <c r="N181" t="s">
        <v>246</v>
      </c>
      <c r="O181" t="str">
        <f t="shared" si="29"/>
        <v>Tamil Nadu</v>
      </c>
      <c r="P181" t="s">
        <v>247</v>
      </c>
      <c r="Q181" t="str">
        <f t="shared" si="30"/>
        <v>Chennai</v>
      </c>
      <c r="R181" t="s">
        <v>39</v>
      </c>
      <c r="S181" t="str">
        <f t="shared" si="31"/>
        <v>Furniture</v>
      </c>
      <c r="T181" t="s">
        <v>55</v>
      </c>
      <c r="U181" t="str">
        <f t="shared" si="32"/>
        <v>Furnishings</v>
      </c>
      <c r="V181" t="s">
        <v>655</v>
      </c>
      <c r="X181" t="s">
        <v>57</v>
      </c>
      <c r="Y181" t="str">
        <f t="shared" si="33"/>
        <v>Standard Class</v>
      </c>
      <c r="Z181">
        <v>4</v>
      </c>
      <c r="AA181">
        <v>3186.3</v>
      </c>
      <c r="AB181">
        <v>0.25</v>
      </c>
      <c r="AC181">
        <v>9558.9</v>
      </c>
      <c r="AD181">
        <v>5516.76</v>
      </c>
      <c r="AE181">
        <v>4042.14</v>
      </c>
      <c r="AF181" t="s">
        <v>100</v>
      </c>
      <c r="AG181" t="str">
        <f t="shared" si="34"/>
        <v>Refunded</v>
      </c>
      <c r="AH181" t="s">
        <v>101</v>
      </c>
    </row>
    <row r="182" spans="1:34">
      <c r="A182" t="s">
        <v>656</v>
      </c>
      <c r="B182">
        <f>COUNTIF($A:$A,A182)</f>
        <v>1</v>
      </c>
      <c r="C182" t="str">
        <f t="shared" si="25"/>
        <v>Unique</v>
      </c>
      <c r="D182" s="4">
        <v>45530</v>
      </c>
      <c r="E182">
        <f t="shared" si="26"/>
        <v>0</v>
      </c>
      <c r="F182" s="4">
        <v>45530</v>
      </c>
      <c r="G182" t="s">
        <v>657</v>
      </c>
      <c r="H182" t="s">
        <v>34</v>
      </c>
      <c r="I182" t="str">
        <f t="shared" si="27"/>
        <v>Mira Das</v>
      </c>
      <c r="J182" t="s">
        <v>93</v>
      </c>
      <c r="K182" t="str">
        <f t="shared" si="28"/>
        <v>Home Office</v>
      </c>
      <c r="L182" t="s">
        <v>23</v>
      </c>
      <c r="M182" t="str">
        <f t="shared" si="36"/>
        <v>North</v>
      </c>
      <c r="N182" t="s">
        <v>134</v>
      </c>
      <c r="O182" t="str">
        <f t="shared" si="29"/>
        <v>Uttar Pradesh</v>
      </c>
      <c r="P182" t="s">
        <v>135</v>
      </c>
      <c r="Q182" t="str">
        <f t="shared" si="30"/>
        <v>Noida</v>
      </c>
      <c r="R182" t="s">
        <v>614</v>
      </c>
      <c r="S182" t="str">
        <f t="shared" si="31"/>
        <v>Office Supplies</v>
      </c>
      <c r="T182" t="s">
        <v>151</v>
      </c>
      <c r="U182" t="str">
        <f t="shared" si="32"/>
        <v>Binders</v>
      </c>
      <c r="V182" t="s">
        <v>658</v>
      </c>
      <c r="X182" t="s">
        <v>48</v>
      </c>
      <c r="Y182" t="str">
        <f t="shared" si="33"/>
        <v>First Class</v>
      </c>
      <c r="Z182">
        <v>7</v>
      </c>
      <c r="AA182">
        <v>844.59</v>
      </c>
      <c r="AB182">
        <v>0.1</v>
      </c>
      <c r="AC182">
        <v>5320.92</v>
      </c>
      <c r="AD182">
        <v>3041.5</v>
      </c>
      <c r="AE182">
        <v>2279.42</v>
      </c>
      <c r="AF182" t="s">
        <v>30</v>
      </c>
      <c r="AG182" t="str">
        <f t="shared" si="34"/>
        <v>Paid</v>
      </c>
      <c r="AH182" t="s">
        <v>31</v>
      </c>
    </row>
    <row r="183" spans="1:34">
      <c r="A183" t="s">
        <v>659</v>
      </c>
      <c r="B183">
        <f>COUNTIF($A:$A,A183)</f>
        <v>1</v>
      </c>
      <c r="C183" t="str">
        <f t="shared" si="25"/>
        <v>Unique</v>
      </c>
      <c r="D183" s="4">
        <v>45909</v>
      </c>
      <c r="E183">
        <f t="shared" si="26"/>
        <v>30</v>
      </c>
      <c r="F183" s="4">
        <v>45939</v>
      </c>
      <c r="G183" t="s">
        <v>660</v>
      </c>
      <c r="H183" t="s">
        <v>112</v>
      </c>
      <c r="I183" t="str">
        <f t="shared" si="27"/>
        <v>Priya Menon</v>
      </c>
      <c r="J183" t="s">
        <v>93</v>
      </c>
      <c r="K183" t="str">
        <f t="shared" si="28"/>
        <v>Home Office</v>
      </c>
      <c r="L183" t="s">
        <v>52</v>
      </c>
      <c r="M183" t="str">
        <f t="shared" si="36"/>
        <v>South</v>
      </c>
      <c r="N183" t="s">
        <v>246</v>
      </c>
      <c r="O183" t="str">
        <f t="shared" si="29"/>
        <v>Tamil Nadu</v>
      </c>
      <c r="P183" t="s">
        <v>247</v>
      </c>
      <c r="Q183" t="str">
        <f t="shared" si="30"/>
        <v>Chennai</v>
      </c>
      <c r="R183" t="s">
        <v>26</v>
      </c>
      <c r="S183" t="str">
        <f t="shared" si="31"/>
        <v>Office Supplies</v>
      </c>
      <c r="T183" t="s">
        <v>46</v>
      </c>
      <c r="U183" t="str">
        <f t="shared" si="32"/>
        <v>Art</v>
      </c>
      <c r="V183" t="s">
        <v>661</v>
      </c>
      <c r="X183" t="s">
        <v>29</v>
      </c>
      <c r="Y183" t="str">
        <f t="shared" si="33"/>
        <v>Second Class</v>
      </c>
      <c r="Z183">
        <v>4</v>
      </c>
      <c r="AA183">
        <v>2551.4499999999998</v>
      </c>
      <c r="AB183">
        <v>0</v>
      </c>
      <c r="AC183">
        <v>10205.799999999999</v>
      </c>
      <c r="AD183">
        <v>5986.31</v>
      </c>
      <c r="AE183">
        <v>4219.49</v>
      </c>
      <c r="AF183" t="s">
        <v>30</v>
      </c>
      <c r="AG183" t="str">
        <f t="shared" si="34"/>
        <v>Paid</v>
      </c>
      <c r="AH183" t="s">
        <v>31</v>
      </c>
    </row>
    <row r="184" spans="1:34">
      <c r="A184" t="s">
        <v>662</v>
      </c>
      <c r="B184">
        <f>COUNTIF($A:$A,A184)</f>
        <v>1</v>
      </c>
      <c r="C184" t="str">
        <f t="shared" si="25"/>
        <v>Unique</v>
      </c>
      <c r="D184" s="4">
        <v>45581</v>
      </c>
      <c r="E184">
        <f t="shared" si="26"/>
        <v>0</v>
      </c>
      <c r="F184" s="4">
        <v>45581</v>
      </c>
      <c r="G184" t="s">
        <v>663</v>
      </c>
      <c r="H184" t="s">
        <v>60</v>
      </c>
      <c r="I184" t="str">
        <f t="shared" si="27"/>
        <v>Ananya Rao</v>
      </c>
      <c r="J184" t="s">
        <v>93</v>
      </c>
      <c r="K184" t="str">
        <f t="shared" si="28"/>
        <v>Home Office</v>
      </c>
      <c r="L184" t="s">
        <v>36</v>
      </c>
      <c r="M184" t="str">
        <f t="shared" si="36"/>
        <v>East</v>
      </c>
      <c r="N184" t="s">
        <v>143</v>
      </c>
      <c r="O184" t="str">
        <f t="shared" si="29"/>
        <v>Bihar</v>
      </c>
      <c r="P184" t="s">
        <v>144</v>
      </c>
      <c r="Q184" t="str">
        <f t="shared" si="30"/>
        <v>Patna</v>
      </c>
      <c r="R184" t="s">
        <v>72</v>
      </c>
      <c r="S184" t="str">
        <f t="shared" si="31"/>
        <v>Technology</v>
      </c>
      <c r="T184" t="s">
        <v>273</v>
      </c>
      <c r="U184" t="str">
        <f t="shared" si="32"/>
        <v>Machines</v>
      </c>
      <c r="V184" t="s">
        <v>664</v>
      </c>
      <c r="X184" t="s">
        <v>57</v>
      </c>
      <c r="Y184" t="str">
        <f t="shared" si="33"/>
        <v>Standard Class</v>
      </c>
      <c r="Z184">
        <v>7</v>
      </c>
      <c r="AA184">
        <v>775.77</v>
      </c>
      <c r="AB184">
        <v>0</v>
      </c>
      <c r="AC184">
        <v>5430.39</v>
      </c>
      <c r="AD184">
        <v>3707.66</v>
      </c>
      <c r="AE184">
        <v>1722.73</v>
      </c>
      <c r="AF184" t="s">
        <v>30</v>
      </c>
      <c r="AG184" t="str">
        <f t="shared" si="34"/>
        <v>Paid</v>
      </c>
      <c r="AH184" t="s">
        <v>31</v>
      </c>
    </row>
    <row r="185" spans="1:34">
      <c r="A185" t="s">
        <v>665</v>
      </c>
      <c r="B185">
        <f>COUNTIF($A:$A,A185)</f>
        <v>1</v>
      </c>
      <c r="C185" t="str">
        <f t="shared" si="25"/>
        <v>Unique</v>
      </c>
      <c r="D185" s="4">
        <v>45832</v>
      </c>
      <c r="E185">
        <f t="shared" si="26"/>
        <v>3</v>
      </c>
      <c r="F185" s="4">
        <v>45835</v>
      </c>
      <c r="G185" t="s">
        <v>666</v>
      </c>
      <c r="H185" t="s">
        <v>69</v>
      </c>
      <c r="I185" t="str">
        <f t="shared" si="27"/>
        <v>Vikram Iyer</v>
      </c>
      <c r="J185" t="s">
        <v>93</v>
      </c>
      <c r="K185" t="str">
        <f t="shared" si="28"/>
        <v>Home Office</v>
      </c>
      <c r="L185" t="s">
        <v>52</v>
      </c>
      <c r="M185" t="str">
        <f t="shared" si="36"/>
        <v>South</v>
      </c>
      <c r="N185" t="s">
        <v>53</v>
      </c>
      <c r="O185" t="str">
        <f t="shared" si="29"/>
        <v>Telangana</v>
      </c>
      <c r="P185" t="s">
        <v>54</v>
      </c>
      <c r="Q185" t="str">
        <f t="shared" si="30"/>
        <v>Hyderabad</v>
      </c>
      <c r="R185" t="s">
        <v>72</v>
      </c>
      <c r="S185" t="str">
        <f t="shared" si="31"/>
        <v>Technology</v>
      </c>
      <c r="T185" t="s">
        <v>78</v>
      </c>
      <c r="U185" t="str">
        <f t="shared" si="32"/>
        <v>Copiers</v>
      </c>
      <c r="V185" t="s">
        <v>667</v>
      </c>
      <c r="X185" t="s">
        <v>57</v>
      </c>
      <c r="Y185" t="str">
        <f t="shared" si="33"/>
        <v>Standard Class</v>
      </c>
      <c r="Z185">
        <v>7</v>
      </c>
      <c r="AA185">
        <v>2304.86</v>
      </c>
      <c r="AB185">
        <v>0.2</v>
      </c>
      <c r="AC185">
        <v>12907.22</v>
      </c>
      <c r="AD185">
        <v>8327.89</v>
      </c>
      <c r="AE185">
        <v>4579.33</v>
      </c>
      <c r="AF185" t="s">
        <v>30</v>
      </c>
      <c r="AG185" t="str">
        <f t="shared" si="34"/>
        <v>Paid</v>
      </c>
      <c r="AH185" t="s">
        <v>101</v>
      </c>
    </row>
    <row r="186" spans="1:34">
      <c r="A186" t="s">
        <v>668</v>
      </c>
      <c r="B186">
        <f>COUNTIF($A:$A,A186)</f>
        <v>1</v>
      </c>
      <c r="C186" t="str">
        <f t="shared" si="25"/>
        <v>Unique</v>
      </c>
      <c r="D186" s="4">
        <v>45326</v>
      </c>
      <c r="E186">
        <f t="shared" si="26"/>
        <v>121</v>
      </c>
      <c r="F186" s="4">
        <v>45447</v>
      </c>
      <c r="G186" t="s">
        <v>669</v>
      </c>
      <c r="H186" t="s">
        <v>69</v>
      </c>
      <c r="I186" t="str">
        <f t="shared" si="27"/>
        <v>Vikram Iyer</v>
      </c>
      <c r="J186" t="s">
        <v>88</v>
      </c>
      <c r="K186" t="str">
        <f t="shared" si="28"/>
        <v>Corporate</v>
      </c>
      <c r="L186" t="s">
        <v>61</v>
      </c>
      <c r="M186" t="str">
        <f t="shared" si="36"/>
        <v>West</v>
      </c>
      <c r="N186" t="s">
        <v>70</v>
      </c>
      <c r="O186" t="str">
        <f t="shared" si="29"/>
        <v>Madhya Pradesh</v>
      </c>
      <c r="P186" t="s">
        <v>71</v>
      </c>
      <c r="Q186" t="str">
        <f t="shared" si="30"/>
        <v>Indore</v>
      </c>
      <c r="R186" t="s">
        <v>39</v>
      </c>
      <c r="S186" t="str">
        <f t="shared" si="31"/>
        <v>Furniture</v>
      </c>
      <c r="T186" t="s">
        <v>156</v>
      </c>
      <c r="U186" t="str">
        <f t="shared" si="32"/>
        <v>Bookcases</v>
      </c>
      <c r="V186" t="s">
        <v>670</v>
      </c>
      <c r="X186" t="s">
        <v>57</v>
      </c>
      <c r="Y186" t="str">
        <f t="shared" si="33"/>
        <v>Standard Class</v>
      </c>
      <c r="Z186">
        <v>2</v>
      </c>
      <c r="AA186">
        <v>888.98</v>
      </c>
      <c r="AB186">
        <v>0</v>
      </c>
      <c r="AC186">
        <v>1777.96</v>
      </c>
      <c r="AD186">
        <v>1021.16</v>
      </c>
      <c r="AE186">
        <v>756.8</v>
      </c>
      <c r="AF186" t="s">
        <v>100</v>
      </c>
      <c r="AG186" t="str">
        <f t="shared" si="34"/>
        <v>Refunded</v>
      </c>
      <c r="AH186" t="s">
        <v>101</v>
      </c>
    </row>
    <row r="187" spans="1:34">
      <c r="A187" t="s">
        <v>671</v>
      </c>
      <c r="B187">
        <f>COUNTIF($A:$A,A187)</f>
        <v>1</v>
      </c>
      <c r="C187" t="str">
        <f t="shared" si="25"/>
        <v>Unique</v>
      </c>
      <c r="D187" s="4">
        <v>45601</v>
      </c>
      <c r="E187">
        <f t="shared" si="26"/>
        <v>8</v>
      </c>
      <c r="F187" s="4">
        <v>45609</v>
      </c>
      <c r="G187" t="s">
        <v>672</v>
      </c>
      <c r="H187" t="s">
        <v>51</v>
      </c>
      <c r="I187" t="str">
        <f t="shared" si="27"/>
        <v>Arjun Bose</v>
      </c>
      <c r="J187" t="s">
        <v>22</v>
      </c>
      <c r="K187" t="str">
        <f t="shared" si="28"/>
        <v>Consumer</v>
      </c>
      <c r="M187" t="s">
        <v>2828</v>
      </c>
      <c r="N187" t="s">
        <v>120</v>
      </c>
      <c r="O187" t="str">
        <f t="shared" si="29"/>
        <v>Punjab</v>
      </c>
      <c r="P187" t="s">
        <v>121</v>
      </c>
      <c r="Q187" t="str">
        <f t="shared" si="30"/>
        <v>Ludhiana</v>
      </c>
      <c r="R187" t="s">
        <v>26</v>
      </c>
      <c r="S187" t="str">
        <f t="shared" si="31"/>
        <v>Office Supplies</v>
      </c>
      <c r="T187" t="s">
        <v>89</v>
      </c>
      <c r="U187" t="str">
        <f t="shared" si="32"/>
        <v>Labels</v>
      </c>
      <c r="V187" t="s">
        <v>673</v>
      </c>
      <c r="X187" t="s">
        <v>29</v>
      </c>
      <c r="Y187" t="str">
        <f t="shared" si="33"/>
        <v>Second Class</v>
      </c>
      <c r="Z187">
        <v>2</v>
      </c>
      <c r="AA187">
        <v>1003.17</v>
      </c>
      <c r="AB187">
        <v>0.2</v>
      </c>
      <c r="AC187">
        <v>1605.07</v>
      </c>
      <c r="AD187">
        <v>1337.28</v>
      </c>
      <c r="AE187">
        <v>267.79000000000002</v>
      </c>
      <c r="AF187" t="s">
        <v>30</v>
      </c>
      <c r="AG187" t="str">
        <f t="shared" si="34"/>
        <v>Paid</v>
      </c>
      <c r="AH187" t="s">
        <v>31</v>
      </c>
    </row>
    <row r="188" spans="1:34">
      <c r="A188" t="s">
        <v>674</v>
      </c>
      <c r="B188">
        <f>COUNTIF($A:$A,A188)</f>
        <v>1</v>
      </c>
      <c r="C188" t="str">
        <f t="shared" si="25"/>
        <v>Unique</v>
      </c>
      <c r="D188" s="4">
        <v>45492</v>
      </c>
      <c r="E188">
        <f t="shared" si="26"/>
        <v>1</v>
      </c>
      <c r="F188" s="4">
        <v>45493</v>
      </c>
      <c r="G188" t="s">
        <v>262</v>
      </c>
      <c r="H188" t="s">
        <v>69</v>
      </c>
      <c r="I188" t="str">
        <f t="shared" si="27"/>
        <v>Vikram Iyer</v>
      </c>
      <c r="J188" t="s">
        <v>22</v>
      </c>
      <c r="K188" t="str">
        <f t="shared" si="28"/>
        <v>Consumer</v>
      </c>
      <c r="L188" t="s">
        <v>52</v>
      </c>
      <c r="M188" t="str">
        <f t="shared" ref="M188:M227" si="37">PROPER(TRIM(L188))</f>
        <v>South</v>
      </c>
      <c r="N188" t="s">
        <v>246</v>
      </c>
      <c r="O188" t="str">
        <f t="shared" si="29"/>
        <v>Tamil Nadu</v>
      </c>
      <c r="P188" t="s">
        <v>247</v>
      </c>
      <c r="Q188" t="str">
        <f t="shared" si="30"/>
        <v>Chennai</v>
      </c>
      <c r="R188" t="s">
        <v>39</v>
      </c>
      <c r="S188" t="str">
        <f t="shared" si="31"/>
        <v>Furniture</v>
      </c>
      <c r="T188" t="s">
        <v>40</v>
      </c>
      <c r="U188" t="str">
        <f t="shared" si="32"/>
        <v>Tables</v>
      </c>
      <c r="V188" t="s">
        <v>675</v>
      </c>
      <c r="X188" t="s">
        <v>48</v>
      </c>
      <c r="Y188" t="str">
        <f t="shared" si="33"/>
        <v>First Class</v>
      </c>
      <c r="Z188">
        <v>7</v>
      </c>
      <c r="AA188">
        <v>3608.43</v>
      </c>
      <c r="AB188">
        <v>0.05</v>
      </c>
      <c r="AC188">
        <v>23996.06</v>
      </c>
      <c r="AD188">
        <v>20167.28</v>
      </c>
      <c r="AE188">
        <v>3828.78</v>
      </c>
      <c r="AF188" t="s">
        <v>30</v>
      </c>
      <c r="AG188" t="str">
        <f t="shared" si="34"/>
        <v>Paid</v>
      </c>
      <c r="AH188" t="s">
        <v>31</v>
      </c>
    </row>
    <row r="189" spans="1:34">
      <c r="A189" t="s">
        <v>676</v>
      </c>
      <c r="B189">
        <f>COUNTIF($A:$A,A189)</f>
        <v>1</v>
      </c>
      <c r="C189" t="str">
        <f t="shared" si="25"/>
        <v>Unique</v>
      </c>
      <c r="D189" s="4">
        <v>45662</v>
      </c>
      <c r="E189">
        <f t="shared" si="26"/>
        <v>31</v>
      </c>
      <c r="F189" s="4">
        <v>45693</v>
      </c>
      <c r="G189" t="s">
        <v>677</v>
      </c>
      <c r="H189" t="s">
        <v>34</v>
      </c>
      <c r="I189" t="str">
        <f t="shared" si="27"/>
        <v>Mira Das</v>
      </c>
      <c r="J189" t="s">
        <v>22</v>
      </c>
      <c r="K189" t="str">
        <f t="shared" si="28"/>
        <v>Consumer</v>
      </c>
      <c r="L189" t="s">
        <v>61</v>
      </c>
      <c r="M189" t="str">
        <f t="shared" si="37"/>
        <v>West</v>
      </c>
      <c r="N189" t="s">
        <v>70</v>
      </c>
      <c r="O189" t="str">
        <f t="shared" si="29"/>
        <v>Madhya Pradesh</v>
      </c>
      <c r="P189" t="s">
        <v>71</v>
      </c>
      <c r="Q189" t="str">
        <f t="shared" si="30"/>
        <v>Indore</v>
      </c>
      <c r="R189" t="s">
        <v>39</v>
      </c>
      <c r="S189" t="str">
        <f t="shared" si="31"/>
        <v>Furniture</v>
      </c>
      <c r="T189" t="s">
        <v>64</v>
      </c>
      <c r="U189" t="str">
        <f t="shared" si="32"/>
        <v>Chairs</v>
      </c>
      <c r="V189" t="s">
        <v>678</v>
      </c>
      <c r="X189" t="s">
        <v>42</v>
      </c>
      <c r="Y189" t="str">
        <f t="shared" si="33"/>
        <v>Same Day</v>
      </c>
      <c r="Z189">
        <v>3</v>
      </c>
      <c r="AA189">
        <v>2905.74</v>
      </c>
      <c r="AB189">
        <v>0</v>
      </c>
      <c r="AC189">
        <v>8717.2199999999993</v>
      </c>
      <c r="AD189">
        <v>6215.96</v>
      </c>
      <c r="AE189">
        <v>2501.2600000000002</v>
      </c>
      <c r="AF189" t="s">
        <v>30</v>
      </c>
      <c r="AG189" t="str">
        <f t="shared" si="34"/>
        <v>Paid</v>
      </c>
      <c r="AH189" t="s">
        <v>101</v>
      </c>
    </row>
    <row r="190" spans="1:34">
      <c r="A190" t="s">
        <v>679</v>
      </c>
      <c r="B190">
        <f>COUNTIF($A:$A,A190)</f>
        <v>1</v>
      </c>
      <c r="C190" t="str">
        <f t="shared" si="25"/>
        <v>Unique</v>
      </c>
      <c r="D190" s="4">
        <v>45798</v>
      </c>
      <c r="E190">
        <f t="shared" si="26"/>
        <v>7</v>
      </c>
      <c r="F190" s="4">
        <v>45805</v>
      </c>
      <c r="G190" t="s">
        <v>680</v>
      </c>
      <c r="H190" t="s">
        <v>112</v>
      </c>
      <c r="I190" t="str">
        <f t="shared" si="27"/>
        <v>Priya Menon</v>
      </c>
      <c r="J190" t="s">
        <v>88</v>
      </c>
      <c r="K190" t="str">
        <f t="shared" si="28"/>
        <v>Corporate</v>
      </c>
      <c r="L190" t="s">
        <v>36</v>
      </c>
      <c r="M190" t="str">
        <f t="shared" si="37"/>
        <v>East</v>
      </c>
      <c r="N190" t="s">
        <v>97</v>
      </c>
      <c r="O190" t="str">
        <f t="shared" si="29"/>
        <v>West Bengal</v>
      </c>
      <c r="P190" t="s">
        <v>98</v>
      </c>
      <c r="Q190" t="str">
        <f t="shared" si="30"/>
        <v>Kolkata</v>
      </c>
      <c r="R190" t="s">
        <v>39</v>
      </c>
      <c r="S190" t="str">
        <f t="shared" si="31"/>
        <v>Furniture</v>
      </c>
      <c r="T190" t="s">
        <v>156</v>
      </c>
      <c r="U190" t="str">
        <f t="shared" si="32"/>
        <v>Bookcases</v>
      </c>
      <c r="V190" t="s">
        <v>681</v>
      </c>
      <c r="X190" t="s">
        <v>42</v>
      </c>
      <c r="Y190" t="str">
        <f t="shared" si="33"/>
        <v>Same Day</v>
      </c>
      <c r="Z190">
        <v>2</v>
      </c>
      <c r="AA190">
        <v>3559.57</v>
      </c>
      <c r="AB190">
        <v>0.1</v>
      </c>
      <c r="AC190">
        <v>6553.95</v>
      </c>
      <c r="AD190">
        <v>4923.09</v>
      </c>
      <c r="AE190">
        <v>1484.14</v>
      </c>
      <c r="AF190" t="s">
        <v>30</v>
      </c>
      <c r="AG190" t="str">
        <f t="shared" si="34"/>
        <v>Paid</v>
      </c>
      <c r="AH190" t="s">
        <v>31</v>
      </c>
    </row>
    <row r="191" spans="1:34">
      <c r="A191" t="s">
        <v>682</v>
      </c>
      <c r="B191">
        <f>COUNTIF($A:$A,A191)</f>
        <v>1</v>
      </c>
      <c r="C191" t="str">
        <f t="shared" si="25"/>
        <v>Unique</v>
      </c>
      <c r="D191" s="4">
        <v>45813</v>
      </c>
      <c r="E191">
        <f t="shared" si="26"/>
        <v>30</v>
      </c>
      <c r="F191" s="4">
        <v>45843</v>
      </c>
      <c r="G191" t="s">
        <v>683</v>
      </c>
      <c r="H191" t="s">
        <v>51</v>
      </c>
      <c r="I191" t="str">
        <f t="shared" si="27"/>
        <v>Arjun Bose</v>
      </c>
      <c r="J191" t="s">
        <v>22</v>
      </c>
      <c r="K191" t="str">
        <f t="shared" si="28"/>
        <v>Consumer</v>
      </c>
      <c r="L191" t="s">
        <v>61</v>
      </c>
      <c r="M191" t="str">
        <f t="shared" si="37"/>
        <v>West</v>
      </c>
      <c r="N191" t="s">
        <v>24</v>
      </c>
      <c r="O191" t="str">
        <f t="shared" si="29"/>
        <v>Rajasthan</v>
      </c>
      <c r="P191" t="s">
        <v>107</v>
      </c>
      <c r="Q191" t="str">
        <f t="shared" si="30"/>
        <v>Udaipur</v>
      </c>
      <c r="R191" t="s">
        <v>39</v>
      </c>
      <c r="S191" t="str">
        <f t="shared" si="31"/>
        <v>Furniture</v>
      </c>
      <c r="T191" t="s">
        <v>156</v>
      </c>
      <c r="U191" t="str">
        <f t="shared" si="32"/>
        <v>Bookcases</v>
      </c>
      <c r="V191" t="s">
        <v>684</v>
      </c>
      <c r="X191" t="s">
        <v>48</v>
      </c>
      <c r="Y191" t="str">
        <f t="shared" si="33"/>
        <v>First Class</v>
      </c>
      <c r="Z191">
        <v>9</v>
      </c>
      <c r="AA191">
        <v>3318.24</v>
      </c>
      <c r="AC191">
        <v>25384.54</v>
      </c>
      <c r="AD191">
        <v>16872.39</v>
      </c>
      <c r="AE191">
        <v>8512.15</v>
      </c>
      <c r="AF191" t="s">
        <v>30</v>
      </c>
      <c r="AG191" t="str">
        <f t="shared" si="34"/>
        <v>Paid</v>
      </c>
      <c r="AH191" t="s">
        <v>685</v>
      </c>
    </row>
    <row r="192" spans="1:34">
      <c r="A192" t="s">
        <v>686</v>
      </c>
      <c r="B192">
        <f>COUNTIF($A:$A,A192)</f>
        <v>1</v>
      </c>
      <c r="C192" t="str">
        <f t="shared" si="25"/>
        <v>Unique</v>
      </c>
      <c r="D192" s="4">
        <v>45767</v>
      </c>
      <c r="E192">
        <f t="shared" si="26"/>
        <v>1</v>
      </c>
      <c r="F192" s="4">
        <v>45768</v>
      </c>
      <c r="G192" t="s">
        <v>687</v>
      </c>
      <c r="H192" t="s">
        <v>87</v>
      </c>
      <c r="I192" t="str">
        <f t="shared" si="27"/>
        <v>Aditi Sen</v>
      </c>
      <c r="J192" t="s">
        <v>22</v>
      </c>
      <c r="K192" t="str">
        <f t="shared" si="28"/>
        <v>Consumer</v>
      </c>
      <c r="L192" t="s">
        <v>52</v>
      </c>
      <c r="M192" t="str">
        <f t="shared" si="37"/>
        <v>South</v>
      </c>
      <c r="N192" t="s">
        <v>246</v>
      </c>
      <c r="O192" t="str">
        <f t="shared" si="29"/>
        <v>Tamil Nadu</v>
      </c>
      <c r="P192" t="s">
        <v>247</v>
      </c>
      <c r="Q192" t="str">
        <f t="shared" si="30"/>
        <v>Chennai</v>
      </c>
      <c r="R192" t="s">
        <v>26</v>
      </c>
      <c r="S192" t="str">
        <f t="shared" si="31"/>
        <v>Office Supplies</v>
      </c>
      <c r="T192" t="s">
        <v>122</v>
      </c>
      <c r="U192" t="str">
        <f t="shared" si="32"/>
        <v>Storage</v>
      </c>
      <c r="V192" t="s">
        <v>688</v>
      </c>
      <c r="X192" t="s">
        <v>48</v>
      </c>
      <c r="Y192" t="str">
        <f t="shared" si="33"/>
        <v>First Class</v>
      </c>
      <c r="Z192">
        <v>3</v>
      </c>
      <c r="AA192">
        <v>540.09</v>
      </c>
      <c r="AB192">
        <v>0.1</v>
      </c>
      <c r="AC192">
        <v>1458.24</v>
      </c>
      <c r="AD192">
        <v>943.32</v>
      </c>
      <c r="AE192">
        <v>514.91999999999996</v>
      </c>
      <c r="AF192" t="s">
        <v>30</v>
      </c>
      <c r="AG192" t="str">
        <f t="shared" si="34"/>
        <v>Paid</v>
      </c>
      <c r="AH192" t="s">
        <v>31</v>
      </c>
    </row>
    <row r="193" spans="1:34">
      <c r="A193" t="s">
        <v>689</v>
      </c>
      <c r="B193">
        <f>COUNTIF($A:$A,A193)</f>
        <v>1</v>
      </c>
      <c r="C193" t="str">
        <f t="shared" si="25"/>
        <v>Unique</v>
      </c>
      <c r="D193" s="4">
        <v>45584</v>
      </c>
      <c r="E193">
        <f t="shared" si="26"/>
        <v>5</v>
      </c>
      <c r="F193" s="4">
        <v>45589</v>
      </c>
      <c r="G193" t="s">
        <v>690</v>
      </c>
      <c r="H193" t="s">
        <v>130</v>
      </c>
      <c r="I193" t="str">
        <f t="shared" si="27"/>
        <v>Sneha Kapoor</v>
      </c>
      <c r="J193" t="s">
        <v>35</v>
      </c>
      <c r="K193" t="str">
        <f t="shared" si="28"/>
        <v>Small Business</v>
      </c>
      <c r="L193" t="s">
        <v>52</v>
      </c>
      <c r="M193" t="str">
        <f t="shared" si="37"/>
        <v>South</v>
      </c>
      <c r="N193" t="s">
        <v>246</v>
      </c>
      <c r="O193" t="str">
        <f t="shared" si="29"/>
        <v>Tamil Nadu</v>
      </c>
      <c r="P193" t="s">
        <v>247</v>
      </c>
      <c r="Q193" t="str">
        <f t="shared" si="30"/>
        <v>Chennai</v>
      </c>
      <c r="R193" t="s">
        <v>39</v>
      </c>
      <c r="S193" t="str">
        <f t="shared" si="31"/>
        <v>Furniture</v>
      </c>
      <c r="T193" t="s">
        <v>156</v>
      </c>
      <c r="U193" t="str">
        <f t="shared" si="32"/>
        <v>Bookcases</v>
      </c>
      <c r="V193" t="s">
        <v>691</v>
      </c>
      <c r="X193" t="s">
        <v>29</v>
      </c>
      <c r="Y193" t="str">
        <f t="shared" si="33"/>
        <v>Second Class</v>
      </c>
      <c r="Z193">
        <v>6</v>
      </c>
      <c r="AA193">
        <v>4308.3999999999996</v>
      </c>
      <c r="AB193">
        <v>0.65</v>
      </c>
      <c r="AC193">
        <v>25850.400000000001</v>
      </c>
      <c r="AD193">
        <v>19397.68</v>
      </c>
      <c r="AE193">
        <v>6452.72</v>
      </c>
      <c r="AF193" t="s">
        <v>30</v>
      </c>
      <c r="AG193" t="str">
        <f t="shared" si="34"/>
        <v>Paid</v>
      </c>
      <c r="AH193" t="s">
        <v>31</v>
      </c>
    </row>
    <row r="194" spans="1:34">
      <c r="A194" t="s">
        <v>692</v>
      </c>
      <c r="B194">
        <f>COUNTIF($A:$A,A194)</f>
        <v>1</v>
      </c>
      <c r="C194" t="str">
        <f t="shared" ref="C194:C257" si="38">IF(B194&gt;1,"Review Duplicate ID","Unique")</f>
        <v>Unique</v>
      </c>
      <c r="D194" s="4">
        <v>45547</v>
      </c>
      <c r="E194">
        <f t="shared" ref="E194:E257" si="39">F194-D194</f>
        <v>95</v>
      </c>
      <c r="F194" s="4">
        <v>45642</v>
      </c>
      <c r="G194" t="s">
        <v>693</v>
      </c>
      <c r="H194" t="s">
        <v>45</v>
      </c>
      <c r="I194" t="str">
        <f t="shared" ref="I194:I257" si="40">PROPER(TRIM(H194))</f>
        <v>Isha Nair</v>
      </c>
      <c r="J194" t="s">
        <v>93</v>
      </c>
      <c r="K194" t="str">
        <f t="shared" ref="K194:K257" si="41">PROPER(TRIM(J194))</f>
        <v>Home Office</v>
      </c>
      <c r="L194" t="s">
        <v>61</v>
      </c>
      <c r="M194" t="str">
        <f t="shared" si="37"/>
        <v>West</v>
      </c>
      <c r="N194" t="s">
        <v>178</v>
      </c>
      <c r="O194" t="str">
        <f t="shared" ref="O194:O257" si="42">PROPER(TRIM(N194))</f>
        <v>Gujarat</v>
      </c>
      <c r="P194" t="s">
        <v>179</v>
      </c>
      <c r="Q194" t="str">
        <f t="shared" ref="Q194:Q257" si="43">PROPER(TRIM(P194))</f>
        <v>Ahmedabad</v>
      </c>
      <c r="R194" t="s">
        <v>39</v>
      </c>
      <c r="S194" t="str">
        <f t="shared" ref="S194:S257" si="44">PROPER(TRIM(R194))</f>
        <v>Furniture</v>
      </c>
      <c r="T194" t="s">
        <v>64</v>
      </c>
      <c r="U194" t="str">
        <f t="shared" ref="U194:U257" si="45">PROPER(TRIM(T194))</f>
        <v>Chairs</v>
      </c>
      <c r="V194" t="s">
        <v>694</v>
      </c>
      <c r="X194" t="s">
        <v>48</v>
      </c>
      <c r="Y194" t="str">
        <f t="shared" si="33"/>
        <v>First Class</v>
      </c>
      <c r="Z194">
        <v>4</v>
      </c>
      <c r="AA194">
        <v>2191.0300000000002</v>
      </c>
      <c r="AB194">
        <v>0</v>
      </c>
      <c r="AC194">
        <v>8764.1200000000008</v>
      </c>
      <c r="AD194">
        <v>7220.05</v>
      </c>
      <c r="AE194">
        <v>1544.07</v>
      </c>
      <c r="AF194" t="s">
        <v>30</v>
      </c>
      <c r="AG194" t="str">
        <f t="shared" si="34"/>
        <v>Paid</v>
      </c>
      <c r="AH194" t="s">
        <v>31</v>
      </c>
    </row>
    <row r="195" spans="1:34">
      <c r="A195" t="s">
        <v>695</v>
      </c>
      <c r="B195">
        <f>COUNTIF($A:$A,A195)</f>
        <v>1</v>
      </c>
      <c r="C195" t="str">
        <f t="shared" si="38"/>
        <v>Unique</v>
      </c>
      <c r="D195" s="4">
        <v>45466</v>
      </c>
      <c r="E195">
        <f t="shared" si="39"/>
        <v>5</v>
      </c>
      <c r="F195" s="4">
        <v>45471</v>
      </c>
      <c r="G195" t="s">
        <v>696</v>
      </c>
      <c r="H195" t="s">
        <v>112</v>
      </c>
      <c r="I195" t="str">
        <f t="shared" si="40"/>
        <v>Priya Menon</v>
      </c>
      <c r="J195" t="s">
        <v>35</v>
      </c>
      <c r="K195" t="str">
        <f t="shared" si="41"/>
        <v>Small Business</v>
      </c>
      <c r="L195" t="s">
        <v>23</v>
      </c>
      <c r="M195" t="str">
        <f t="shared" si="37"/>
        <v>North</v>
      </c>
      <c r="N195" t="s">
        <v>120</v>
      </c>
      <c r="O195" t="str">
        <f t="shared" si="42"/>
        <v>Punjab</v>
      </c>
      <c r="P195" t="s">
        <v>121</v>
      </c>
      <c r="Q195" t="str">
        <f t="shared" si="43"/>
        <v>Ludhiana</v>
      </c>
      <c r="R195" t="s">
        <v>72</v>
      </c>
      <c r="S195" t="str">
        <f t="shared" si="44"/>
        <v>Technology</v>
      </c>
      <c r="T195" t="s">
        <v>78</v>
      </c>
      <c r="U195" t="str">
        <f t="shared" si="45"/>
        <v>Copiers</v>
      </c>
      <c r="V195" t="s">
        <v>697</v>
      </c>
      <c r="X195" t="s">
        <v>42</v>
      </c>
      <c r="Y195" t="str">
        <f t="shared" ref="Y195:Y258" si="46">PROPER(TRIM(X195))</f>
        <v>Same Day</v>
      </c>
      <c r="Z195">
        <v>6</v>
      </c>
      <c r="AA195">
        <v>1956.63</v>
      </c>
      <c r="AB195">
        <v>0.2</v>
      </c>
      <c r="AC195">
        <v>9391.82</v>
      </c>
      <c r="AD195">
        <v>6013.22</v>
      </c>
      <c r="AE195">
        <v>3378.6</v>
      </c>
      <c r="AF195" t="s">
        <v>100</v>
      </c>
      <c r="AG195" t="str">
        <f t="shared" ref="AG195:AG258" si="47">PROPER(TRIM(AF195))</f>
        <v>Refunded</v>
      </c>
      <c r="AH195" t="s">
        <v>101</v>
      </c>
    </row>
    <row r="196" spans="1:34">
      <c r="A196" t="s">
        <v>698</v>
      </c>
      <c r="B196">
        <f>COUNTIF($A:$A,A196)</f>
        <v>1</v>
      </c>
      <c r="C196" t="str">
        <f t="shared" si="38"/>
        <v>Unique</v>
      </c>
      <c r="D196" s="4">
        <v>45685</v>
      </c>
      <c r="E196">
        <f t="shared" si="39"/>
        <v>3</v>
      </c>
      <c r="F196" s="4">
        <v>45688</v>
      </c>
      <c r="G196" t="s">
        <v>699</v>
      </c>
      <c r="H196" t="s">
        <v>112</v>
      </c>
      <c r="I196" t="str">
        <f t="shared" si="40"/>
        <v>Priya Menon</v>
      </c>
      <c r="J196" t="s">
        <v>22</v>
      </c>
      <c r="K196" t="str">
        <f t="shared" si="41"/>
        <v>Consumer</v>
      </c>
      <c r="L196" t="s">
        <v>700</v>
      </c>
      <c r="M196" t="str">
        <f t="shared" si="37"/>
        <v>West</v>
      </c>
      <c r="N196" t="s">
        <v>62</v>
      </c>
      <c r="O196" t="str">
        <f t="shared" si="42"/>
        <v>Maharashtra</v>
      </c>
      <c r="P196" t="s">
        <v>63</v>
      </c>
      <c r="Q196" t="str">
        <f t="shared" si="43"/>
        <v>Mumbai</v>
      </c>
      <c r="R196" t="s">
        <v>39</v>
      </c>
      <c r="S196" t="str">
        <f t="shared" si="44"/>
        <v>Furniture</v>
      </c>
      <c r="T196" t="s">
        <v>55</v>
      </c>
      <c r="U196" t="str">
        <f t="shared" si="45"/>
        <v>Furnishings</v>
      </c>
      <c r="V196" t="s">
        <v>701</v>
      </c>
      <c r="X196" t="s">
        <v>48</v>
      </c>
      <c r="Y196" t="str">
        <f t="shared" si="46"/>
        <v>First Class</v>
      </c>
      <c r="Z196">
        <v>9</v>
      </c>
      <c r="AA196">
        <v>858.39</v>
      </c>
      <c r="AB196">
        <v>0.05</v>
      </c>
      <c r="AC196">
        <v>7339.23</v>
      </c>
      <c r="AD196">
        <v>5434.12</v>
      </c>
      <c r="AE196">
        <v>1905.11</v>
      </c>
      <c r="AF196" t="s">
        <v>109</v>
      </c>
      <c r="AG196" t="str">
        <f t="shared" si="47"/>
        <v>Pending</v>
      </c>
      <c r="AH196" t="s">
        <v>101</v>
      </c>
    </row>
    <row r="197" spans="1:34">
      <c r="A197" t="s">
        <v>702</v>
      </c>
      <c r="B197">
        <f>COUNTIF($A:$A,A197)</f>
        <v>1</v>
      </c>
      <c r="C197" t="str">
        <f t="shared" si="38"/>
        <v>Unique</v>
      </c>
      <c r="D197" s="4">
        <v>45860</v>
      </c>
      <c r="E197">
        <f t="shared" si="39"/>
        <v>2</v>
      </c>
      <c r="F197" s="4">
        <v>45862</v>
      </c>
      <c r="G197" t="s">
        <v>703</v>
      </c>
      <c r="H197" t="s">
        <v>77</v>
      </c>
      <c r="I197" t="str">
        <f t="shared" si="40"/>
        <v>Neha Gupta</v>
      </c>
      <c r="J197" t="s">
        <v>93</v>
      </c>
      <c r="K197" t="str">
        <f t="shared" si="41"/>
        <v>Home Office</v>
      </c>
      <c r="L197" t="s">
        <v>52</v>
      </c>
      <c r="M197" t="str">
        <f t="shared" si="37"/>
        <v>South</v>
      </c>
      <c r="N197" t="s">
        <v>82</v>
      </c>
      <c r="O197" t="str">
        <f t="shared" si="42"/>
        <v>Andhra Pradesh</v>
      </c>
      <c r="P197" t="s">
        <v>83</v>
      </c>
      <c r="Q197" t="str">
        <f t="shared" si="43"/>
        <v>Vijayawada</v>
      </c>
      <c r="R197" t="s">
        <v>39</v>
      </c>
      <c r="S197" t="str">
        <f t="shared" si="44"/>
        <v>Furniture</v>
      </c>
      <c r="T197" t="s">
        <v>55</v>
      </c>
      <c r="U197" t="str">
        <f t="shared" si="45"/>
        <v>Furnishings</v>
      </c>
      <c r="V197" t="s">
        <v>704</v>
      </c>
      <c r="X197" t="s">
        <v>42</v>
      </c>
      <c r="Y197" t="str">
        <f t="shared" si="46"/>
        <v>Same Day</v>
      </c>
      <c r="Z197">
        <v>5</v>
      </c>
      <c r="AA197">
        <v>1922.83</v>
      </c>
      <c r="AB197">
        <v>0</v>
      </c>
      <c r="AC197">
        <v>9614.15</v>
      </c>
      <c r="AD197">
        <v>7576.84</v>
      </c>
      <c r="AE197">
        <v>2037.31</v>
      </c>
      <c r="AF197" t="s">
        <v>30</v>
      </c>
      <c r="AG197" t="str">
        <f t="shared" si="47"/>
        <v>Paid</v>
      </c>
      <c r="AH197" t="s">
        <v>31</v>
      </c>
    </row>
    <row r="198" spans="1:34">
      <c r="A198" t="s">
        <v>705</v>
      </c>
      <c r="B198">
        <f>COUNTIF($A:$A,A198)</f>
        <v>1</v>
      </c>
      <c r="C198" t="str">
        <f t="shared" si="38"/>
        <v>Unique</v>
      </c>
      <c r="D198" s="4">
        <v>45313</v>
      </c>
      <c r="E198">
        <f t="shared" si="39"/>
        <v>3</v>
      </c>
      <c r="F198" s="4">
        <v>45316</v>
      </c>
      <c r="G198" t="s">
        <v>706</v>
      </c>
      <c r="H198" t="s">
        <v>263</v>
      </c>
      <c r="I198" t="str">
        <f t="shared" si="40"/>
        <v>Kabir Singh</v>
      </c>
      <c r="J198" t="s">
        <v>93</v>
      </c>
      <c r="K198" t="str">
        <f t="shared" si="41"/>
        <v>Home Office</v>
      </c>
      <c r="L198" t="s">
        <v>23</v>
      </c>
      <c r="M198" t="str">
        <f t="shared" si="37"/>
        <v>North</v>
      </c>
      <c r="N198" t="s">
        <v>134</v>
      </c>
      <c r="O198" t="str">
        <f t="shared" si="42"/>
        <v>Uttar Pradesh</v>
      </c>
      <c r="P198" t="s">
        <v>135</v>
      </c>
      <c r="Q198" t="str">
        <f t="shared" si="43"/>
        <v>Noida</v>
      </c>
      <c r="R198" t="s">
        <v>26</v>
      </c>
      <c r="S198" t="str">
        <f t="shared" si="44"/>
        <v>Office Supplies</v>
      </c>
      <c r="T198" t="s">
        <v>122</v>
      </c>
      <c r="U198" t="str">
        <f t="shared" si="45"/>
        <v>Storage</v>
      </c>
      <c r="V198" t="s">
        <v>707</v>
      </c>
      <c r="X198" t="s">
        <v>48</v>
      </c>
      <c r="Y198" t="str">
        <f t="shared" si="46"/>
        <v>First Class</v>
      </c>
      <c r="Z198">
        <v>3</v>
      </c>
      <c r="AA198">
        <v>1212.03</v>
      </c>
      <c r="AB198">
        <v>0.1</v>
      </c>
      <c r="AC198">
        <v>3272.48</v>
      </c>
      <c r="AD198">
        <v>2517.44</v>
      </c>
      <c r="AE198">
        <v>755.04</v>
      </c>
      <c r="AF198" t="s">
        <v>30</v>
      </c>
      <c r="AG198" t="str">
        <f t="shared" si="47"/>
        <v>Paid</v>
      </c>
      <c r="AH198" t="s">
        <v>31</v>
      </c>
    </row>
    <row r="199" spans="1:34">
      <c r="A199" t="s">
        <v>708</v>
      </c>
      <c r="B199">
        <f>COUNTIF($A:$A,A199)</f>
        <v>1</v>
      </c>
      <c r="C199" t="str">
        <f t="shared" si="38"/>
        <v>Unique</v>
      </c>
      <c r="D199" s="4">
        <v>45747</v>
      </c>
      <c r="E199">
        <f t="shared" si="39"/>
        <v>95</v>
      </c>
      <c r="F199" s="4">
        <v>45842</v>
      </c>
      <c r="G199" t="s">
        <v>389</v>
      </c>
      <c r="H199" t="s">
        <v>116</v>
      </c>
      <c r="I199" t="str">
        <f t="shared" si="40"/>
        <v>Rahul Verma</v>
      </c>
      <c r="J199" t="s">
        <v>475</v>
      </c>
      <c r="K199" t="str">
        <f t="shared" si="41"/>
        <v>Small Business</v>
      </c>
      <c r="L199" t="s">
        <v>36</v>
      </c>
      <c r="M199" t="str">
        <f t="shared" si="37"/>
        <v>East</v>
      </c>
      <c r="N199" t="s">
        <v>143</v>
      </c>
      <c r="O199" t="str">
        <f t="shared" si="42"/>
        <v>Bihar</v>
      </c>
      <c r="P199" t="s">
        <v>144</v>
      </c>
      <c r="Q199" t="str">
        <f t="shared" si="43"/>
        <v>Patna</v>
      </c>
      <c r="R199" t="s">
        <v>26</v>
      </c>
      <c r="S199" t="str">
        <f t="shared" si="44"/>
        <v>Office Supplies</v>
      </c>
      <c r="T199" t="s">
        <v>122</v>
      </c>
      <c r="U199" t="str">
        <f t="shared" si="45"/>
        <v>Storage</v>
      </c>
      <c r="V199" t="s">
        <v>709</v>
      </c>
      <c r="X199" t="s">
        <v>29</v>
      </c>
      <c r="Y199" t="str">
        <f t="shared" si="46"/>
        <v>Second Class</v>
      </c>
      <c r="Z199">
        <v>5</v>
      </c>
      <c r="AA199">
        <v>4096.4399999999996</v>
      </c>
      <c r="AB199">
        <v>0.15</v>
      </c>
      <c r="AC199">
        <v>17409.87</v>
      </c>
      <c r="AD199">
        <v>14076.25</v>
      </c>
      <c r="AE199">
        <v>3333.62</v>
      </c>
      <c r="AF199" t="s">
        <v>30</v>
      </c>
      <c r="AG199" t="str">
        <f t="shared" si="47"/>
        <v>Paid</v>
      </c>
      <c r="AH199" t="s">
        <v>31</v>
      </c>
    </row>
    <row r="200" spans="1:34">
      <c r="A200" t="s">
        <v>710</v>
      </c>
      <c r="B200">
        <f>COUNTIF($A:$A,A200)</f>
        <v>1</v>
      </c>
      <c r="C200" t="str">
        <f t="shared" si="38"/>
        <v>Unique</v>
      </c>
      <c r="D200" s="4">
        <v>45418</v>
      </c>
      <c r="E200">
        <f t="shared" si="39"/>
        <v>31</v>
      </c>
      <c r="F200" s="4">
        <v>45449</v>
      </c>
      <c r="G200" t="s">
        <v>711</v>
      </c>
      <c r="H200" t="s">
        <v>130</v>
      </c>
      <c r="I200" t="str">
        <f t="shared" si="40"/>
        <v>Sneha Kapoor</v>
      </c>
      <c r="J200" t="s">
        <v>22</v>
      </c>
      <c r="K200" t="str">
        <f t="shared" si="41"/>
        <v>Consumer</v>
      </c>
      <c r="L200" t="s">
        <v>61</v>
      </c>
      <c r="M200" t="str">
        <f t="shared" si="37"/>
        <v>West</v>
      </c>
      <c r="N200" t="s">
        <v>178</v>
      </c>
      <c r="O200" t="str">
        <f t="shared" si="42"/>
        <v>Gujarat</v>
      </c>
      <c r="P200" t="s">
        <v>179</v>
      </c>
      <c r="Q200" t="str">
        <f t="shared" si="43"/>
        <v>Ahmedabad</v>
      </c>
      <c r="R200" t="s">
        <v>26</v>
      </c>
      <c r="S200" t="str">
        <f t="shared" si="44"/>
        <v>Office Supplies</v>
      </c>
      <c r="T200" t="s">
        <v>46</v>
      </c>
      <c r="U200" t="str">
        <f t="shared" si="45"/>
        <v>Art</v>
      </c>
      <c r="V200" t="s">
        <v>712</v>
      </c>
      <c r="X200" t="s">
        <v>29</v>
      </c>
      <c r="Y200" t="str">
        <f t="shared" si="46"/>
        <v>Second Class</v>
      </c>
      <c r="Z200">
        <v>1</v>
      </c>
      <c r="AA200">
        <v>1184.58</v>
      </c>
      <c r="AB200">
        <v>0.05</v>
      </c>
      <c r="AC200">
        <v>1125.3499999999999</v>
      </c>
      <c r="AD200">
        <v>676.97</v>
      </c>
      <c r="AE200">
        <v>448.38</v>
      </c>
      <c r="AF200" t="s">
        <v>153</v>
      </c>
      <c r="AG200" t="str">
        <f t="shared" si="47"/>
        <v>Failed</v>
      </c>
      <c r="AH200" t="s">
        <v>66</v>
      </c>
    </row>
    <row r="201" spans="1:34">
      <c r="A201" t="s">
        <v>713</v>
      </c>
      <c r="B201">
        <f>COUNTIF($A:$A,A201)</f>
        <v>1</v>
      </c>
      <c r="C201" t="str">
        <f t="shared" si="38"/>
        <v>Unique</v>
      </c>
      <c r="D201" s="4">
        <v>45363</v>
      </c>
      <c r="E201">
        <f t="shared" si="39"/>
        <v>266</v>
      </c>
      <c r="F201" s="4">
        <v>45629</v>
      </c>
      <c r="G201" t="s">
        <v>714</v>
      </c>
      <c r="H201" t="s">
        <v>116</v>
      </c>
      <c r="I201" t="str">
        <f t="shared" si="40"/>
        <v>Rahul Verma</v>
      </c>
      <c r="J201" t="s">
        <v>93</v>
      </c>
      <c r="K201" t="str">
        <f t="shared" si="41"/>
        <v>Home Office</v>
      </c>
      <c r="L201" t="s">
        <v>36</v>
      </c>
      <c r="M201" t="str">
        <f t="shared" si="37"/>
        <v>East</v>
      </c>
      <c r="N201" t="s">
        <v>143</v>
      </c>
      <c r="O201" t="str">
        <f t="shared" si="42"/>
        <v>Bihar</v>
      </c>
      <c r="P201" t="s">
        <v>144</v>
      </c>
      <c r="Q201" t="str">
        <f t="shared" si="43"/>
        <v>Patna</v>
      </c>
      <c r="R201" t="s">
        <v>72</v>
      </c>
      <c r="S201" t="str">
        <f t="shared" si="44"/>
        <v>Technology</v>
      </c>
      <c r="T201" t="s">
        <v>273</v>
      </c>
      <c r="U201" t="str">
        <f t="shared" si="45"/>
        <v>Machines</v>
      </c>
      <c r="V201" t="s">
        <v>715</v>
      </c>
      <c r="Y201" t="s">
        <v>2828</v>
      </c>
      <c r="Z201">
        <v>6</v>
      </c>
      <c r="AA201">
        <v>2185.58</v>
      </c>
      <c r="AB201">
        <v>0.25</v>
      </c>
      <c r="AC201">
        <v>9835.11</v>
      </c>
      <c r="AD201">
        <v>5437.64</v>
      </c>
      <c r="AE201">
        <v>4397.47</v>
      </c>
      <c r="AF201" t="s">
        <v>30</v>
      </c>
      <c r="AG201" t="str">
        <f t="shared" si="47"/>
        <v>Paid</v>
      </c>
      <c r="AH201" t="s">
        <v>31</v>
      </c>
    </row>
    <row r="202" spans="1:34">
      <c r="A202" t="s">
        <v>716</v>
      </c>
      <c r="B202">
        <f>COUNTIF($A:$A,A202)</f>
        <v>1</v>
      </c>
      <c r="C202" t="str">
        <f t="shared" si="38"/>
        <v>Unique</v>
      </c>
      <c r="D202" s="4">
        <v>45835</v>
      </c>
      <c r="E202">
        <f t="shared" si="39"/>
        <v>-51</v>
      </c>
      <c r="F202" s="4">
        <v>45784</v>
      </c>
      <c r="G202" t="s">
        <v>717</v>
      </c>
      <c r="H202" t="s">
        <v>112</v>
      </c>
      <c r="I202" t="str">
        <f t="shared" si="40"/>
        <v>Priya Menon</v>
      </c>
      <c r="J202" t="s">
        <v>35</v>
      </c>
      <c r="K202" t="str">
        <f t="shared" si="41"/>
        <v>Small Business</v>
      </c>
      <c r="L202" t="s">
        <v>23</v>
      </c>
      <c r="M202" t="str">
        <f t="shared" si="37"/>
        <v>North</v>
      </c>
      <c r="N202" t="s">
        <v>24</v>
      </c>
      <c r="O202" t="str">
        <f t="shared" si="42"/>
        <v>Rajasthan</v>
      </c>
      <c r="P202" t="s">
        <v>25</v>
      </c>
      <c r="Q202" t="str">
        <f t="shared" si="43"/>
        <v>Jaipur</v>
      </c>
      <c r="R202" t="s">
        <v>72</v>
      </c>
      <c r="S202" t="str">
        <f t="shared" si="44"/>
        <v>Technology</v>
      </c>
      <c r="T202" t="s">
        <v>78</v>
      </c>
      <c r="U202" t="str">
        <f t="shared" si="45"/>
        <v>Copiers</v>
      </c>
      <c r="V202" t="s">
        <v>718</v>
      </c>
      <c r="X202" t="s">
        <v>48</v>
      </c>
      <c r="Y202" t="str">
        <f t="shared" si="46"/>
        <v>First Class</v>
      </c>
      <c r="Z202">
        <v>5</v>
      </c>
      <c r="AA202">
        <v>2868.44</v>
      </c>
      <c r="AB202">
        <v>0.1</v>
      </c>
      <c r="AC202">
        <v>12907.98</v>
      </c>
      <c r="AD202">
        <v>9197.08</v>
      </c>
      <c r="AE202">
        <v>3710.9</v>
      </c>
      <c r="AF202" t="s">
        <v>109</v>
      </c>
      <c r="AG202" t="str">
        <f t="shared" si="47"/>
        <v>Pending</v>
      </c>
      <c r="AH202" t="s">
        <v>66</v>
      </c>
    </row>
    <row r="203" spans="1:34">
      <c r="A203" t="s">
        <v>719</v>
      </c>
      <c r="B203">
        <f>COUNTIF($A:$A,A203)</f>
        <v>1</v>
      </c>
      <c r="C203" t="str">
        <f t="shared" si="38"/>
        <v>Unique</v>
      </c>
      <c r="D203" s="4">
        <v>45864</v>
      </c>
      <c r="E203">
        <f t="shared" si="39"/>
        <v>8</v>
      </c>
      <c r="F203" s="4">
        <v>45872</v>
      </c>
      <c r="G203" t="s">
        <v>720</v>
      </c>
      <c r="H203" t="s">
        <v>69</v>
      </c>
      <c r="I203" t="str">
        <f t="shared" si="40"/>
        <v>Vikram Iyer</v>
      </c>
      <c r="J203" t="s">
        <v>22</v>
      </c>
      <c r="K203" t="str">
        <f t="shared" si="41"/>
        <v>Consumer</v>
      </c>
      <c r="L203" t="s">
        <v>61</v>
      </c>
      <c r="M203" t="str">
        <f t="shared" si="37"/>
        <v>West</v>
      </c>
      <c r="N203" t="s">
        <v>70</v>
      </c>
      <c r="O203" t="str">
        <f t="shared" si="42"/>
        <v>Madhya Pradesh</v>
      </c>
      <c r="P203" t="s">
        <v>71</v>
      </c>
      <c r="Q203" t="str">
        <f t="shared" si="43"/>
        <v>Indore</v>
      </c>
      <c r="R203" t="s">
        <v>26</v>
      </c>
      <c r="S203" t="str">
        <f t="shared" si="44"/>
        <v>Office Supplies</v>
      </c>
      <c r="T203" t="s">
        <v>89</v>
      </c>
      <c r="U203" t="str">
        <f t="shared" si="45"/>
        <v>Labels</v>
      </c>
      <c r="V203" t="s">
        <v>721</v>
      </c>
      <c r="X203" t="s">
        <v>29</v>
      </c>
      <c r="Y203" t="str">
        <f t="shared" si="46"/>
        <v>Second Class</v>
      </c>
      <c r="Z203">
        <v>2</v>
      </c>
      <c r="AA203">
        <v>2503.5300000000002</v>
      </c>
      <c r="AB203">
        <v>-0.16</v>
      </c>
      <c r="AC203">
        <v>4756.71</v>
      </c>
      <c r="AD203">
        <v>2954.86</v>
      </c>
      <c r="AE203">
        <v>1801.85</v>
      </c>
      <c r="AF203" t="s">
        <v>100</v>
      </c>
      <c r="AG203" t="str">
        <f t="shared" si="47"/>
        <v>Refunded</v>
      </c>
      <c r="AH203" t="s">
        <v>66</v>
      </c>
    </row>
    <row r="204" spans="1:34">
      <c r="A204" t="s">
        <v>722</v>
      </c>
      <c r="B204">
        <f>COUNTIF($A:$A,A204)</f>
        <v>1</v>
      </c>
      <c r="C204" t="str">
        <f t="shared" si="38"/>
        <v>Unique</v>
      </c>
      <c r="D204" s="4">
        <v>45744</v>
      </c>
      <c r="E204">
        <f t="shared" si="39"/>
        <v>0</v>
      </c>
      <c r="F204" s="4">
        <v>45744</v>
      </c>
      <c r="G204" t="s">
        <v>723</v>
      </c>
      <c r="H204" t="s">
        <v>130</v>
      </c>
      <c r="I204" t="str">
        <f t="shared" si="40"/>
        <v>Sneha Kapoor</v>
      </c>
      <c r="J204" t="s">
        <v>88</v>
      </c>
      <c r="K204" t="str">
        <f t="shared" si="41"/>
        <v>Corporate</v>
      </c>
      <c r="L204" t="s">
        <v>61</v>
      </c>
      <c r="M204" t="str">
        <f t="shared" si="37"/>
        <v>West</v>
      </c>
      <c r="N204" t="s">
        <v>188</v>
      </c>
      <c r="O204" t="str">
        <f t="shared" si="42"/>
        <v>Goa</v>
      </c>
      <c r="P204" t="s">
        <v>189</v>
      </c>
      <c r="Q204" t="str">
        <f t="shared" si="43"/>
        <v>Panaji</v>
      </c>
      <c r="R204" t="s">
        <v>72</v>
      </c>
      <c r="S204" t="str">
        <f t="shared" si="44"/>
        <v>Technology</v>
      </c>
      <c r="T204" t="s">
        <v>73</v>
      </c>
      <c r="U204" t="str">
        <f t="shared" si="45"/>
        <v>Accessories</v>
      </c>
      <c r="V204" t="s">
        <v>724</v>
      </c>
      <c r="X204" t="s">
        <v>57</v>
      </c>
      <c r="Y204" t="str">
        <f t="shared" si="46"/>
        <v>Standard Class</v>
      </c>
      <c r="Z204">
        <v>8</v>
      </c>
      <c r="AA204">
        <v>1740.94</v>
      </c>
      <c r="AB204">
        <v>0.05</v>
      </c>
      <c r="AC204">
        <v>13231.14</v>
      </c>
      <c r="AD204">
        <v>11290.06</v>
      </c>
      <c r="AE204">
        <v>1941.08</v>
      </c>
      <c r="AF204" t="s">
        <v>30</v>
      </c>
      <c r="AG204" t="str">
        <f t="shared" si="47"/>
        <v>Paid</v>
      </c>
      <c r="AH204" t="s">
        <v>31</v>
      </c>
    </row>
    <row r="205" spans="1:34">
      <c r="A205" t="s">
        <v>725</v>
      </c>
      <c r="B205">
        <f>COUNTIF($A:$A,A205)</f>
        <v>1</v>
      </c>
      <c r="C205" t="str">
        <f t="shared" si="38"/>
        <v>Unique</v>
      </c>
      <c r="D205" s="4">
        <v>45379</v>
      </c>
      <c r="E205">
        <f t="shared" si="39"/>
        <v>2</v>
      </c>
      <c r="F205" s="4">
        <v>45381</v>
      </c>
      <c r="G205" t="s">
        <v>726</v>
      </c>
      <c r="H205" t="s">
        <v>130</v>
      </c>
      <c r="I205" t="str">
        <f t="shared" si="40"/>
        <v>Sneha Kapoor</v>
      </c>
      <c r="J205" t="s">
        <v>88</v>
      </c>
      <c r="K205" t="str">
        <f t="shared" si="41"/>
        <v>Corporate</v>
      </c>
      <c r="L205" t="s">
        <v>61</v>
      </c>
      <c r="M205" t="str">
        <f t="shared" si="37"/>
        <v>West</v>
      </c>
      <c r="N205" t="s">
        <v>24</v>
      </c>
      <c r="O205" t="str">
        <f t="shared" si="42"/>
        <v>Rajasthan</v>
      </c>
      <c r="P205" t="s">
        <v>107</v>
      </c>
      <c r="Q205" t="str">
        <f t="shared" si="43"/>
        <v>Udaipur</v>
      </c>
      <c r="R205" t="s">
        <v>72</v>
      </c>
      <c r="S205" t="str">
        <f t="shared" si="44"/>
        <v>Technology</v>
      </c>
      <c r="T205" t="s">
        <v>73</v>
      </c>
      <c r="U205" t="str">
        <f t="shared" si="45"/>
        <v>Accessories</v>
      </c>
      <c r="V205" t="s">
        <v>727</v>
      </c>
      <c r="X205" t="s">
        <v>29</v>
      </c>
      <c r="Y205" t="str">
        <f t="shared" si="46"/>
        <v>Second Class</v>
      </c>
      <c r="Z205">
        <v>1</v>
      </c>
      <c r="AA205">
        <v>570.34</v>
      </c>
      <c r="AB205">
        <v>0.15</v>
      </c>
      <c r="AC205">
        <v>484.79</v>
      </c>
      <c r="AD205">
        <v>333.54</v>
      </c>
      <c r="AE205">
        <v>151.25</v>
      </c>
      <c r="AF205" t="s">
        <v>30</v>
      </c>
      <c r="AG205" t="str">
        <f t="shared" si="47"/>
        <v>Paid</v>
      </c>
      <c r="AH205" t="s">
        <v>31</v>
      </c>
    </row>
    <row r="206" spans="1:34">
      <c r="A206" t="s">
        <v>728</v>
      </c>
      <c r="B206">
        <f>COUNTIF($A:$A,A206)</f>
        <v>1</v>
      </c>
      <c r="C206" t="str">
        <f t="shared" si="38"/>
        <v>Unique</v>
      </c>
      <c r="D206" s="4">
        <v>45858</v>
      </c>
      <c r="E206">
        <f t="shared" si="39"/>
        <v>3</v>
      </c>
      <c r="F206" s="4">
        <v>45861</v>
      </c>
      <c r="G206" t="s">
        <v>729</v>
      </c>
      <c r="H206" t="s">
        <v>34</v>
      </c>
      <c r="I206" t="str">
        <f t="shared" si="40"/>
        <v>Mira Das</v>
      </c>
      <c r="J206" t="s">
        <v>93</v>
      </c>
      <c r="K206" t="str">
        <f t="shared" si="41"/>
        <v>Home Office</v>
      </c>
      <c r="L206" t="s">
        <v>36</v>
      </c>
      <c r="M206" t="str">
        <f t="shared" si="37"/>
        <v>East</v>
      </c>
      <c r="N206" t="s">
        <v>97</v>
      </c>
      <c r="O206" t="str">
        <f t="shared" si="42"/>
        <v>West Bengal</v>
      </c>
      <c r="P206" t="s">
        <v>98</v>
      </c>
      <c r="Q206" t="str">
        <f t="shared" si="43"/>
        <v>Kolkata</v>
      </c>
      <c r="R206" t="s">
        <v>39</v>
      </c>
      <c r="S206" t="str">
        <f t="shared" si="44"/>
        <v>Furniture</v>
      </c>
      <c r="T206" t="s">
        <v>40</v>
      </c>
      <c r="U206" t="str">
        <f t="shared" si="45"/>
        <v>Tables</v>
      </c>
      <c r="V206" t="s">
        <v>730</v>
      </c>
      <c r="X206" t="s">
        <v>29</v>
      </c>
      <c r="Y206" t="str">
        <f t="shared" si="46"/>
        <v>Second Class</v>
      </c>
      <c r="Z206">
        <v>4</v>
      </c>
      <c r="AA206">
        <v>477.69</v>
      </c>
      <c r="AB206">
        <v>0.15</v>
      </c>
      <c r="AC206">
        <v>1624.15</v>
      </c>
      <c r="AD206">
        <v>1217.99</v>
      </c>
      <c r="AE206">
        <v>406.16</v>
      </c>
      <c r="AF206" t="s">
        <v>30</v>
      </c>
      <c r="AG206" t="str">
        <f t="shared" si="47"/>
        <v>Paid</v>
      </c>
      <c r="AH206" t="s">
        <v>31</v>
      </c>
    </row>
    <row r="207" spans="1:34">
      <c r="A207" t="s">
        <v>731</v>
      </c>
      <c r="B207">
        <f>COUNTIF($A:$A,A207)</f>
        <v>1</v>
      </c>
      <c r="C207" t="str">
        <f t="shared" si="38"/>
        <v>Unique</v>
      </c>
      <c r="D207" s="4">
        <v>45768</v>
      </c>
      <c r="E207">
        <f t="shared" si="39"/>
        <v>5</v>
      </c>
      <c r="F207" s="4">
        <v>45773</v>
      </c>
      <c r="G207" t="s">
        <v>732</v>
      </c>
      <c r="H207" t="s">
        <v>60</v>
      </c>
      <c r="I207" t="str">
        <f t="shared" si="40"/>
        <v>Ananya Rao</v>
      </c>
      <c r="J207" t="s">
        <v>22</v>
      </c>
      <c r="K207" t="str">
        <f t="shared" si="41"/>
        <v>Consumer</v>
      </c>
      <c r="L207" t="s">
        <v>61</v>
      </c>
      <c r="M207" t="str">
        <f t="shared" si="37"/>
        <v>West</v>
      </c>
      <c r="N207" t="s">
        <v>62</v>
      </c>
      <c r="O207" t="str">
        <f t="shared" si="42"/>
        <v>Maharashtra</v>
      </c>
      <c r="P207" t="s">
        <v>63</v>
      </c>
      <c r="Q207" t="str">
        <f t="shared" si="43"/>
        <v>Mumbai</v>
      </c>
      <c r="R207" t="s">
        <v>614</v>
      </c>
      <c r="S207" t="str">
        <f t="shared" si="44"/>
        <v>Office Supplies</v>
      </c>
      <c r="T207" t="s">
        <v>89</v>
      </c>
      <c r="U207" t="str">
        <f t="shared" si="45"/>
        <v>Labels</v>
      </c>
      <c r="V207" t="s">
        <v>733</v>
      </c>
      <c r="X207" t="s">
        <v>42</v>
      </c>
      <c r="Y207" t="str">
        <f t="shared" si="46"/>
        <v>Same Day</v>
      </c>
      <c r="Z207">
        <v>6</v>
      </c>
      <c r="AA207">
        <v>873.59</v>
      </c>
      <c r="AB207">
        <v>0.2</v>
      </c>
      <c r="AC207">
        <v>4193.2299999999996</v>
      </c>
      <c r="AD207">
        <v>3329.99</v>
      </c>
      <c r="AE207">
        <v>863.24</v>
      </c>
      <c r="AF207" t="s">
        <v>30</v>
      </c>
      <c r="AG207" t="str">
        <f t="shared" si="47"/>
        <v>Paid</v>
      </c>
      <c r="AH207" t="s">
        <v>31</v>
      </c>
    </row>
    <row r="208" spans="1:34">
      <c r="A208" t="s">
        <v>734</v>
      </c>
      <c r="B208">
        <f>COUNTIF($A:$A,A208)</f>
        <v>1</v>
      </c>
      <c r="C208" t="str">
        <f t="shared" si="38"/>
        <v>Unique</v>
      </c>
      <c r="D208" s="4">
        <v>45795</v>
      </c>
      <c r="E208">
        <f t="shared" si="39"/>
        <v>2</v>
      </c>
      <c r="F208" s="4">
        <v>45797</v>
      </c>
      <c r="G208" t="s">
        <v>735</v>
      </c>
      <c r="H208" t="s">
        <v>160</v>
      </c>
      <c r="I208" t="str">
        <f t="shared" si="40"/>
        <v>Diya Patel</v>
      </c>
      <c r="J208" t="s">
        <v>35</v>
      </c>
      <c r="K208" t="str">
        <f t="shared" si="41"/>
        <v>Small Business</v>
      </c>
      <c r="L208" t="s">
        <v>23</v>
      </c>
      <c r="M208" t="str">
        <f t="shared" si="37"/>
        <v>North</v>
      </c>
      <c r="N208" t="s">
        <v>134</v>
      </c>
      <c r="O208" t="str">
        <f t="shared" si="42"/>
        <v>Uttar Pradesh</v>
      </c>
      <c r="P208" t="s">
        <v>135</v>
      </c>
      <c r="Q208" t="str">
        <f t="shared" si="43"/>
        <v>Noida</v>
      </c>
      <c r="R208" t="s">
        <v>39</v>
      </c>
      <c r="S208" t="str">
        <f t="shared" si="44"/>
        <v>Furniture</v>
      </c>
      <c r="T208" t="s">
        <v>55</v>
      </c>
      <c r="U208" t="str">
        <f t="shared" si="45"/>
        <v>Furnishings</v>
      </c>
      <c r="V208" t="s">
        <v>736</v>
      </c>
      <c r="X208" t="s">
        <v>48</v>
      </c>
      <c r="Y208" t="str">
        <f t="shared" si="46"/>
        <v>First Class</v>
      </c>
      <c r="Z208">
        <v>2</v>
      </c>
      <c r="AA208">
        <v>215.13</v>
      </c>
      <c r="AB208">
        <v>0</v>
      </c>
      <c r="AC208">
        <v>430.26</v>
      </c>
      <c r="AD208">
        <v>286.38</v>
      </c>
      <c r="AE208">
        <v>143.88</v>
      </c>
      <c r="AF208" t="s">
        <v>30</v>
      </c>
      <c r="AG208" t="str">
        <f t="shared" si="47"/>
        <v>Paid</v>
      </c>
      <c r="AH208" t="s">
        <v>31</v>
      </c>
    </row>
    <row r="209" spans="1:34">
      <c r="A209" t="s">
        <v>737</v>
      </c>
      <c r="B209">
        <f>COUNTIF($A:$A,A209)</f>
        <v>1</v>
      </c>
      <c r="C209" t="str">
        <f t="shared" si="38"/>
        <v>Unique</v>
      </c>
      <c r="D209" s="4">
        <v>45572</v>
      </c>
      <c r="E209">
        <f t="shared" si="39"/>
        <v>-83</v>
      </c>
      <c r="F209" s="4">
        <v>45489</v>
      </c>
      <c r="G209" t="s">
        <v>738</v>
      </c>
      <c r="H209" t="s">
        <v>126</v>
      </c>
      <c r="I209" t="str">
        <f t="shared" si="40"/>
        <v>Aarav Sharma</v>
      </c>
      <c r="J209" t="s">
        <v>93</v>
      </c>
      <c r="K209" t="str">
        <f t="shared" si="41"/>
        <v>Home Office</v>
      </c>
      <c r="L209" t="s">
        <v>61</v>
      </c>
      <c r="M209" t="str">
        <f t="shared" si="37"/>
        <v>West</v>
      </c>
      <c r="N209" t="s">
        <v>188</v>
      </c>
      <c r="O209" t="str">
        <f t="shared" si="42"/>
        <v>Goa</v>
      </c>
      <c r="P209" t="s">
        <v>189</v>
      </c>
      <c r="Q209" t="str">
        <f t="shared" si="43"/>
        <v>Panaji</v>
      </c>
      <c r="R209" t="s">
        <v>39</v>
      </c>
      <c r="S209" t="str">
        <f t="shared" si="44"/>
        <v>Furniture</v>
      </c>
      <c r="T209" t="s">
        <v>156</v>
      </c>
      <c r="U209" t="str">
        <f t="shared" si="45"/>
        <v>Bookcases</v>
      </c>
      <c r="V209" t="s">
        <v>739</v>
      </c>
      <c r="X209" t="s">
        <v>29</v>
      </c>
      <c r="Y209" t="str">
        <f t="shared" si="46"/>
        <v>Second Class</v>
      </c>
      <c r="Z209">
        <v>2</v>
      </c>
      <c r="AA209">
        <v>1095.45</v>
      </c>
      <c r="AB209">
        <v>0.2</v>
      </c>
      <c r="AC209">
        <v>1752.72</v>
      </c>
      <c r="AD209">
        <v>996.41</v>
      </c>
      <c r="AE209">
        <v>756.31</v>
      </c>
      <c r="AF209" t="s">
        <v>30</v>
      </c>
      <c r="AG209" t="str">
        <f t="shared" si="47"/>
        <v>Paid</v>
      </c>
      <c r="AH209" t="s">
        <v>31</v>
      </c>
    </row>
    <row r="210" spans="1:34">
      <c r="A210" t="s">
        <v>740</v>
      </c>
      <c r="B210">
        <f>COUNTIF($A:$A,A210)</f>
        <v>1</v>
      </c>
      <c r="C210" t="str">
        <f t="shared" si="38"/>
        <v>Unique</v>
      </c>
      <c r="D210" s="4">
        <v>45837</v>
      </c>
      <c r="E210">
        <f t="shared" si="39"/>
        <v>-53</v>
      </c>
      <c r="F210" s="4">
        <v>45784</v>
      </c>
      <c r="G210" t="s">
        <v>741</v>
      </c>
      <c r="H210" t="s">
        <v>160</v>
      </c>
      <c r="I210" t="str">
        <f t="shared" si="40"/>
        <v>Diya Patel</v>
      </c>
      <c r="J210" t="s">
        <v>22</v>
      </c>
      <c r="K210" t="str">
        <f t="shared" si="41"/>
        <v>Consumer</v>
      </c>
      <c r="L210" t="s">
        <v>23</v>
      </c>
      <c r="M210" t="str">
        <f t="shared" si="37"/>
        <v>North</v>
      </c>
      <c r="N210" t="s">
        <v>120</v>
      </c>
      <c r="O210" t="str">
        <f t="shared" si="42"/>
        <v>Punjab</v>
      </c>
      <c r="P210" t="s">
        <v>121</v>
      </c>
      <c r="Q210" t="str">
        <f t="shared" si="43"/>
        <v>Ludhiana</v>
      </c>
      <c r="R210" t="s">
        <v>39</v>
      </c>
      <c r="S210" t="str">
        <f t="shared" si="44"/>
        <v>Furniture</v>
      </c>
      <c r="T210" t="s">
        <v>64</v>
      </c>
      <c r="U210" t="str">
        <f t="shared" si="45"/>
        <v>Chairs</v>
      </c>
      <c r="V210" t="s">
        <v>742</v>
      </c>
      <c r="X210" t="s">
        <v>42</v>
      </c>
      <c r="Y210" t="str">
        <f t="shared" si="46"/>
        <v>Same Day</v>
      </c>
      <c r="Z210">
        <v>1</v>
      </c>
      <c r="AA210">
        <v>999.83</v>
      </c>
      <c r="AB210">
        <v>0</v>
      </c>
      <c r="AC210">
        <v>999.83</v>
      </c>
      <c r="AD210">
        <v>634.91</v>
      </c>
      <c r="AE210">
        <v>364.92</v>
      </c>
      <c r="AF210" t="s">
        <v>30</v>
      </c>
      <c r="AG210" t="str">
        <f t="shared" si="47"/>
        <v>Paid</v>
      </c>
      <c r="AH210" t="s">
        <v>31</v>
      </c>
    </row>
    <row r="211" spans="1:34">
      <c r="A211" t="s">
        <v>743</v>
      </c>
      <c r="B211">
        <f>COUNTIF($A:$A,A211)</f>
        <v>1</v>
      </c>
      <c r="C211" t="str">
        <f t="shared" si="38"/>
        <v>Unique</v>
      </c>
      <c r="D211" s="4">
        <v>45882</v>
      </c>
      <c r="E211">
        <f t="shared" si="39"/>
        <v>1</v>
      </c>
      <c r="F211" s="4">
        <v>45883</v>
      </c>
      <c r="G211" t="s">
        <v>744</v>
      </c>
      <c r="H211" t="s">
        <v>139</v>
      </c>
      <c r="I211" t="str">
        <f t="shared" si="40"/>
        <v>Rohan Mehta</v>
      </c>
      <c r="J211" t="s">
        <v>35</v>
      </c>
      <c r="K211" t="str">
        <f t="shared" si="41"/>
        <v>Small Business</v>
      </c>
      <c r="L211" t="s">
        <v>52</v>
      </c>
      <c r="M211" t="str">
        <f t="shared" si="37"/>
        <v>South</v>
      </c>
      <c r="N211" t="s">
        <v>82</v>
      </c>
      <c r="O211" t="str">
        <f t="shared" si="42"/>
        <v>Andhra Pradesh</v>
      </c>
      <c r="P211" t="s">
        <v>83</v>
      </c>
      <c r="Q211" t="str">
        <f t="shared" si="43"/>
        <v>Vijayawada</v>
      </c>
      <c r="R211" t="s">
        <v>26</v>
      </c>
      <c r="S211" t="str">
        <f t="shared" si="44"/>
        <v>Office Supplies</v>
      </c>
      <c r="T211" t="s">
        <v>27</v>
      </c>
      <c r="U211" t="str">
        <f t="shared" si="45"/>
        <v>Paper</v>
      </c>
      <c r="V211" t="s">
        <v>745</v>
      </c>
      <c r="X211" t="s">
        <v>48</v>
      </c>
      <c r="Y211" t="str">
        <f t="shared" si="46"/>
        <v>First Class</v>
      </c>
      <c r="Z211">
        <v>9</v>
      </c>
      <c r="AA211">
        <v>864.98</v>
      </c>
      <c r="AB211">
        <v>0.1</v>
      </c>
      <c r="AC211">
        <v>7006.34</v>
      </c>
      <c r="AD211">
        <v>4640.88</v>
      </c>
      <c r="AE211">
        <v>2365.46</v>
      </c>
      <c r="AF211" t="s">
        <v>30</v>
      </c>
      <c r="AG211" t="str">
        <f t="shared" si="47"/>
        <v>Paid</v>
      </c>
      <c r="AH211" t="s">
        <v>31</v>
      </c>
    </row>
    <row r="212" spans="1:34">
      <c r="A212" t="s">
        <v>746</v>
      </c>
      <c r="B212">
        <f>COUNTIF($A:$A,A212)</f>
        <v>1</v>
      </c>
      <c r="C212" t="str">
        <f t="shared" si="38"/>
        <v>Unique</v>
      </c>
      <c r="D212" s="4">
        <v>45366</v>
      </c>
      <c r="E212">
        <f t="shared" si="39"/>
        <v>3</v>
      </c>
      <c r="F212" s="4">
        <v>45369</v>
      </c>
      <c r="G212" t="s">
        <v>747</v>
      </c>
      <c r="H212" t="s">
        <v>263</v>
      </c>
      <c r="I212" t="str">
        <f t="shared" si="40"/>
        <v>Kabir Singh</v>
      </c>
      <c r="J212" t="s">
        <v>93</v>
      </c>
      <c r="K212" t="str">
        <f t="shared" si="41"/>
        <v>Home Office</v>
      </c>
      <c r="L212" t="s">
        <v>52</v>
      </c>
      <c r="M212" t="str">
        <f t="shared" si="37"/>
        <v>South</v>
      </c>
      <c r="N212" t="s">
        <v>173</v>
      </c>
      <c r="O212" t="str">
        <f t="shared" si="42"/>
        <v>Karnataka</v>
      </c>
      <c r="P212" t="s">
        <v>174</v>
      </c>
      <c r="Q212" t="str">
        <f t="shared" si="43"/>
        <v>Bengaluru</v>
      </c>
      <c r="R212" t="s">
        <v>72</v>
      </c>
      <c r="S212" t="str">
        <f t="shared" si="44"/>
        <v>Technology</v>
      </c>
      <c r="T212" t="s">
        <v>273</v>
      </c>
      <c r="U212" t="str">
        <f t="shared" si="45"/>
        <v>Machines</v>
      </c>
      <c r="V212" t="s">
        <v>748</v>
      </c>
      <c r="X212" t="s">
        <v>29</v>
      </c>
      <c r="Y212" t="str">
        <f t="shared" si="46"/>
        <v>Second Class</v>
      </c>
      <c r="Z212">
        <v>1</v>
      </c>
      <c r="AA212">
        <v>4131.3599999999997</v>
      </c>
      <c r="AB212">
        <v>0</v>
      </c>
      <c r="AC212">
        <v>4131.3599999999997</v>
      </c>
      <c r="AD212">
        <v>2937.07</v>
      </c>
      <c r="AE212">
        <v>1194.29</v>
      </c>
      <c r="AF212" t="s">
        <v>153</v>
      </c>
      <c r="AG212" t="str">
        <f t="shared" si="47"/>
        <v>Failed</v>
      </c>
      <c r="AH212" t="s">
        <v>101</v>
      </c>
    </row>
    <row r="213" spans="1:34">
      <c r="A213" t="s">
        <v>749</v>
      </c>
      <c r="B213">
        <f>COUNTIF($A:$A,A213)</f>
        <v>1</v>
      </c>
      <c r="C213" t="str">
        <f t="shared" si="38"/>
        <v>Unique</v>
      </c>
      <c r="D213" s="4">
        <v>45428</v>
      </c>
      <c r="E213">
        <f t="shared" si="39"/>
        <v>1</v>
      </c>
      <c r="F213" s="4">
        <v>45429</v>
      </c>
      <c r="G213" t="s">
        <v>750</v>
      </c>
      <c r="H213" t="s">
        <v>139</v>
      </c>
      <c r="I213" t="str">
        <f t="shared" si="40"/>
        <v>Rohan Mehta</v>
      </c>
      <c r="J213" t="s">
        <v>88</v>
      </c>
      <c r="K213" t="str">
        <f t="shared" si="41"/>
        <v>Corporate</v>
      </c>
      <c r="L213" t="s">
        <v>751</v>
      </c>
      <c r="M213" t="str">
        <f t="shared" si="37"/>
        <v>East</v>
      </c>
      <c r="N213" t="s">
        <v>97</v>
      </c>
      <c r="O213" t="str">
        <f t="shared" si="42"/>
        <v>West Bengal</v>
      </c>
      <c r="P213" t="s">
        <v>98</v>
      </c>
      <c r="Q213" t="str">
        <f t="shared" si="43"/>
        <v>Kolkata</v>
      </c>
      <c r="R213" t="s">
        <v>72</v>
      </c>
      <c r="S213" t="str">
        <f t="shared" si="44"/>
        <v>Technology</v>
      </c>
      <c r="T213" t="s">
        <v>78</v>
      </c>
      <c r="U213" t="str">
        <f t="shared" si="45"/>
        <v>Copiers</v>
      </c>
      <c r="V213" t="s">
        <v>752</v>
      </c>
      <c r="X213" t="s">
        <v>29</v>
      </c>
      <c r="Y213" t="str">
        <f t="shared" si="46"/>
        <v>Second Class</v>
      </c>
      <c r="Z213">
        <v>8</v>
      </c>
      <c r="AA213">
        <v>4221.95</v>
      </c>
      <c r="AB213">
        <v>0.2</v>
      </c>
      <c r="AC213">
        <v>27020.48</v>
      </c>
      <c r="AD213">
        <v>22885.24</v>
      </c>
      <c r="AE213">
        <v>4135.24</v>
      </c>
      <c r="AF213" t="s">
        <v>30</v>
      </c>
      <c r="AG213" t="str">
        <f t="shared" si="47"/>
        <v>Paid</v>
      </c>
      <c r="AH213" t="s">
        <v>31</v>
      </c>
    </row>
    <row r="214" spans="1:34">
      <c r="A214" t="s">
        <v>753</v>
      </c>
      <c r="B214">
        <f>COUNTIF($A:$A,A214)</f>
        <v>1</v>
      </c>
      <c r="C214" t="str">
        <f t="shared" si="38"/>
        <v>Unique</v>
      </c>
      <c r="D214" s="4">
        <v>45556</v>
      </c>
      <c r="E214">
        <f t="shared" si="39"/>
        <v>0</v>
      </c>
      <c r="F214" s="4">
        <v>45556</v>
      </c>
      <c r="G214" t="s">
        <v>754</v>
      </c>
      <c r="H214" t="s">
        <v>60</v>
      </c>
      <c r="I214" t="str">
        <f t="shared" si="40"/>
        <v>Ananya Rao</v>
      </c>
      <c r="J214" t="s">
        <v>35</v>
      </c>
      <c r="K214" t="str">
        <f t="shared" si="41"/>
        <v>Small Business</v>
      </c>
      <c r="L214" t="s">
        <v>36</v>
      </c>
      <c r="M214" t="str">
        <f t="shared" si="37"/>
        <v>East</v>
      </c>
      <c r="N214" t="s">
        <v>37</v>
      </c>
      <c r="O214" t="str">
        <f t="shared" si="42"/>
        <v>Odisha</v>
      </c>
      <c r="P214" t="s">
        <v>38</v>
      </c>
      <c r="Q214" t="str">
        <f t="shared" si="43"/>
        <v>Bhubaneswar</v>
      </c>
      <c r="R214" t="s">
        <v>72</v>
      </c>
      <c r="S214" t="str">
        <f t="shared" si="44"/>
        <v>Technology</v>
      </c>
      <c r="T214" t="s">
        <v>169</v>
      </c>
      <c r="U214" t="str">
        <f t="shared" si="45"/>
        <v>Phones</v>
      </c>
      <c r="V214" t="s">
        <v>755</v>
      </c>
      <c r="X214" t="s">
        <v>42</v>
      </c>
      <c r="Y214" t="str">
        <f t="shared" si="46"/>
        <v>Same Day</v>
      </c>
      <c r="Z214">
        <v>2</v>
      </c>
      <c r="AA214">
        <v>214.5</v>
      </c>
      <c r="AB214">
        <v>0.15</v>
      </c>
      <c r="AC214">
        <v>364.65</v>
      </c>
      <c r="AD214">
        <v>280.74</v>
      </c>
      <c r="AE214">
        <v>83.91</v>
      </c>
      <c r="AF214" t="s">
        <v>30</v>
      </c>
      <c r="AG214" t="str">
        <f t="shared" si="47"/>
        <v>Paid</v>
      </c>
      <c r="AH214" t="s">
        <v>31</v>
      </c>
    </row>
    <row r="215" spans="1:34">
      <c r="A215" t="s">
        <v>756</v>
      </c>
      <c r="B215">
        <f>COUNTIF($A:$A,A215)</f>
        <v>1</v>
      </c>
      <c r="C215" t="str">
        <f t="shared" si="38"/>
        <v>Unique</v>
      </c>
      <c r="D215" s="4">
        <v>45427</v>
      </c>
      <c r="E215">
        <f t="shared" si="39"/>
        <v>6</v>
      </c>
      <c r="F215" s="4">
        <v>45433</v>
      </c>
      <c r="G215" t="s">
        <v>757</v>
      </c>
      <c r="H215" t="s">
        <v>45</v>
      </c>
      <c r="I215" t="str">
        <f t="shared" si="40"/>
        <v>Isha Nair</v>
      </c>
      <c r="J215" t="s">
        <v>35</v>
      </c>
      <c r="K215" t="str">
        <f t="shared" si="41"/>
        <v>Small Business</v>
      </c>
      <c r="L215" t="s">
        <v>36</v>
      </c>
      <c r="M215" t="str">
        <f t="shared" si="37"/>
        <v>East</v>
      </c>
      <c r="N215" t="s">
        <v>143</v>
      </c>
      <c r="O215" t="str">
        <f t="shared" si="42"/>
        <v>Bihar</v>
      </c>
      <c r="P215" t="s">
        <v>144</v>
      </c>
      <c r="Q215" t="str">
        <f t="shared" si="43"/>
        <v>Patna</v>
      </c>
      <c r="R215" t="s">
        <v>72</v>
      </c>
      <c r="S215" t="str">
        <f t="shared" si="44"/>
        <v>Technology</v>
      </c>
      <c r="T215" t="s">
        <v>73</v>
      </c>
      <c r="U215" t="str">
        <f t="shared" si="45"/>
        <v>Accessories</v>
      </c>
      <c r="V215" t="s">
        <v>758</v>
      </c>
      <c r="X215" t="s">
        <v>29</v>
      </c>
      <c r="Y215" t="str">
        <f t="shared" si="46"/>
        <v>Second Class</v>
      </c>
      <c r="Z215">
        <v>4</v>
      </c>
      <c r="AA215">
        <v>4332.7299999999996</v>
      </c>
      <c r="AB215">
        <v>0.2</v>
      </c>
      <c r="AC215">
        <v>13864.74</v>
      </c>
      <c r="AD215">
        <v>11294.06</v>
      </c>
      <c r="AE215">
        <v>2570.6799999999998</v>
      </c>
      <c r="AF215" t="s">
        <v>30</v>
      </c>
      <c r="AG215" t="str">
        <f t="shared" si="47"/>
        <v>Paid</v>
      </c>
      <c r="AH215" t="s">
        <v>31</v>
      </c>
    </row>
    <row r="216" spans="1:34">
      <c r="A216" t="s">
        <v>759</v>
      </c>
      <c r="B216">
        <f>COUNTIF($A:$A,A216)</f>
        <v>1</v>
      </c>
      <c r="C216" t="str">
        <f t="shared" si="38"/>
        <v>Unique</v>
      </c>
      <c r="D216" s="4">
        <v>45368</v>
      </c>
      <c r="E216">
        <f t="shared" si="39"/>
        <v>6</v>
      </c>
      <c r="F216" s="4">
        <v>45374</v>
      </c>
      <c r="G216" t="s">
        <v>760</v>
      </c>
      <c r="H216" t="s">
        <v>116</v>
      </c>
      <c r="I216" t="str">
        <f t="shared" si="40"/>
        <v>Rahul Verma</v>
      </c>
      <c r="J216" t="s">
        <v>22</v>
      </c>
      <c r="K216" t="str">
        <f t="shared" si="41"/>
        <v>Consumer</v>
      </c>
      <c r="L216" t="s">
        <v>23</v>
      </c>
      <c r="M216" t="str">
        <f t="shared" si="37"/>
        <v>North</v>
      </c>
      <c r="N216" t="s">
        <v>235</v>
      </c>
      <c r="O216" t="str">
        <f t="shared" si="42"/>
        <v>Haryana</v>
      </c>
      <c r="P216" t="s">
        <v>236</v>
      </c>
      <c r="Q216" t="str">
        <f t="shared" si="43"/>
        <v>Gurugram</v>
      </c>
      <c r="R216" t="s">
        <v>72</v>
      </c>
      <c r="S216" t="str">
        <f t="shared" si="44"/>
        <v>Technology</v>
      </c>
      <c r="T216" t="s">
        <v>73</v>
      </c>
      <c r="U216" t="str">
        <f t="shared" si="45"/>
        <v>Accessories</v>
      </c>
      <c r="V216" t="s">
        <v>761</v>
      </c>
      <c r="X216" t="s">
        <v>48</v>
      </c>
      <c r="Y216" t="str">
        <f t="shared" si="46"/>
        <v>First Class</v>
      </c>
      <c r="Z216">
        <v>3</v>
      </c>
      <c r="AA216">
        <v>248.18</v>
      </c>
      <c r="AB216">
        <v>0.05</v>
      </c>
      <c r="AC216">
        <v>707.31</v>
      </c>
      <c r="AD216">
        <v>569</v>
      </c>
      <c r="AE216">
        <v>138.31</v>
      </c>
      <c r="AF216" t="s">
        <v>30</v>
      </c>
      <c r="AG216" t="str">
        <f t="shared" si="47"/>
        <v>Paid</v>
      </c>
      <c r="AH216" t="s">
        <v>31</v>
      </c>
    </row>
    <row r="217" spans="1:34">
      <c r="A217" t="s">
        <v>762</v>
      </c>
      <c r="B217">
        <f>COUNTIF($A:$A,A217)</f>
        <v>1</v>
      </c>
      <c r="C217" t="str">
        <f t="shared" si="38"/>
        <v>Unique</v>
      </c>
      <c r="D217" s="4">
        <v>45294</v>
      </c>
      <c r="E217">
        <f t="shared" si="39"/>
        <v>91</v>
      </c>
      <c r="F217" s="4">
        <v>45385</v>
      </c>
      <c r="G217" t="s">
        <v>763</v>
      </c>
      <c r="H217" t="s">
        <v>34</v>
      </c>
      <c r="I217" t="str">
        <f t="shared" si="40"/>
        <v>Mira Das</v>
      </c>
      <c r="J217" t="s">
        <v>22</v>
      </c>
      <c r="K217" t="str">
        <f t="shared" si="41"/>
        <v>Consumer</v>
      </c>
      <c r="L217" t="s">
        <v>61</v>
      </c>
      <c r="M217" t="str">
        <f t="shared" si="37"/>
        <v>West</v>
      </c>
      <c r="N217" t="s">
        <v>70</v>
      </c>
      <c r="O217" t="str">
        <f t="shared" si="42"/>
        <v>Madhya Pradesh</v>
      </c>
      <c r="P217" t="s">
        <v>71</v>
      </c>
      <c r="Q217" t="str">
        <f t="shared" si="43"/>
        <v>Indore</v>
      </c>
      <c r="R217" t="s">
        <v>26</v>
      </c>
      <c r="S217" t="str">
        <f t="shared" si="44"/>
        <v>Office Supplies</v>
      </c>
      <c r="T217" t="s">
        <v>27</v>
      </c>
      <c r="U217" t="str">
        <f t="shared" si="45"/>
        <v>Paper</v>
      </c>
      <c r="V217" t="s">
        <v>764</v>
      </c>
      <c r="X217" t="s">
        <v>48</v>
      </c>
      <c r="Y217" t="str">
        <f t="shared" si="46"/>
        <v>First Class</v>
      </c>
      <c r="Z217">
        <v>8</v>
      </c>
      <c r="AA217">
        <v>3202.4</v>
      </c>
      <c r="AB217">
        <v>0.25</v>
      </c>
      <c r="AC217">
        <v>19214.400000000001</v>
      </c>
      <c r="AD217">
        <v>10916.01</v>
      </c>
      <c r="AE217">
        <v>8298.39</v>
      </c>
      <c r="AF217" t="s">
        <v>30</v>
      </c>
      <c r="AG217" t="str">
        <f t="shared" si="47"/>
        <v>Paid</v>
      </c>
      <c r="AH217" t="s">
        <v>31</v>
      </c>
    </row>
    <row r="218" spans="1:34">
      <c r="A218" t="s">
        <v>765</v>
      </c>
      <c r="B218">
        <f>COUNTIF($A:$A,A218)</f>
        <v>1</v>
      </c>
      <c r="C218" t="str">
        <f t="shared" si="38"/>
        <v>Unique</v>
      </c>
      <c r="D218" s="4">
        <v>45757</v>
      </c>
      <c r="E218">
        <f t="shared" si="39"/>
        <v>5</v>
      </c>
      <c r="F218" s="4">
        <v>45762</v>
      </c>
      <c r="G218" t="s">
        <v>766</v>
      </c>
      <c r="H218" t="s">
        <v>45</v>
      </c>
      <c r="I218" t="str">
        <f t="shared" si="40"/>
        <v>Isha Nair</v>
      </c>
      <c r="J218" t="s">
        <v>22</v>
      </c>
      <c r="K218" t="str">
        <f t="shared" si="41"/>
        <v>Consumer</v>
      </c>
      <c r="L218" t="s">
        <v>61</v>
      </c>
      <c r="M218" t="str">
        <f t="shared" si="37"/>
        <v>West</v>
      </c>
      <c r="N218" t="s">
        <v>178</v>
      </c>
      <c r="O218" t="str">
        <f t="shared" si="42"/>
        <v>Gujarat</v>
      </c>
      <c r="P218" t="s">
        <v>179</v>
      </c>
      <c r="Q218" t="str">
        <f t="shared" si="43"/>
        <v>Ahmedabad</v>
      </c>
      <c r="R218" t="s">
        <v>39</v>
      </c>
      <c r="S218" t="str">
        <f t="shared" si="44"/>
        <v>Furniture</v>
      </c>
      <c r="T218" t="s">
        <v>40</v>
      </c>
      <c r="U218" t="str">
        <f t="shared" si="45"/>
        <v>Tables</v>
      </c>
      <c r="V218" t="s">
        <v>767</v>
      </c>
      <c r="X218" t="s">
        <v>57</v>
      </c>
      <c r="Y218" t="str">
        <f t="shared" si="46"/>
        <v>Standard Class</v>
      </c>
      <c r="Z218">
        <v>8</v>
      </c>
      <c r="AA218">
        <v>1839.87</v>
      </c>
      <c r="AB218">
        <v>0.25</v>
      </c>
      <c r="AC218">
        <v>11039.22</v>
      </c>
      <c r="AD218">
        <v>7642.91</v>
      </c>
      <c r="AE218">
        <v>3396.31</v>
      </c>
      <c r="AF218" t="s">
        <v>153</v>
      </c>
      <c r="AG218" t="str">
        <f t="shared" si="47"/>
        <v>Failed</v>
      </c>
      <c r="AH218" t="s">
        <v>101</v>
      </c>
    </row>
    <row r="219" spans="1:34">
      <c r="A219" t="s">
        <v>768</v>
      </c>
      <c r="B219">
        <f>COUNTIF($A:$A,A219)</f>
        <v>1</v>
      </c>
      <c r="C219" t="str">
        <f t="shared" si="38"/>
        <v>Unique</v>
      </c>
      <c r="D219" s="4">
        <v>45661</v>
      </c>
      <c r="E219">
        <f t="shared" si="39"/>
        <v>94</v>
      </c>
      <c r="F219" s="4">
        <v>45755</v>
      </c>
      <c r="G219" t="s">
        <v>769</v>
      </c>
      <c r="H219" t="s">
        <v>87</v>
      </c>
      <c r="I219" t="str">
        <f t="shared" si="40"/>
        <v>Aditi Sen</v>
      </c>
      <c r="J219" t="s">
        <v>22</v>
      </c>
      <c r="K219" t="str">
        <f t="shared" si="41"/>
        <v>Consumer</v>
      </c>
      <c r="L219" t="s">
        <v>36</v>
      </c>
      <c r="M219" t="str">
        <f t="shared" si="37"/>
        <v>East</v>
      </c>
      <c r="N219" t="s">
        <v>37</v>
      </c>
      <c r="O219" t="str">
        <f t="shared" si="42"/>
        <v>Odisha</v>
      </c>
      <c r="P219" t="s">
        <v>38</v>
      </c>
      <c r="Q219" t="str">
        <f t="shared" si="43"/>
        <v>Bhubaneswar</v>
      </c>
      <c r="R219" t="s">
        <v>39</v>
      </c>
      <c r="S219" t="str">
        <f t="shared" si="44"/>
        <v>Furniture</v>
      </c>
      <c r="T219" t="s">
        <v>156</v>
      </c>
      <c r="U219" t="str">
        <f t="shared" si="45"/>
        <v>Bookcases</v>
      </c>
      <c r="V219" t="s">
        <v>770</v>
      </c>
      <c r="X219" t="s">
        <v>29</v>
      </c>
      <c r="Y219" t="str">
        <f t="shared" si="46"/>
        <v>Second Class</v>
      </c>
      <c r="Z219">
        <v>5</v>
      </c>
      <c r="AA219">
        <v>1021.28</v>
      </c>
      <c r="AB219">
        <v>0.1</v>
      </c>
      <c r="AC219">
        <v>4595.76</v>
      </c>
      <c r="AD219">
        <v>3396.8</v>
      </c>
      <c r="AE219">
        <v>1198.96</v>
      </c>
      <c r="AF219" t="s">
        <v>100</v>
      </c>
      <c r="AG219" t="str">
        <f t="shared" si="47"/>
        <v>Refunded</v>
      </c>
      <c r="AH219" t="s">
        <v>66</v>
      </c>
    </row>
    <row r="220" spans="1:34">
      <c r="A220" t="s">
        <v>771</v>
      </c>
      <c r="B220">
        <f>COUNTIF($A:$A,A220)</f>
        <v>1</v>
      </c>
      <c r="C220" t="str">
        <f t="shared" si="38"/>
        <v>Unique</v>
      </c>
      <c r="D220" s="4">
        <v>45714</v>
      </c>
      <c r="E220">
        <f t="shared" si="39"/>
        <v>1</v>
      </c>
      <c r="F220" s="4">
        <v>45715</v>
      </c>
      <c r="G220" t="s">
        <v>772</v>
      </c>
      <c r="H220" t="s">
        <v>112</v>
      </c>
      <c r="I220" t="str">
        <f t="shared" si="40"/>
        <v>Priya Menon</v>
      </c>
      <c r="J220" t="s">
        <v>88</v>
      </c>
      <c r="K220" t="str">
        <f t="shared" si="41"/>
        <v>Corporate</v>
      </c>
      <c r="L220" t="s">
        <v>61</v>
      </c>
      <c r="M220" t="str">
        <f t="shared" si="37"/>
        <v>West</v>
      </c>
      <c r="N220" t="s">
        <v>178</v>
      </c>
      <c r="O220" t="str">
        <f t="shared" si="42"/>
        <v>Gujarat</v>
      </c>
      <c r="P220" t="s">
        <v>179</v>
      </c>
      <c r="Q220" t="str">
        <f t="shared" si="43"/>
        <v>Ahmedabad</v>
      </c>
      <c r="R220" t="s">
        <v>39</v>
      </c>
      <c r="S220" t="str">
        <f t="shared" si="44"/>
        <v>Furniture</v>
      </c>
      <c r="T220" t="s">
        <v>156</v>
      </c>
      <c r="U220" t="str">
        <f t="shared" si="45"/>
        <v>Bookcases</v>
      </c>
      <c r="V220" t="s">
        <v>773</v>
      </c>
      <c r="X220" t="s">
        <v>57</v>
      </c>
      <c r="Y220" t="str">
        <f t="shared" si="46"/>
        <v>Standard Class</v>
      </c>
      <c r="Z220">
        <v>5</v>
      </c>
      <c r="AA220">
        <v>258.27999999999997</v>
      </c>
      <c r="AB220">
        <v>0</v>
      </c>
      <c r="AC220">
        <v>1291.4000000000001</v>
      </c>
      <c r="AD220">
        <v>756.93</v>
      </c>
      <c r="AE220">
        <v>534.47</v>
      </c>
      <c r="AF220" t="s">
        <v>30</v>
      </c>
      <c r="AG220" t="str">
        <f t="shared" si="47"/>
        <v>Paid</v>
      </c>
      <c r="AH220" t="s">
        <v>31</v>
      </c>
    </row>
    <row r="221" spans="1:34">
      <c r="A221" t="s">
        <v>774</v>
      </c>
      <c r="B221">
        <f>COUNTIF($A:$A,A221)</f>
        <v>1</v>
      </c>
      <c r="C221" t="str">
        <f t="shared" si="38"/>
        <v>Unique</v>
      </c>
      <c r="D221" s="4">
        <v>45461</v>
      </c>
      <c r="E221">
        <f t="shared" si="39"/>
        <v>1</v>
      </c>
      <c r="F221" s="4">
        <v>45462</v>
      </c>
      <c r="G221" t="s">
        <v>775</v>
      </c>
      <c r="H221" t="s">
        <v>116</v>
      </c>
      <c r="I221" t="str">
        <f t="shared" si="40"/>
        <v>Rahul Verma</v>
      </c>
      <c r="J221" t="s">
        <v>22</v>
      </c>
      <c r="K221" t="str">
        <f t="shared" si="41"/>
        <v>Consumer</v>
      </c>
      <c r="L221" t="s">
        <v>36</v>
      </c>
      <c r="M221" t="str">
        <f t="shared" si="37"/>
        <v>East</v>
      </c>
      <c r="N221" t="s">
        <v>143</v>
      </c>
      <c r="O221" t="str">
        <f t="shared" si="42"/>
        <v>Bihar</v>
      </c>
      <c r="P221" t="s">
        <v>144</v>
      </c>
      <c r="Q221" t="str">
        <f t="shared" si="43"/>
        <v>Patna</v>
      </c>
      <c r="R221" t="s">
        <v>72</v>
      </c>
      <c r="S221" t="str">
        <f t="shared" si="44"/>
        <v>Technology</v>
      </c>
      <c r="T221" t="s">
        <v>273</v>
      </c>
      <c r="U221" t="str">
        <f t="shared" si="45"/>
        <v>Machines</v>
      </c>
      <c r="V221" t="s">
        <v>776</v>
      </c>
      <c r="X221" t="s">
        <v>48</v>
      </c>
      <c r="Y221" t="str">
        <f t="shared" si="46"/>
        <v>First Class</v>
      </c>
      <c r="Z221">
        <v>2</v>
      </c>
      <c r="AA221">
        <v>121.49</v>
      </c>
      <c r="AB221" t="s">
        <v>777</v>
      </c>
      <c r="AC221">
        <v>242.98</v>
      </c>
      <c r="AD221">
        <v>161.41999999999999</v>
      </c>
      <c r="AE221">
        <v>81.56</v>
      </c>
      <c r="AF221" t="s">
        <v>30</v>
      </c>
      <c r="AG221" t="str">
        <f t="shared" si="47"/>
        <v>Paid</v>
      </c>
      <c r="AH221" t="s">
        <v>31</v>
      </c>
    </row>
    <row r="222" spans="1:34">
      <c r="A222" t="s">
        <v>778</v>
      </c>
      <c r="B222">
        <f>COUNTIF($A:$A,A222)</f>
        <v>1</v>
      </c>
      <c r="C222" t="str">
        <f t="shared" si="38"/>
        <v>Unique</v>
      </c>
      <c r="D222" s="4">
        <v>45538</v>
      </c>
      <c r="E222">
        <f t="shared" si="39"/>
        <v>0</v>
      </c>
      <c r="F222" s="4">
        <v>45538</v>
      </c>
      <c r="G222" t="s">
        <v>779</v>
      </c>
      <c r="H222" t="s">
        <v>130</v>
      </c>
      <c r="I222" t="str">
        <f t="shared" si="40"/>
        <v>Sneha Kapoor</v>
      </c>
      <c r="J222" t="s">
        <v>22</v>
      </c>
      <c r="K222" t="str">
        <f t="shared" si="41"/>
        <v>Consumer</v>
      </c>
      <c r="L222" t="s">
        <v>52</v>
      </c>
      <c r="M222" t="str">
        <f t="shared" si="37"/>
        <v>South</v>
      </c>
      <c r="N222" t="s">
        <v>183</v>
      </c>
      <c r="O222" t="str">
        <f t="shared" si="42"/>
        <v>Kerala</v>
      </c>
      <c r="P222" t="s">
        <v>184</v>
      </c>
      <c r="Q222" t="str">
        <f t="shared" si="43"/>
        <v>Kochi</v>
      </c>
      <c r="R222" t="s">
        <v>26</v>
      </c>
      <c r="S222" t="str">
        <f t="shared" si="44"/>
        <v>Office Supplies</v>
      </c>
      <c r="T222" t="s">
        <v>122</v>
      </c>
      <c r="U222" t="str">
        <f t="shared" si="45"/>
        <v>Storage</v>
      </c>
      <c r="V222" t="s">
        <v>780</v>
      </c>
      <c r="X222" t="s">
        <v>48</v>
      </c>
      <c r="Y222" t="str">
        <f t="shared" si="46"/>
        <v>First Class</v>
      </c>
      <c r="Z222">
        <v>4</v>
      </c>
      <c r="AA222">
        <v>2810.17</v>
      </c>
      <c r="AB222">
        <v>0.15</v>
      </c>
      <c r="AC222">
        <v>9554.58</v>
      </c>
      <c r="AD222">
        <v>6068.47</v>
      </c>
      <c r="AE222">
        <v>3486.11</v>
      </c>
      <c r="AF222" t="s">
        <v>100</v>
      </c>
      <c r="AG222" t="str">
        <f t="shared" si="47"/>
        <v>Refunded</v>
      </c>
      <c r="AH222" t="s">
        <v>66</v>
      </c>
    </row>
    <row r="223" spans="1:34">
      <c r="A223" t="s">
        <v>781</v>
      </c>
      <c r="B223">
        <f>COUNTIF($A:$A,A223)</f>
        <v>1</v>
      </c>
      <c r="C223" t="str">
        <f t="shared" si="38"/>
        <v>Unique</v>
      </c>
      <c r="D223" s="4">
        <v>45992</v>
      </c>
      <c r="E223">
        <f t="shared" si="39"/>
        <v>-320</v>
      </c>
      <c r="F223" s="4">
        <v>45672</v>
      </c>
      <c r="G223" t="s">
        <v>782</v>
      </c>
      <c r="H223" t="s">
        <v>34</v>
      </c>
      <c r="I223" t="str">
        <f t="shared" si="40"/>
        <v>Mira Das</v>
      </c>
      <c r="J223" t="s">
        <v>88</v>
      </c>
      <c r="K223" t="str">
        <f t="shared" si="41"/>
        <v>Corporate</v>
      </c>
      <c r="L223" t="s">
        <v>52</v>
      </c>
      <c r="M223" t="str">
        <f t="shared" si="37"/>
        <v>South</v>
      </c>
      <c r="N223" t="s">
        <v>173</v>
      </c>
      <c r="O223" t="str">
        <f t="shared" si="42"/>
        <v>Karnataka</v>
      </c>
      <c r="P223" t="s">
        <v>174</v>
      </c>
      <c r="Q223" t="str">
        <f t="shared" si="43"/>
        <v>Bengaluru</v>
      </c>
      <c r="R223" t="s">
        <v>39</v>
      </c>
      <c r="S223" t="str">
        <f t="shared" si="44"/>
        <v>Furniture</v>
      </c>
      <c r="T223" t="s">
        <v>64</v>
      </c>
      <c r="U223" t="str">
        <f t="shared" si="45"/>
        <v>Chairs</v>
      </c>
      <c r="V223" t="s">
        <v>783</v>
      </c>
      <c r="X223" t="s">
        <v>42</v>
      </c>
      <c r="Y223" t="str">
        <f t="shared" si="46"/>
        <v>Same Day</v>
      </c>
      <c r="Z223">
        <v>4</v>
      </c>
      <c r="AA223">
        <v>1531.53</v>
      </c>
      <c r="AB223">
        <v>0.2</v>
      </c>
      <c r="AC223">
        <v>4900.8999999999996</v>
      </c>
      <c r="AD223">
        <v>3552.69</v>
      </c>
      <c r="AE223">
        <v>1348.21</v>
      </c>
      <c r="AF223" t="s">
        <v>30</v>
      </c>
      <c r="AG223" t="str">
        <f t="shared" si="47"/>
        <v>Paid</v>
      </c>
      <c r="AH223" t="s">
        <v>31</v>
      </c>
    </row>
    <row r="224" spans="1:34">
      <c r="A224" t="s">
        <v>784</v>
      </c>
      <c r="B224">
        <f>COUNTIF($A:$A,A224)</f>
        <v>1</v>
      </c>
      <c r="C224" t="str">
        <f t="shared" si="38"/>
        <v>Unique</v>
      </c>
      <c r="D224" s="4">
        <v>45776</v>
      </c>
      <c r="E224">
        <f t="shared" si="39"/>
        <v>-83</v>
      </c>
      <c r="F224" s="4">
        <v>45693</v>
      </c>
      <c r="G224" t="s">
        <v>785</v>
      </c>
      <c r="H224" t="s">
        <v>69</v>
      </c>
      <c r="I224" t="str">
        <f t="shared" si="40"/>
        <v>Vikram Iyer</v>
      </c>
      <c r="J224" t="s">
        <v>35</v>
      </c>
      <c r="K224" t="str">
        <f t="shared" si="41"/>
        <v>Small Business</v>
      </c>
      <c r="L224" t="s">
        <v>61</v>
      </c>
      <c r="M224" t="str">
        <f t="shared" si="37"/>
        <v>West</v>
      </c>
      <c r="N224" t="s">
        <v>188</v>
      </c>
      <c r="O224" t="str">
        <f t="shared" si="42"/>
        <v>Goa</v>
      </c>
      <c r="P224" t="s">
        <v>189</v>
      </c>
      <c r="Q224" t="str">
        <f t="shared" si="43"/>
        <v>Panaji</v>
      </c>
      <c r="R224" t="s">
        <v>26</v>
      </c>
      <c r="S224" t="str">
        <f t="shared" si="44"/>
        <v>Office Supplies</v>
      </c>
      <c r="T224" t="s">
        <v>122</v>
      </c>
      <c r="U224" t="str">
        <f t="shared" si="45"/>
        <v>Storage</v>
      </c>
      <c r="V224" t="s">
        <v>786</v>
      </c>
      <c r="X224" t="s">
        <v>48</v>
      </c>
      <c r="Y224" t="str">
        <f t="shared" si="46"/>
        <v>First Class</v>
      </c>
      <c r="Z224">
        <v>6</v>
      </c>
      <c r="AA224">
        <v>4308.09</v>
      </c>
      <c r="AB224">
        <v>0</v>
      </c>
      <c r="AC224">
        <v>25848.54</v>
      </c>
      <c r="AD224">
        <v>17729.09</v>
      </c>
      <c r="AE224">
        <v>8119.45</v>
      </c>
      <c r="AF224" t="s">
        <v>30</v>
      </c>
      <c r="AG224" t="str">
        <f t="shared" si="47"/>
        <v>Paid</v>
      </c>
      <c r="AH224" t="s">
        <v>31</v>
      </c>
    </row>
    <row r="225" spans="1:34">
      <c r="A225" t="s">
        <v>787</v>
      </c>
      <c r="B225">
        <f>COUNTIF($A:$A,A225)</f>
        <v>1</v>
      </c>
      <c r="C225" t="str">
        <f t="shared" si="38"/>
        <v>Unique</v>
      </c>
      <c r="D225" s="4">
        <v>45707</v>
      </c>
      <c r="E225">
        <f t="shared" si="39"/>
        <v>7</v>
      </c>
      <c r="F225" s="4">
        <v>45714</v>
      </c>
      <c r="G225" t="s">
        <v>788</v>
      </c>
      <c r="H225" t="s">
        <v>34</v>
      </c>
      <c r="I225" t="str">
        <f t="shared" si="40"/>
        <v>Mira Das</v>
      </c>
      <c r="J225" t="s">
        <v>88</v>
      </c>
      <c r="K225" t="str">
        <f t="shared" si="41"/>
        <v>Corporate</v>
      </c>
      <c r="L225" t="s">
        <v>61</v>
      </c>
      <c r="M225" t="str">
        <f t="shared" si="37"/>
        <v>West</v>
      </c>
      <c r="N225" t="s">
        <v>62</v>
      </c>
      <c r="O225" t="str">
        <f t="shared" si="42"/>
        <v>Maharashtra</v>
      </c>
      <c r="P225" t="s">
        <v>63</v>
      </c>
      <c r="Q225" t="str">
        <f t="shared" si="43"/>
        <v>Mumbai</v>
      </c>
      <c r="R225" t="s">
        <v>39</v>
      </c>
      <c r="S225" t="str">
        <f t="shared" si="44"/>
        <v>Furniture</v>
      </c>
      <c r="T225" t="s">
        <v>55</v>
      </c>
      <c r="U225" t="str">
        <f t="shared" si="45"/>
        <v>Furnishings</v>
      </c>
      <c r="V225" t="s">
        <v>789</v>
      </c>
      <c r="X225" t="s">
        <v>48</v>
      </c>
      <c r="Y225" t="str">
        <f t="shared" si="46"/>
        <v>First Class</v>
      </c>
      <c r="Z225">
        <v>3</v>
      </c>
      <c r="AA225">
        <v>490.3</v>
      </c>
      <c r="AB225">
        <v>0.2</v>
      </c>
      <c r="AC225">
        <v>1176.72</v>
      </c>
      <c r="AD225">
        <v>654.33000000000004</v>
      </c>
      <c r="AE225">
        <v>522.39</v>
      </c>
      <c r="AF225" t="s">
        <v>109</v>
      </c>
      <c r="AG225" t="str">
        <f t="shared" si="47"/>
        <v>Pending</v>
      </c>
      <c r="AH225" t="s">
        <v>101</v>
      </c>
    </row>
    <row r="226" spans="1:34">
      <c r="A226" t="s">
        <v>790</v>
      </c>
      <c r="B226">
        <f>COUNTIF($A:$A,A226)</f>
        <v>1</v>
      </c>
      <c r="C226" t="str">
        <f t="shared" si="38"/>
        <v>Unique</v>
      </c>
      <c r="D226" s="4">
        <v>45932</v>
      </c>
      <c r="E226">
        <f t="shared" si="39"/>
        <v>-53</v>
      </c>
      <c r="F226" s="4">
        <v>45879</v>
      </c>
      <c r="G226" t="s">
        <v>791</v>
      </c>
      <c r="H226" t="s">
        <v>45</v>
      </c>
      <c r="I226" t="str">
        <f t="shared" si="40"/>
        <v>Isha Nair</v>
      </c>
      <c r="J226" t="s">
        <v>35</v>
      </c>
      <c r="K226" t="str">
        <f t="shared" si="41"/>
        <v>Small Business</v>
      </c>
      <c r="L226" t="s">
        <v>23</v>
      </c>
      <c r="M226" t="str">
        <f t="shared" si="37"/>
        <v>North</v>
      </c>
      <c r="N226" t="s">
        <v>120</v>
      </c>
      <c r="O226" t="str">
        <f t="shared" si="42"/>
        <v>Punjab</v>
      </c>
      <c r="P226" t="s">
        <v>121</v>
      </c>
      <c r="Q226" t="str">
        <f t="shared" si="43"/>
        <v>Ludhiana</v>
      </c>
      <c r="R226" t="s">
        <v>39</v>
      </c>
      <c r="S226" t="str">
        <f t="shared" si="44"/>
        <v>Furniture</v>
      </c>
      <c r="T226" t="s">
        <v>55</v>
      </c>
      <c r="U226" t="str">
        <f t="shared" si="45"/>
        <v>Furnishings</v>
      </c>
      <c r="V226" t="s">
        <v>792</v>
      </c>
      <c r="X226" t="s">
        <v>57</v>
      </c>
      <c r="Y226" t="str">
        <f t="shared" si="46"/>
        <v>Standard Class</v>
      </c>
      <c r="Z226">
        <v>4</v>
      </c>
      <c r="AA226">
        <v>3944.64</v>
      </c>
      <c r="AB226">
        <v>0.25</v>
      </c>
      <c r="AC226">
        <v>11833.92</v>
      </c>
      <c r="AD226">
        <v>6682.92</v>
      </c>
      <c r="AE226">
        <v>5151</v>
      </c>
      <c r="AF226" t="s">
        <v>30</v>
      </c>
      <c r="AG226" t="str">
        <f t="shared" si="47"/>
        <v>Paid</v>
      </c>
      <c r="AH226" t="s">
        <v>66</v>
      </c>
    </row>
    <row r="227" spans="1:34">
      <c r="A227" t="s">
        <v>793</v>
      </c>
      <c r="B227">
        <f>COUNTIF($A:$A,A227)</f>
        <v>1</v>
      </c>
      <c r="C227" t="str">
        <f t="shared" si="38"/>
        <v>Unique</v>
      </c>
      <c r="D227" s="4">
        <v>45331</v>
      </c>
      <c r="E227">
        <f t="shared" si="39"/>
        <v>243</v>
      </c>
      <c r="F227" s="4">
        <v>45574</v>
      </c>
      <c r="G227" t="s">
        <v>794</v>
      </c>
      <c r="H227" t="s">
        <v>34</v>
      </c>
      <c r="I227" t="str">
        <f t="shared" si="40"/>
        <v>Mira Das</v>
      </c>
      <c r="J227" t="s">
        <v>88</v>
      </c>
      <c r="K227" t="str">
        <f t="shared" si="41"/>
        <v>Corporate</v>
      </c>
      <c r="L227" t="s">
        <v>61</v>
      </c>
      <c r="M227" t="str">
        <f t="shared" si="37"/>
        <v>West</v>
      </c>
      <c r="N227" t="s">
        <v>188</v>
      </c>
      <c r="O227" t="str">
        <f t="shared" si="42"/>
        <v>Goa</v>
      </c>
      <c r="P227" t="s">
        <v>189</v>
      </c>
      <c r="Q227" t="str">
        <f t="shared" si="43"/>
        <v>Panaji</v>
      </c>
      <c r="R227" t="s">
        <v>72</v>
      </c>
      <c r="S227" t="str">
        <f t="shared" si="44"/>
        <v>Technology</v>
      </c>
      <c r="T227" t="s">
        <v>169</v>
      </c>
      <c r="U227" t="str">
        <f t="shared" si="45"/>
        <v>Phones</v>
      </c>
      <c r="V227" t="s">
        <v>795</v>
      </c>
      <c r="X227" t="s">
        <v>57</v>
      </c>
      <c r="Y227" t="str">
        <f t="shared" si="46"/>
        <v>Standard Class</v>
      </c>
      <c r="Z227">
        <v>6</v>
      </c>
      <c r="AA227">
        <v>1032.47</v>
      </c>
      <c r="AB227">
        <v>0.15</v>
      </c>
      <c r="AC227">
        <v>5265.6</v>
      </c>
      <c r="AD227">
        <v>4293.1099999999997</v>
      </c>
      <c r="AE227">
        <v>787.57</v>
      </c>
      <c r="AF227" t="s">
        <v>30</v>
      </c>
      <c r="AG227" t="str">
        <f t="shared" si="47"/>
        <v>Paid</v>
      </c>
      <c r="AH227" t="s">
        <v>31</v>
      </c>
    </row>
    <row r="228" spans="1:34">
      <c r="A228" t="s">
        <v>796</v>
      </c>
      <c r="B228">
        <f>COUNTIF($A:$A,A228)</f>
        <v>1</v>
      </c>
      <c r="C228" t="str">
        <f t="shared" si="38"/>
        <v>Unique</v>
      </c>
      <c r="D228" s="4">
        <v>45934</v>
      </c>
      <c r="E228">
        <f t="shared" si="39"/>
        <v>-172</v>
      </c>
      <c r="F228" s="4">
        <v>45762</v>
      </c>
      <c r="G228" t="s">
        <v>797</v>
      </c>
      <c r="H228" t="s">
        <v>160</v>
      </c>
      <c r="I228" t="str">
        <f t="shared" si="40"/>
        <v>Diya Patel</v>
      </c>
      <c r="J228" t="s">
        <v>93</v>
      </c>
      <c r="K228" t="str">
        <f t="shared" si="41"/>
        <v>Home Office</v>
      </c>
      <c r="M228" t="s">
        <v>2828</v>
      </c>
      <c r="N228" t="s">
        <v>183</v>
      </c>
      <c r="O228" t="str">
        <f t="shared" si="42"/>
        <v>Kerala</v>
      </c>
      <c r="P228" t="s">
        <v>184</v>
      </c>
      <c r="Q228" t="str">
        <f t="shared" si="43"/>
        <v>Kochi</v>
      </c>
      <c r="R228" t="s">
        <v>72</v>
      </c>
      <c r="S228" t="str">
        <f t="shared" si="44"/>
        <v>Technology</v>
      </c>
      <c r="T228" t="s">
        <v>78</v>
      </c>
      <c r="U228" t="str">
        <f t="shared" si="45"/>
        <v>Copiers</v>
      </c>
      <c r="V228" t="s">
        <v>798</v>
      </c>
      <c r="X228" t="s">
        <v>42</v>
      </c>
      <c r="Y228" t="str">
        <f t="shared" si="46"/>
        <v>Same Day</v>
      </c>
      <c r="Z228">
        <v>1</v>
      </c>
      <c r="AA228">
        <v>2208.27</v>
      </c>
      <c r="AB228">
        <v>0.1</v>
      </c>
      <c r="AC228">
        <v>1987.44</v>
      </c>
      <c r="AD228">
        <v>1110.23</v>
      </c>
      <c r="AE228">
        <v>877.21</v>
      </c>
      <c r="AF228" t="s">
        <v>30</v>
      </c>
      <c r="AG228" t="str">
        <f t="shared" si="47"/>
        <v>Paid</v>
      </c>
      <c r="AH228" t="s">
        <v>31</v>
      </c>
    </row>
    <row r="229" spans="1:34">
      <c r="A229" t="s">
        <v>799</v>
      </c>
      <c r="B229">
        <f>COUNTIF($A:$A,A229)</f>
        <v>1</v>
      </c>
      <c r="C229" t="str">
        <f t="shared" si="38"/>
        <v>Unique</v>
      </c>
      <c r="D229" s="4">
        <v>45419</v>
      </c>
      <c r="E229">
        <f t="shared" si="39"/>
        <v>214</v>
      </c>
      <c r="F229" s="4">
        <v>45633</v>
      </c>
      <c r="G229" t="s">
        <v>800</v>
      </c>
      <c r="H229" t="s">
        <v>60</v>
      </c>
      <c r="I229" t="str">
        <f t="shared" si="40"/>
        <v>Ananya Rao</v>
      </c>
      <c r="J229" t="s">
        <v>801</v>
      </c>
      <c r="K229" t="str">
        <f t="shared" si="41"/>
        <v>Small Business</v>
      </c>
      <c r="L229" t="s">
        <v>61</v>
      </c>
      <c r="M229" t="str">
        <f t="shared" ref="M229:M244" si="48">PROPER(TRIM(L229))</f>
        <v>West</v>
      </c>
      <c r="N229" t="s">
        <v>188</v>
      </c>
      <c r="O229" t="str">
        <f t="shared" si="42"/>
        <v>Goa</v>
      </c>
      <c r="P229" t="s">
        <v>189</v>
      </c>
      <c r="Q229" t="str">
        <f t="shared" si="43"/>
        <v>Panaji</v>
      </c>
      <c r="R229" t="s">
        <v>26</v>
      </c>
      <c r="S229" t="str">
        <f t="shared" si="44"/>
        <v>Office Supplies</v>
      </c>
      <c r="T229" t="s">
        <v>151</v>
      </c>
      <c r="U229" t="str">
        <f t="shared" si="45"/>
        <v>Binders</v>
      </c>
      <c r="V229" t="s">
        <v>802</v>
      </c>
      <c r="X229" t="s">
        <v>48</v>
      </c>
      <c r="Y229" t="str">
        <f t="shared" si="46"/>
        <v>First Class</v>
      </c>
      <c r="Z229">
        <v>3</v>
      </c>
      <c r="AA229">
        <v>577.75</v>
      </c>
      <c r="AB229">
        <v>0.15</v>
      </c>
      <c r="AC229">
        <v>1473.26</v>
      </c>
      <c r="AD229">
        <v>899.86</v>
      </c>
      <c r="AE229">
        <v>573.4</v>
      </c>
      <c r="AF229" t="s">
        <v>30</v>
      </c>
      <c r="AG229" t="str">
        <f t="shared" si="47"/>
        <v>Paid</v>
      </c>
      <c r="AH229" t="s">
        <v>31</v>
      </c>
    </row>
    <row r="230" spans="1:34">
      <c r="A230" t="s">
        <v>803</v>
      </c>
      <c r="B230">
        <f>COUNTIF($A:$A,A230)</f>
        <v>1</v>
      </c>
      <c r="C230" t="str">
        <f t="shared" si="38"/>
        <v>Unique</v>
      </c>
      <c r="D230" s="4">
        <v>45406</v>
      </c>
      <c r="E230">
        <f t="shared" si="39"/>
        <v>4</v>
      </c>
      <c r="F230" s="4">
        <v>45410</v>
      </c>
      <c r="G230" t="s">
        <v>804</v>
      </c>
      <c r="H230" t="s">
        <v>21</v>
      </c>
      <c r="I230" t="str">
        <f t="shared" si="40"/>
        <v>Karan Malhotra</v>
      </c>
      <c r="J230" t="s">
        <v>35</v>
      </c>
      <c r="K230" t="str">
        <f t="shared" si="41"/>
        <v>Small Business</v>
      </c>
      <c r="L230" t="s">
        <v>52</v>
      </c>
      <c r="M230" t="str">
        <f t="shared" si="48"/>
        <v>South</v>
      </c>
      <c r="N230" t="s">
        <v>53</v>
      </c>
      <c r="O230" t="str">
        <f t="shared" si="42"/>
        <v>Telangana</v>
      </c>
      <c r="P230" t="s">
        <v>54</v>
      </c>
      <c r="Q230" t="str">
        <f t="shared" si="43"/>
        <v>Hyderabad</v>
      </c>
      <c r="R230" t="s">
        <v>26</v>
      </c>
      <c r="S230" t="str">
        <f t="shared" si="44"/>
        <v>Office Supplies</v>
      </c>
      <c r="T230" t="s">
        <v>89</v>
      </c>
      <c r="U230" t="str">
        <f t="shared" si="45"/>
        <v>Labels</v>
      </c>
      <c r="V230" t="s">
        <v>805</v>
      </c>
      <c r="X230" t="s">
        <v>29</v>
      </c>
      <c r="Y230" t="str">
        <f t="shared" si="46"/>
        <v>Second Class</v>
      </c>
      <c r="Z230">
        <v>1</v>
      </c>
      <c r="AA230">
        <v>3194.37</v>
      </c>
      <c r="AB230">
        <v>0.15</v>
      </c>
      <c r="AC230">
        <v>2715.21</v>
      </c>
      <c r="AD230">
        <v>1551.55</v>
      </c>
      <c r="AE230">
        <v>1163.6600000000001</v>
      </c>
      <c r="AF230" t="s">
        <v>30</v>
      </c>
      <c r="AG230" t="str">
        <f t="shared" si="47"/>
        <v>Paid</v>
      </c>
      <c r="AH230" t="s">
        <v>31</v>
      </c>
    </row>
    <row r="231" spans="1:34">
      <c r="A231" t="s">
        <v>806</v>
      </c>
      <c r="B231">
        <f>COUNTIF($A:$A,A231)</f>
        <v>1</v>
      </c>
      <c r="C231" t="str">
        <f t="shared" si="38"/>
        <v>Unique</v>
      </c>
      <c r="D231" s="4">
        <v>45836</v>
      </c>
      <c r="E231">
        <f t="shared" si="39"/>
        <v>6</v>
      </c>
      <c r="F231" s="4">
        <v>45842</v>
      </c>
      <c r="G231" t="s">
        <v>807</v>
      </c>
      <c r="H231" t="s">
        <v>139</v>
      </c>
      <c r="I231" t="str">
        <f t="shared" si="40"/>
        <v>Rohan Mehta</v>
      </c>
      <c r="J231" t="s">
        <v>22</v>
      </c>
      <c r="K231" t="str">
        <f t="shared" si="41"/>
        <v>Consumer</v>
      </c>
      <c r="L231" t="s">
        <v>52</v>
      </c>
      <c r="M231" t="str">
        <f t="shared" si="48"/>
        <v>South</v>
      </c>
      <c r="N231" t="s">
        <v>53</v>
      </c>
      <c r="O231" t="str">
        <f t="shared" si="42"/>
        <v>Telangana</v>
      </c>
      <c r="P231" t="s">
        <v>54</v>
      </c>
      <c r="Q231" t="str">
        <f t="shared" si="43"/>
        <v>Hyderabad</v>
      </c>
      <c r="R231" t="s">
        <v>39</v>
      </c>
      <c r="S231" t="str">
        <f t="shared" si="44"/>
        <v>Furniture</v>
      </c>
      <c r="T231" t="s">
        <v>156</v>
      </c>
      <c r="U231" t="str">
        <f t="shared" si="45"/>
        <v>Bookcases</v>
      </c>
      <c r="V231" t="s">
        <v>808</v>
      </c>
      <c r="X231" t="s">
        <v>48</v>
      </c>
      <c r="Y231" t="str">
        <f t="shared" si="46"/>
        <v>First Class</v>
      </c>
      <c r="Z231">
        <v>3</v>
      </c>
      <c r="AA231">
        <v>2886.23</v>
      </c>
      <c r="AB231">
        <v>0</v>
      </c>
      <c r="AC231">
        <v>8658.69</v>
      </c>
      <c r="AD231">
        <v>5535.94</v>
      </c>
      <c r="AE231">
        <v>3122.75</v>
      </c>
      <c r="AF231" t="s">
        <v>100</v>
      </c>
      <c r="AG231" t="str">
        <f t="shared" si="47"/>
        <v>Refunded</v>
      </c>
      <c r="AH231" t="s">
        <v>101</v>
      </c>
    </row>
    <row r="232" spans="1:34">
      <c r="A232" t="s">
        <v>809</v>
      </c>
      <c r="B232">
        <f>COUNTIF($A:$A,A232)</f>
        <v>1</v>
      </c>
      <c r="C232" t="str">
        <f t="shared" si="38"/>
        <v>Unique</v>
      </c>
      <c r="D232" s="4">
        <v>45440</v>
      </c>
      <c r="E232">
        <f t="shared" si="39"/>
        <v>-83</v>
      </c>
      <c r="F232" s="4">
        <v>45357</v>
      </c>
      <c r="G232" t="s">
        <v>810</v>
      </c>
      <c r="H232" t="s">
        <v>77</v>
      </c>
      <c r="I232" t="str">
        <f t="shared" si="40"/>
        <v>Neha Gupta</v>
      </c>
      <c r="J232" t="s">
        <v>35</v>
      </c>
      <c r="K232" t="str">
        <f t="shared" si="41"/>
        <v>Small Business</v>
      </c>
      <c r="L232" t="s">
        <v>23</v>
      </c>
      <c r="M232" t="str">
        <f t="shared" si="48"/>
        <v>North</v>
      </c>
      <c r="N232" t="s">
        <v>24</v>
      </c>
      <c r="O232" t="str">
        <f t="shared" si="42"/>
        <v>Rajasthan</v>
      </c>
      <c r="P232" t="s">
        <v>25</v>
      </c>
      <c r="Q232" t="str">
        <f t="shared" si="43"/>
        <v>Jaipur</v>
      </c>
      <c r="R232" t="s">
        <v>26</v>
      </c>
      <c r="S232" t="str">
        <f t="shared" si="44"/>
        <v>Office Supplies</v>
      </c>
      <c r="T232" t="s">
        <v>27</v>
      </c>
      <c r="U232" t="str">
        <f t="shared" si="45"/>
        <v>Paper</v>
      </c>
      <c r="V232" t="s">
        <v>811</v>
      </c>
      <c r="X232" t="s">
        <v>57</v>
      </c>
      <c r="Y232" t="str">
        <f t="shared" si="46"/>
        <v>Standard Class</v>
      </c>
      <c r="Z232">
        <v>8</v>
      </c>
      <c r="AA232">
        <v>1540.33</v>
      </c>
      <c r="AB232">
        <v>0.1</v>
      </c>
      <c r="AC232">
        <v>11090.38</v>
      </c>
      <c r="AD232">
        <v>8840.9500000000007</v>
      </c>
      <c r="AE232">
        <v>2249.4299999999998</v>
      </c>
      <c r="AF232" t="s">
        <v>30</v>
      </c>
      <c r="AG232" t="str">
        <f t="shared" si="47"/>
        <v>Paid</v>
      </c>
      <c r="AH232" t="s">
        <v>31</v>
      </c>
    </row>
    <row r="233" spans="1:34">
      <c r="A233" t="s">
        <v>812</v>
      </c>
      <c r="B233">
        <f>COUNTIF($A:$A,A233)</f>
        <v>1</v>
      </c>
      <c r="C233" t="str">
        <f t="shared" si="38"/>
        <v>Unique</v>
      </c>
      <c r="D233" s="4">
        <v>45327</v>
      </c>
      <c r="E233">
        <f t="shared" si="39"/>
        <v>87</v>
      </c>
      <c r="F233" s="4">
        <v>45414</v>
      </c>
      <c r="G233" t="s">
        <v>813</v>
      </c>
      <c r="H233" t="s">
        <v>60</v>
      </c>
      <c r="I233" t="str">
        <f t="shared" si="40"/>
        <v>Ananya Rao</v>
      </c>
      <c r="J233" t="s">
        <v>88</v>
      </c>
      <c r="K233" t="str">
        <f t="shared" si="41"/>
        <v>Corporate</v>
      </c>
      <c r="L233" t="s">
        <v>23</v>
      </c>
      <c r="M233" t="str">
        <f t="shared" si="48"/>
        <v>North</v>
      </c>
      <c r="N233" t="s">
        <v>24</v>
      </c>
      <c r="O233" t="str">
        <f t="shared" si="42"/>
        <v>Rajasthan</v>
      </c>
      <c r="P233" t="s">
        <v>25</v>
      </c>
      <c r="Q233" t="str">
        <f t="shared" si="43"/>
        <v>Jaipur</v>
      </c>
      <c r="R233" t="s">
        <v>814</v>
      </c>
      <c r="S233" t="str">
        <f t="shared" si="44"/>
        <v>Office Supplies</v>
      </c>
      <c r="T233" t="s">
        <v>89</v>
      </c>
      <c r="U233" t="str">
        <f t="shared" si="45"/>
        <v>Labels</v>
      </c>
      <c r="V233" t="s">
        <v>815</v>
      </c>
      <c r="X233" t="s">
        <v>48</v>
      </c>
      <c r="Y233" t="str">
        <f t="shared" si="46"/>
        <v>First Class</v>
      </c>
      <c r="Z233">
        <v>7</v>
      </c>
      <c r="AA233">
        <v>2183.38</v>
      </c>
      <c r="AB233">
        <v>0.25</v>
      </c>
      <c r="AC233">
        <v>11462.74</v>
      </c>
      <c r="AD233">
        <v>7163.54</v>
      </c>
      <c r="AE233">
        <v>4299.2</v>
      </c>
      <c r="AF233" t="s">
        <v>100</v>
      </c>
      <c r="AG233" t="str">
        <f t="shared" si="47"/>
        <v>Refunded</v>
      </c>
      <c r="AH233" t="s">
        <v>66</v>
      </c>
    </row>
    <row r="234" spans="1:34">
      <c r="A234" t="s">
        <v>816</v>
      </c>
      <c r="B234">
        <f>COUNTIF($A:$A,A234)</f>
        <v>1</v>
      </c>
      <c r="C234" t="str">
        <f t="shared" si="38"/>
        <v>Unique</v>
      </c>
      <c r="D234" s="4">
        <v>45753</v>
      </c>
      <c r="E234">
        <f t="shared" si="39"/>
        <v>183</v>
      </c>
      <c r="F234" s="4">
        <v>45936</v>
      </c>
      <c r="G234" t="s">
        <v>817</v>
      </c>
      <c r="H234" t="s">
        <v>116</v>
      </c>
      <c r="I234" t="str">
        <f t="shared" si="40"/>
        <v>Rahul Verma</v>
      </c>
      <c r="J234" t="s">
        <v>22</v>
      </c>
      <c r="K234" t="str">
        <f t="shared" si="41"/>
        <v>Consumer</v>
      </c>
      <c r="L234" t="s">
        <v>52</v>
      </c>
      <c r="M234" t="str">
        <f t="shared" si="48"/>
        <v>South</v>
      </c>
      <c r="N234" t="s">
        <v>82</v>
      </c>
      <c r="O234" t="str">
        <f t="shared" si="42"/>
        <v>Andhra Pradesh</v>
      </c>
      <c r="P234" t="s">
        <v>83</v>
      </c>
      <c r="Q234" t="str">
        <f t="shared" si="43"/>
        <v>Vijayawada</v>
      </c>
      <c r="R234" t="s">
        <v>72</v>
      </c>
      <c r="S234" t="str">
        <f t="shared" si="44"/>
        <v>Technology</v>
      </c>
      <c r="T234" t="s">
        <v>169</v>
      </c>
      <c r="U234" t="str">
        <f t="shared" si="45"/>
        <v>Phones</v>
      </c>
      <c r="V234" t="s">
        <v>818</v>
      </c>
      <c r="X234" t="s">
        <v>57</v>
      </c>
      <c r="Y234" t="str">
        <f t="shared" si="46"/>
        <v>Standard Class</v>
      </c>
      <c r="Z234">
        <v>4</v>
      </c>
      <c r="AA234">
        <v>223.37</v>
      </c>
      <c r="AB234">
        <v>0.25</v>
      </c>
      <c r="AC234">
        <v>670.11</v>
      </c>
      <c r="AD234">
        <v>559.57000000000005</v>
      </c>
      <c r="AE234">
        <v>110.54</v>
      </c>
      <c r="AF234" t="s">
        <v>30</v>
      </c>
      <c r="AG234" t="str">
        <f t="shared" si="47"/>
        <v>Paid</v>
      </c>
      <c r="AH234" t="s">
        <v>31</v>
      </c>
    </row>
    <row r="235" spans="1:34">
      <c r="A235" t="s">
        <v>819</v>
      </c>
      <c r="B235">
        <f>COUNTIF($A:$A,A235)</f>
        <v>1</v>
      </c>
      <c r="C235" t="str">
        <f t="shared" si="38"/>
        <v>Unique</v>
      </c>
      <c r="D235" s="4">
        <v>45579</v>
      </c>
      <c r="E235">
        <f t="shared" si="39"/>
        <v>0</v>
      </c>
      <c r="F235" s="4">
        <v>45579</v>
      </c>
      <c r="G235" t="s">
        <v>820</v>
      </c>
      <c r="H235" t="s">
        <v>69</v>
      </c>
      <c r="I235" t="str">
        <f t="shared" si="40"/>
        <v>Vikram Iyer</v>
      </c>
      <c r="J235" t="s">
        <v>88</v>
      </c>
      <c r="K235" t="str">
        <f t="shared" si="41"/>
        <v>Corporate</v>
      </c>
      <c r="L235" t="s">
        <v>52</v>
      </c>
      <c r="M235" t="str">
        <f t="shared" si="48"/>
        <v>South</v>
      </c>
      <c r="N235" t="s">
        <v>173</v>
      </c>
      <c r="O235" t="str">
        <f t="shared" si="42"/>
        <v>Karnataka</v>
      </c>
      <c r="P235" t="s">
        <v>174</v>
      </c>
      <c r="Q235" t="str">
        <f t="shared" si="43"/>
        <v>Bengaluru</v>
      </c>
      <c r="R235" t="s">
        <v>39</v>
      </c>
      <c r="S235" t="str">
        <f t="shared" si="44"/>
        <v>Furniture</v>
      </c>
      <c r="T235" t="s">
        <v>156</v>
      </c>
      <c r="U235" t="str">
        <f t="shared" si="45"/>
        <v>Bookcases</v>
      </c>
      <c r="V235" t="s">
        <v>821</v>
      </c>
      <c r="Y235" t="s">
        <v>2828</v>
      </c>
      <c r="Z235">
        <v>8</v>
      </c>
      <c r="AA235">
        <v>3904.59</v>
      </c>
      <c r="AB235">
        <v>0</v>
      </c>
      <c r="AC235">
        <v>31236.720000000001</v>
      </c>
      <c r="AD235">
        <v>26377.7</v>
      </c>
      <c r="AE235">
        <v>4859.0200000000004</v>
      </c>
      <c r="AF235" t="s">
        <v>30</v>
      </c>
      <c r="AG235" t="str">
        <f t="shared" si="47"/>
        <v>Paid</v>
      </c>
      <c r="AH235" t="s">
        <v>31</v>
      </c>
    </row>
    <row r="236" spans="1:34">
      <c r="A236" t="s">
        <v>822</v>
      </c>
      <c r="B236">
        <f>COUNTIF($A:$A,A236)</f>
        <v>1</v>
      </c>
      <c r="C236" t="str">
        <f t="shared" si="38"/>
        <v>Unique</v>
      </c>
      <c r="D236" s="4">
        <v>45537</v>
      </c>
      <c r="E236">
        <f t="shared" si="39"/>
        <v>-177</v>
      </c>
      <c r="F236" s="4">
        <v>45360</v>
      </c>
      <c r="G236" t="s">
        <v>823</v>
      </c>
      <c r="H236" t="s">
        <v>263</v>
      </c>
      <c r="I236" t="str">
        <f t="shared" si="40"/>
        <v>Kabir Singh</v>
      </c>
      <c r="J236" t="s">
        <v>93</v>
      </c>
      <c r="K236" t="str">
        <f t="shared" si="41"/>
        <v>Home Office</v>
      </c>
      <c r="L236" t="s">
        <v>23</v>
      </c>
      <c r="M236" t="str">
        <f t="shared" si="48"/>
        <v>North</v>
      </c>
      <c r="N236" t="s">
        <v>349</v>
      </c>
      <c r="O236" t="str">
        <f t="shared" si="42"/>
        <v>Delhi</v>
      </c>
      <c r="P236" t="s">
        <v>350</v>
      </c>
      <c r="Q236" t="str">
        <f t="shared" si="43"/>
        <v>New Delhi</v>
      </c>
      <c r="R236" t="s">
        <v>39</v>
      </c>
      <c r="S236" t="str">
        <f t="shared" si="44"/>
        <v>Furniture</v>
      </c>
      <c r="T236" t="s">
        <v>55</v>
      </c>
      <c r="U236" t="str">
        <f t="shared" si="45"/>
        <v>Furnishings</v>
      </c>
      <c r="V236" t="s">
        <v>824</v>
      </c>
      <c r="X236" t="s">
        <v>48</v>
      </c>
      <c r="Y236" t="str">
        <f t="shared" si="46"/>
        <v>First Class</v>
      </c>
      <c r="Z236">
        <v>9</v>
      </c>
      <c r="AA236">
        <v>1353.61</v>
      </c>
      <c r="AB236">
        <v>0.1</v>
      </c>
      <c r="AC236">
        <v>10964.24</v>
      </c>
      <c r="AD236">
        <v>9262.4699999999993</v>
      </c>
      <c r="AE236">
        <v>1701.77</v>
      </c>
      <c r="AF236" t="s">
        <v>30</v>
      </c>
      <c r="AG236" t="str">
        <f t="shared" si="47"/>
        <v>Paid</v>
      </c>
      <c r="AH236" t="s">
        <v>31</v>
      </c>
    </row>
    <row r="237" spans="1:34">
      <c r="A237" t="s">
        <v>825</v>
      </c>
      <c r="B237">
        <f>COUNTIF($A:$A,A237)</f>
        <v>1</v>
      </c>
      <c r="C237" t="str">
        <f t="shared" si="38"/>
        <v>Unique</v>
      </c>
      <c r="D237" s="4">
        <v>45598</v>
      </c>
      <c r="E237">
        <f t="shared" si="39"/>
        <v>1</v>
      </c>
      <c r="F237" s="4">
        <v>45599</v>
      </c>
      <c r="G237" t="s">
        <v>826</v>
      </c>
      <c r="H237" t="s">
        <v>116</v>
      </c>
      <c r="I237" t="str">
        <f t="shared" si="40"/>
        <v>Rahul Verma</v>
      </c>
      <c r="J237" t="s">
        <v>35</v>
      </c>
      <c r="K237" t="str">
        <f t="shared" si="41"/>
        <v>Small Business</v>
      </c>
      <c r="L237" t="s">
        <v>61</v>
      </c>
      <c r="M237" t="str">
        <f t="shared" si="48"/>
        <v>West</v>
      </c>
      <c r="N237" t="s">
        <v>24</v>
      </c>
      <c r="O237" t="str">
        <f t="shared" si="42"/>
        <v>Rajasthan</v>
      </c>
      <c r="P237" t="s">
        <v>107</v>
      </c>
      <c r="Q237" t="str">
        <f t="shared" si="43"/>
        <v>Udaipur</v>
      </c>
      <c r="R237" t="s">
        <v>26</v>
      </c>
      <c r="S237" t="str">
        <f t="shared" si="44"/>
        <v>Office Supplies</v>
      </c>
      <c r="T237" t="s">
        <v>122</v>
      </c>
      <c r="U237" t="str">
        <f t="shared" si="45"/>
        <v>Storage</v>
      </c>
      <c r="V237" t="s">
        <v>827</v>
      </c>
      <c r="X237" t="s">
        <v>57</v>
      </c>
      <c r="Y237" t="str">
        <f t="shared" si="46"/>
        <v>Standard Class</v>
      </c>
      <c r="Z237">
        <v>6</v>
      </c>
      <c r="AA237">
        <v>2671.29</v>
      </c>
      <c r="AB237">
        <v>0.05</v>
      </c>
      <c r="AC237">
        <v>15226.35</v>
      </c>
      <c r="AD237">
        <v>11145.28</v>
      </c>
      <c r="AE237">
        <v>4081.07</v>
      </c>
      <c r="AF237" t="s">
        <v>30</v>
      </c>
      <c r="AG237" t="str">
        <f t="shared" si="47"/>
        <v>Paid</v>
      </c>
      <c r="AH237" t="s">
        <v>31</v>
      </c>
    </row>
    <row r="238" spans="1:34">
      <c r="A238" t="s">
        <v>828</v>
      </c>
      <c r="B238">
        <f>COUNTIF($A:$A,A238)</f>
        <v>1</v>
      </c>
      <c r="C238" t="str">
        <f t="shared" si="38"/>
        <v>Unique</v>
      </c>
      <c r="D238" s="4">
        <v>45579</v>
      </c>
      <c r="E238">
        <f t="shared" si="39"/>
        <v>7</v>
      </c>
      <c r="F238" s="4">
        <v>45586</v>
      </c>
      <c r="G238" t="s">
        <v>829</v>
      </c>
      <c r="H238" t="s">
        <v>112</v>
      </c>
      <c r="I238" t="str">
        <f t="shared" si="40"/>
        <v>Priya Menon</v>
      </c>
      <c r="J238" t="s">
        <v>88</v>
      </c>
      <c r="K238" t="str">
        <f t="shared" si="41"/>
        <v>Corporate</v>
      </c>
      <c r="L238" t="s">
        <v>23</v>
      </c>
      <c r="M238" t="str">
        <f t="shared" si="48"/>
        <v>North</v>
      </c>
      <c r="N238" t="s">
        <v>134</v>
      </c>
      <c r="O238" t="str">
        <f t="shared" si="42"/>
        <v>Uttar Pradesh</v>
      </c>
      <c r="P238" t="s">
        <v>135</v>
      </c>
      <c r="Q238" t="str">
        <f t="shared" si="43"/>
        <v>Noida</v>
      </c>
      <c r="R238" t="s">
        <v>39</v>
      </c>
      <c r="S238" t="str">
        <f t="shared" si="44"/>
        <v>Furniture</v>
      </c>
      <c r="T238" t="s">
        <v>156</v>
      </c>
      <c r="U238" t="str">
        <f t="shared" si="45"/>
        <v>Bookcases</v>
      </c>
      <c r="V238" t="s">
        <v>830</v>
      </c>
      <c r="X238" t="s">
        <v>48</v>
      </c>
      <c r="Y238" t="str">
        <f t="shared" si="46"/>
        <v>First Class</v>
      </c>
      <c r="Z238">
        <v>6</v>
      </c>
      <c r="AA238">
        <v>4062.78</v>
      </c>
      <c r="AB238">
        <v>0</v>
      </c>
      <c r="AC238">
        <v>24376.68</v>
      </c>
      <c r="AD238">
        <v>18533.39</v>
      </c>
      <c r="AE238">
        <v>5843.29</v>
      </c>
      <c r="AF238" t="s">
        <v>30</v>
      </c>
      <c r="AG238" t="str">
        <f t="shared" si="47"/>
        <v>Paid</v>
      </c>
      <c r="AH238" t="s">
        <v>31</v>
      </c>
    </row>
    <row r="239" spans="1:34">
      <c r="A239" t="s">
        <v>831</v>
      </c>
      <c r="B239">
        <f>COUNTIF($A:$A,A239)</f>
        <v>1</v>
      </c>
      <c r="C239" t="str">
        <f t="shared" si="38"/>
        <v>Unique</v>
      </c>
      <c r="D239" s="4">
        <v>45531</v>
      </c>
      <c r="E239">
        <f t="shared" si="39"/>
        <v>0</v>
      </c>
      <c r="F239" s="4">
        <v>45531</v>
      </c>
      <c r="G239" t="s">
        <v>832</v>
      </c>
      <c r="H239" t="s">
        <v>34</v>
      </c>
      <c r="I239" t="str">
        <f t="shared" si="40"/>
        <v>Mira Das</v>
      </c>
      <c r="J239" t="s">
        <v>22</v>
      </c>
      <c r="K239" t="str">
        <f t="shared" si="41"/>
        <v>Consumer</v>
      </c>
      <c r="L239" t="s">
        <v>23</v>
      </c>
      <c r="M239" t="str">
        <f t="shared" si="48"/>
        <v>North</v>
      </c>
      <c r="N239" t="s">
        <v>235</v>
      </c>
      <c r="O239" t="str">
        <f t="shared" si="42"/>
        <v>Haryana</v>
      </c>
      <c r="P239" t="s">
        <v>236</v>
      </c>
      <c r="Q239" t="str">
        <f t="shared" si="43"/>
        <v>Gurugram</v>
      </c>
      <c r="R239" t="s">
        <v>72</v>
      </c>
      <c r="S239" t="str">
        <f t="shared" si="44"/>
        <v>Technology</v>
      </c>
      <c r="T239" t="s">
        <v>78</v>
      </c>
      <c r="U239" t="str">
        <f t="shared" si="45"/>
        <v>Copiers</v>
      </c>
      <c r="V239" t="s">
        <v>833</v>
      </c>
      <c r="X239" t="s">
        <v>57</v>
      </c>
      <c r="Y239" t="str">
        <f t="shared" si="46"/>
        <v>Standard Class</v>
      </c>
      <c r="Z239">
        <v>9</v>
      </c>
      <c r="AA239">
        <v>2330.3000000000002</v>
      </c>
      <c r="AB239">
        <v>0</v>
      </c>
      <c r="AC239">
        <v>20972.7</v>
      </c>
      <c r="AD239">
        <v>13504.88</v>
      </c>
      <c r="AE239">
        <v>7467.82</v>
      </c>
      <c r="AF239" t="s">
        <v>30</v>
      </c>
      <c r="AG239" t="str">
        <f t="shared" si="47"/>
        <v>Paid</v>
      </c>
      <c r="AH239" t="s">
        <v>31</v>
      </c>
    </row>
    <row r="240" spans="1:34">
      <c r="A240" t="s">
        <v>834</v>
      </c>
      <c r="B240">
        <f>COUNTIF($A:$A,A240)</f>
        <v>1</v>
      </c>
      <c r="C240" t="str">
        <f t="shared" si="38"/>
        <v>Unique</v>
      </c>
      <c r="D240" s="4">
        <v>45303</v>
      </c>
      <c r="E240">
        <f t="shared" si="39"/>
        <v>5</v>
      </c>
      <c r="F240" s="4">
        <v>45308</v>
      </c>
      <c r="G240" t="s">
        <v>835</v>
      </c>
      <c r="H240" t="s">
        <v>51</v>
      </c>
      <c r="I240" t="str">
        <f t="shared" si="40"/>
        <v>Arjun Bose</v>
      </c>
      <c r="J240" t="s">
        <v>22</v>
      </c>
      <c r="K240" t="str">
        <f t="shared" si="41"/>
        <v>Consumer</v>
      </c>
      <c r="L240" t="s">
        <v>52</v>
      </c>
      <c r="M240" t="str">
        <f t="shared" si="48"/>
        <v>South</v>
      </c>
      <c r="N240" t="s">
        <v>82</v>
      </c>
      <c r="O240" t="str">
        <f t="shared" si="42"/>
        <v>Andhra Pradesh</v>
      </c>
      <c r="P240" t="s">
        <v>83</v>
      </c>
      <c r="Q240" t="str">
        <f t="shared" si="43"/>
        <v>Vijayawada</v>
      </c>
      <c r="R240" t="s">
        <v>26</v>
      </c>
      <c r="S240" t="str">
        <f t="shared" si="44"/>
        <v>Office Supplies</v>
      </c>
      <c r="T240" t="s">
        <v>122</v>
      </c>
      <c r="U240" t="str">
        <f t="shared" si="45"/>
        <v>Storage</v>
      </c>
      <c r="V240" t="s">
        <v>836</v>
      </c>
      <c r="X240" t="s">
        <v>48</v>
      </c>
      <c r="Y240" t="str">
        <f t="shared" si="46"/>
        <v>First Class</v>
      </c>
      <c r="Z240">
        <v>7</v>
      </c>
      <c r="AA240">
        <v>4005.05</v>
      </c>
      <c r="AB240">
        <v>0.55000000000000004</v>
      </c>
      <c r="AC240">
        <v>26633.58</v>
      </c>
      <c r="AD240">
        <v>18838.75</v>
      </c>
      <c r="AE240">
        <v>7794.83</v>
      </c>
      <c r="AF240" t="s">
        <v>30</v>
      </c>
      <c r="AG240" t="str">
        <f t="shared" si="47"/>
        <v>Paid</v>
      </c>
      <c r="AH240" t="s">
        <v>31</v>
      </c>
    </row>
    <row r="241" spans="1:34">
      <c r="A241" t="s">
        <v>837</v>
      </c>
      <c r="B241">
        <f>COUNTIF($A:$A,A241)</f>
        <v>1</v>
      </c>
      <c r="C241" t="str">
        <f t="shared" si="38"/>
        <v>Unique</v>
      </c>
      <c r="D241" s="4">
        <v>45556</v>
      </c>
      <c r="E241">
        <f t="shared" si="39"/>
        <v>0</v>
      </c>
      <c r="F241" s="4">
        <v>45556</v>
      </c>
      <c r="G241" t="s">
        <v>838</v>
      </c>
      <c r="H241" t="s">
        <v>263</v>
      </c>
      <c r="I241" t="str">
        <f t="shared" si="40"/>
        <v>Kabir Singh</v>
      </c>
      <c r="J241" t="s">
        <v>88</v>
      </c>
      <c r="K241" t="str">
        <f t="shared" si="41"/>
        <v>Corporate</v>
      </c>
      <c r="L241" t="s">
        <v>52</v>
      </c>
      <c r="M241" t="str">
        <f t="shared" si="48"/>
        <v>South</v>
      </c>
      <c r="N241" t="s">
        <v>173</v>
      </c>
      <c r="O241" t="str">
        <f t="shared" si="42"/>
        <v>Karnataka</v>
      </c>
      <c r="P241" t="s">
        <v>174</v>
      </c>
      <c r="Q241" t="str">
        <f t="shared" si="43"/>
        <v>Bengaluru</v>
      </c>
      <c r="R241" t="s">
        <v>72</v>
      </c>
      <c r="S241" t="str">
        <f t="shared" si="44"/>
        <v>Technology</v>
      </c>
      <c r="T241" t="s">
        <v>273</v>
      </c>
      <c r="U241" t="str">
        <f t="shared" si="45"/>
        <v>Machines</v>
      </c>
      <c r="V241" t="s">
        <v>839</v>
      </c>
      <c r="X241" t="s">
        <v>48</v>
      </c>
      <c r="Y241" t="str">
        <f t="shared" si="46"/>
        <v>First Class</v>
      </c>
      <c r="Z241">
        <v>2</v>
      </c>
      <c r="AA241">
        <v>1960.06</v>
      </c>
      <c r="AB241">
        <v>0.2</v>
      </c>
      <c r="AC241">
        <v>3136.1</v>
      </c>
      <c r="AD241">
        <v>2279.4899999999998</v>
      </c>
      <c r="AE241">
        <v>856.61</v>
      </c>
      <c r="AF241" t="s">
        <v>30</v>
      </c>
      <c r="AG241" t="str">
        <f t="shared" si="47"/>
        <v>Paid</v>
      </c>
      <c r="AH241" t="s">
        <v>31</v>
      </c>
    </row>
    <row r="242" spans="1:34">
      <c r="A242" t="s">
        <v>840</v>
      </c>
      <c r="B242">
        <f>COUNTIF($A:$A,A242)</f>
        <v>1</v>
      </c>
      <c r="C242" t="str">
        <f t="shared" si="38"/>
        <v>Unique</v>
      </c>
      <c r="D242" s="4">
        <v>45643</v>
      </c>
      <c r="E242">
        <f t="shared" si="39"/>
        <v>6</v>
      </c>
      <c r="F242" s="4">
        <v>45649</v>
      </c>
      <c r="G242" t="s">
        <v>841</v>
      </c>
      <c r="H242" t="s">
        <v>126</v>
      </c>
      <c r="I242" t="str">
        <f t="shared" si="40"/>
        <v>Aarav Sharma</v>
      </c>
      <c r="J242" t="s">
        <v>88</v>
      </c>
      <c r="K242" t="str">
        <f t="shared" si="41"/>
        <v>Corporate</v>
      </c>
      <c r="L242" t="s">
        <v>52</v>
      </c>
      <c r="M242" t="str">
        <f t="shared" si="48"/>
        <v>South</v>
      </c>
      <c r="N242" t="s">
        <v>53</v>
      </c>
      <c r="O242" t="str">
        <f t="shared" si="42"/>
        <v>Telangana</v>
      </c>
      <c r="P242" t="s">
        <v>54</v>
      </c>
      <c r="Q242" t="str">
        <f t="shared" si="43"/>
        <v>Hyderabad</v>
      </c>
      <c r="R242" t="s">
        <v>26</v>
      </c>
      <c r="S242" t="str">
        <f t="shared" si="44"/>
        <v>Office Supplies</v>
      </c>
      <c r="T242" t="s">
        <v>151</v>
      </c>
      <c r="U242" t="str">
        <f t="shared" si="45"/>
        <v>Binders</v>
      </c>
      <c r="V242" t="s">
        <v>842</v>
      </c>
      <c r="X242" t="s">
        <v>48</v>
      </c>
      <c r="Y242" t="str">
        <f t="shared" si="46"/>
        <v>First Class</v>
      </c>
      <c r="Z242">
        <v>9</v>
      </c>
      <c r="AA242">
        <v>2315.1</v>
      </c>
      <c r="AB242">
        <v>0</v>
      </c>
      <c r="AC242">
        <v>20835.900000000001</v>
      </c>
      <c r="AD242">
        <v>13928.19</v>
      </c>
      <c r="AE242">
        <v>6907.71</v>
      </c>
      <c r="AF242" t="s">
        <v>30</v>
      </c>
      <c r="AG242" t="str">
        <f t="shared" si="47"/>
        <v>Paid</v>
      </c>
      <c r="AH242" t="s">
        <v>31</v>
      </c>
    </row>
    <row r="243" spans="1:34">
      <c r="A243" t="s">
        <v>843</v>
      </c>
      <c r="B243">
        <f>COUNTIF($A:$A,A243)</f>
        <v>1</v>
      </c>
      <c r="C243" t="str">
        <f t="shared" si="38"/>
        <v>Unique</v>
      </c>
      <c r="D243" s="4">
        <v>45844</v>
      </c>
      <c r="E243">
        <f t="shared" si="39"/>
        <v>-29</v>
      </c>
      <c r="F243" s="4">
        <v>45815</v>
      </c>
      <c r="G243" t="s">
        <v>844</v>
      </c>
      <c r="H243" t="s">
        <v>130</v>
      </c>
      <c r="I243" t="str">
        <f t="shared" si="40"/>
        <v>Sneha Kapoor</v>
      </c>
      <c r="J243" t="s">
        <v>88</v>
      </c>
      <c r="K243" t="str">
        <f t="shared" si="41"/>
        <v>Corporate</v>
      </c>
      <c r="L243" t="s">
        <v>23</v>
      </c>
      <c r="M243" t="str">
        <f t="shared" si="48"/>
        <v>North</v>
      </c>
      <c r="N243" t="s">
        <v>235</v>
      </c>
      <c r="O243" t="str">
        <f t="shared" si="42"/>
        <v>Haryana</v>
      </c>
      <c r="P243" t="s">
        <v>236</v>
      </c>
      <c r="Q243" t="str">
        <f t="shared" si="43"/>
        <v>Gurugram</v>
      </c>
      <c r="R243" t="s">
        <v>26</v>
      </c>
      <c r="S243" t="str">
        <f t="shared" si="44"/>
        <v>Office Supplies</v>
      </c>
      <c r="T243" t="s">
        <v>122</v>
      </c>
      <c r="U243" t="str">
        <f t="shared" si="45"/>
        <v>Storage</v>
      </c>
      <c r="V243" t="s">
        <v>845</v>
      </c>
      <c r="X243" t="s">
        <v>57</v>
      </c>
      <c r="Y243" t="str">
        <f t="shared" si="46"/>
        <v>Standard Class</v>
      </c>
      <c r="Z243">
        <v>1</v>
      </c>
      <c r="AA243">
        <v>1617.2</v>
      </c>
      <c r="AB243">
        <v>0.25</v>
      </c>
      <c r="AC243">
        <v>1212.9000000000001</v>
      </c>
      <c r="AD243">
        <v>690.52</v>
      </c>
      <c r="AE243">
        <v>522.38</v>
      </c>
      <c r="AF243" t="s">
        <v>109</v>
      </c>
      <c r="AG243" t="str">
        <f t="shared" si="47"/>
        <v>Pending</v>
      </c>
      <c r="AH243" t="s">
        <v>101</v>
      </c>
    </row>
    <row r="244" spans="1:34">
      <c r="A244" t="s">
        <v>846</v>
      </c>
      <c r="B244">
        <f>COUNTIF($A:$A,A244)</f>
        <v>1</v>
      </c>
      <c r="C244" t="str">
        <f t="shared" si="38"/>
        <v>Unique</v>
      </c>
      <c r="D244" s="4">
        <v>45840</v>
      </c>
      <c r="E244">
        <f t="shared" si="39"/>
        <v>0</v>
      </c>
      <c r="F244" s="4">
        <v>45840</v>
      </c>
      <c r="G244" t="s">
        <v>847</v>
      </c>
      <c r="H244" t="s">
        <v>51</v>
      </c>
      <c r="I244" t="str">
        <f t="shared" si="40"/>
        <v>Arjun Bose</v>
      </c>
      <c r="J244" t="s">
        <v>22</v>
      </c>
      <c r="K244" t="str">
        <f t="shared" si="41"/>
        <v>Consumer</v>
      </c>
      <c r="L244" t="s">
        <v>23</v>
      </c>
      <c r="M244" t="str">
        <f t="shared" si="48"/>
        <v>North</v>
      </c>
      <c r="N244" t="s">
        <v>134</v>
      </c>
      <c r="O244" t="str">
        <f t="shared" si="42"/>
        <v>Uttar Pradesh</v>
      </c>
      <c r="P244" t="s">
        <v>135</v>
      </c>
      <c r="Q244" t="str">
        <f t="shared" si="43"/>
        <v>Noida</v>
      </c>
      <c r="R244" t="s">
        <v>26</v>
      </c>
      <c r="S244" t="str">
        <f t="shared" si="44"/>
        <v>Office Supplies</v>
      </c>
      <c r="T244" t="s">
        <v>46</v>
      </c>
      <c r="U244" t="str">
        <f t="shared" si="45"/>
        <v>Art</v>
      </c>
      <c r="V244" t="s">
        <v>848</v>
      </c>
      <c r="X244" t="s">
        <v>29</v>
      </c>
      <c r="Y244" t="str">
        <f t="shared" si="46"/>
        <v>Second Class</v>
      </c>
      <c r="Z244">
        <v>3</v>
      </c>
      <c r="AA244">
        <v>1999.24</v>
      </c>
      <c r="AB244">
        <v>0.05</v>
      </c>
      <c r="AC244">
        <v>5697.83</v>
      </c>
      <c r="AD244">
        <v>4251.5</v>
      </c>
      <c r="AE244">
        <v>1446.33</v>
      </c>
      <c r="AF244" t="s">
        <v>30</v>
      </c>
      <c r="AG244" t="str">
        <f t="shared" si="47"/>
        <v>Paid</v>
      </c>
      <c r="AH244" t="s">
        <v>31</v>
      </c>
    </row>
    <row r="245" spans="1:34">
      <c r="A245" t="s">
        <v>849</v>
      </c>
      <c r="B245">
        <f>COUNTIF($A:$A,A245)</f>
        <v>1</v>
      </c>
      <c r="C245" t="str">
        <f t="shared" si="38"/>
        <v>Unique</v>
      </c>
      <c r="D245" s="4">
        <v>45867</v>
      </c>
      <c r="E245">
        <f t="shared" si="39"/>
        <v>-171</v>
      </c>
      <c r="F245" s="4">
        <v>45696</v>
      </c>
      <c r="G245" t="s">
        <v>850</v>
      </c>
      <c r="H245" t="s">
        <v>130</v>
      </c>
      <c r="I245" t="str">
        <f t="shared" si="40"/>
        <v>Sneha Kapoor</v>
      </c>
      <c r="J245" t="s">
        <v>35</v>
      </c>
      <c r="K245" t="str">
        <f t="shared" si="41"/>
        <v>Small Business</v>
      </c>
      <c r="M245" t="s">
        <v>2828</v>
      </c>
      <c r="N245" t="s">
        <v>70</v>
      </c>
      <c r="O245" t="str">
        <f t="shared" si="42"/>
        <v>Madhya Pradesh</v>
      </c>
      <c r="P245" t="s">
        <v>71</v>
      </c>
      <c r="Q245" t="str">
        <f t="shared" si="43"/>
        <v>Indore</v>
      </c>
      <c r="R245" t="s">
        <v>72</v>
      </c>
      <c r="S245" t="str">
        <f t="shared" si="44"/>
        <v>Technology</v>
      </c>
      <c r="T245" t="s">
        <v>73</v>
      </c>
      <c r="U245" t="str">
        <f t="shared" si="45"/>
        <v>Accessories</v>
      </c>
      <c r="V245" t="s">
        <v>851</v>
      </c>
      <c r="X245" t="s">
        <v>48</v>
      </c>
      <c r="Y245" t="str">
        <f t="shared" si="46"/>
        <v>First Class</v>
      </c>
      <c r="Z245">
        <v>1</v>
      </c>
      <c r="AA245">
        <v>4499.46</v>
      </c>
      <c r="AB245">
        <v>0.1</v>
      </c>
      <c r="AC245">
        <v>4049.51</v>
      </c>
      <c r="AD245">
        <v>2509.1999999999998</v>
      </c>
      <c r="AE245">
        <v>1540.31</v>
      </c>
      <c r="AF245" t="s">
        <v>30</v>
      </c>
      <c r="AG245" t="str">
        <f t="shared" si="47"/>
        <v>Paid</v>
      </c>
      <c r="AH245" t="s">
        <v>685</v>
      </c>
    </row>
    <row r="246" spans="1:34">
      <c r="A246" t="s">
        <v>852</v>
      </c>
      <c r="B246">
        <f>COUNTIF($A:$A,A246)</f>
        <v>1</v>
      </c>
      <c r="C246" t="str">
        <f t="shared" si="38"/>
        <v>Unique</v>
      </c>
      <c r="D246" s="4">
        <v>45527</v>
      </c>
      <c r="E246">
        <f t="shared" si="39"/>
        <v>1</v>
      </c>
      <c r="F246" s="4">
        <v>45528</v>
      </c>
      <c r="G246" t="s">
        <v>853</v>
      </c>
      <c r="H246" t="s">
        <v>77</v>
      </c>
      <c r="I246" t="str">
        <f t="shared" si="40"/>
        <v>Neha Gupta</v>
      </c>
      <c r="J246" t="s">
        <v>22</v>
      </c>
      <c r="K246" t="str">
        <f t="shared" si="41"/>
        <v>Consumer</v>
      </c>
      <c r="L246" t="s">
        <v>52</v>
      </c>
      <c r="M246" t="str">
        <f t="shared" ref="M246:M277" si="49">PROPER(TRIM(L246))</f>
        <v>South</v>
      </c>
      <c r="N246" t="s">
        <v>53</v>
      </c>
      <c r="O246" t="str">
        <f t="shared" si="42"/>
        <v>Telangana</v>
      </c>
      <c r="P246" t="s">
        <v>54</v>
      </c>
      <c r="Q246" t="str">
        <f t="shared" si="43"/>
        <v>Hyderabad</v>
      </c>
      <c r="R246" t="s">
        <v>39</v>
      </c>
      <c r="S246" t="str">
        <f t="shared" si="44"/>
        <v>Furniture</v>
      </c>
      <c r="T246" t="s">
        <v>156</v>
      </c>
      <c r="U246" t="str">
        <f t="shared" si="45"/>
        <v>Bookcases</v>
      </c>
      <c r="V246" t="s">
        <v>854</v>
      </c>
      <c r="X246" t="s">
        <v>42</v>
      </c>
      <c r="Y246" t="str">
        <f t="shared" si="46"/>
        <v>Same Day</v>
      </c>
      <c r="Z246">
        <v>6</v>
      </c>
      <c r="AA246">
        <v>1021.89</v>
      </c>
      <c r="AB246">
        <v>0</v>
      </c>
      <c r="AC246">
        <v>6131.34</v>
      </c>
      <c r="AD246">
        <v>4060.88</v>
      </c>
      <c r="AE246">
        <v>2070.46</v>
      </c>
      <c r="AF246" t="s">
        <v>30</v>
      </c>
      <c r="AG246" t="str">
        <f t="shared" si="47"/>
        <v>Paid</v>
      </c>
      <c r="AH246" t="s">
        <v>31</v>
      </c>
    </row>
    <row r="247" spans="1:34">
      <c r="A247" t="s">
        <v>855</v>
      </c>
      <c r="B247">
        <f>COUNTIF($A:$A,A247)</f>
        <v>1</v>
      </c>
      <c r="C247" t="str">
        <f t="shared" si="38"/>
        <v>Unique</v>
      </c>
      <c r="D247" s="4">
        <v>45583</v>
      </c>
      <c r="E247">
        <f t="shared" si="39"/>
        <v>6</v>
      </c>
      <c r="F247" s="4">
        <v>45589</v>
      </c>
      <c r="G247" t="s">
        <v>856</v>
      </c>
      <c r="H247" t="s">
        <v>77</v>
      </c>
      <c r="I247" t="str">
        <f t="shared" si="40"/>
        <v>Neha Gupta</v>
      </c>
      <c r="J247" t="s">
        <v>93</v>
      </c>
      <c r="K247" t="str">
        <f t="shared" si="41"/>
        <v>Home Office</v>
      </c>
      <c r="L247" t="s">
        <v>52</v>
      </c>
      <c r="M247" t="str">
        <f t="shared" si="49"/>
        <v>South</v>
      </c>
      <c r="N247" t="s">
        <v>183</v>
      </c>
      <c r="O247" t="str">
        <f t="shared" si="42"/>
        <v>Kerala</v>
      </c>
      <c r="P247" t="s">
        <v>184</v>
      </c>
      <c r="Q247" t="str">
        <f t="shared" si="43"/>
        <v>Kochi</v>
      </c>
      <c r="R247" t="s">
        <v>857</v>
      </c>
      <c r="S247" t="str">
        <f t="shared" si="44"/>
        <v>Furniture</v>
      </c>
      <c r="T247" t="s">
        <v>64</v>
      </c>
      <c r="U247" t="str">
        <f t="shared" si="45"/>
        <v>Chairs</v>
      </c>
      <c r="V247" t="s">
        <v>858</v>
      </c>
      <c r="X247" t="s">
        <v>29</v>
      </c>
      <c r="Y247" t="str">
        <f t="shared" si="46"/>
        <v>Second Class</v>
      </c>
      <c r="Z247">
        <v>3</v>
      </c>
      <c r="AA247">
        <v>3275.93</v>
      </c>
      <c r="AB247">
        <v>0</v>
      </c>
      <c r="AC247">
        <v>9827.7900000000009</v>
      </c>
      <c r="AD247">
        <v>5478.28</v>
      </c>
      <c r="AE247">
        <v>4349.51</v>
      </c>
      <c r="AF247" t="s">
        <v>30</v>
      </c>
      <c r="AG247" t="str">
        <f t="shared" si="47"/>
        <v>Paid</v>
      </c>
      <c r="AH247" t="s">
        <v>31</v>
      </c>
    </row>
    <row r="248" spans="1:34">
      <c r="A248" t="s">
        <v>859</v>
      </c>
      <c r="B248">
        <f>COUNTIF($A:$A,A248)</f>
        <v>1</v>
      </c>
      <c r="C248" t="str">
        <f t="shared" si="38"/>
        <v>Unique</v>
      </c>
      <c r="D248" s="4">
        <v>45387</v>
      </c>
      <c r="E248">
        <f t="shared" si="39"/>
        <v>153</v>
      </c>
      <c r="F248" s="4">
        <v>45540</v>
      </c>
      <c r="G248" t="s">
        <v>860</v>
      </c>
      <c r="H248" t="s">
        <v>60</v>
      </c>
      <c r="I248" t="str">
        <f t="shared" si="40"/>
        <v>Ananya Rao</v>
      </c>
      <c r="J248" t="s">
        <v>88</v>
      </c>
      <c r="K248" t="str">
        <f t="shared" si="41"/>
        <v>Corporate</v>
      </c>
      <c r="L248" t="s">
        <v>23</v>
      </c>
      <c r="M248" t="str">
        <f t="shared" si="49"/>
        <v>North</v>
      </c>
      <c r="N248" t="s">
        <v>120</v>
      </c>
      <c r="O248" t="str">
        <f t="shared" si="42"/>
        <v>Punjab</v>
      </c>
      <c r="P248" t="s">
        <v>121</v>
      </c>
      <c r="Q248" t="str">
        <f t="shared" si="43"/>
        <v>Ludhiana</v>
      </c>
      <c r="R248" t="s">
        <v>72</v>
      </c>
      <c r="S248" t="str">
        <f t="shared" si="44"/>
        <v>Technology</v>
      </c>
      <c r="T248" t="s">
        <v>273</v>
      </c>
      <c r="U248" t="str">
        <f t="shared" si="45"/>
        <v>Machines</v>
      </c>
      <c r="V248" t="s">
        <v>861</v>
      </c>
      <c r="X248" t="s">
        <v>42</v>
      </c>
      <c r="Y248" t="str">
        <f t="shared" si="46"/>
        <v>Same Day</v>
      </c>
      <c r="Z248">
        <v>3</v>
      </c>
      <c r="AA248">
        <v>231.95</v>
      </c>
      <c r="AB248">
        <v>0.25</v>
      </c>
      <c r="AC248">
        <v>521.89</v>
      </c>
      <c r="AD248">
        <v>444.52</v>
      </c>
      <c r="AE248">
        <v>77.37</v>
      </c>
      <c r="AF248" t="s">
        <v>100</v>
      </c>
      <c r="AG248" t="str">
        <f t="shared" si="47"/>
        <v>Refunded</v>
      </c>
      <c r="AH248" t="s">
        <v>66</v>
      </c>
    </row>
    <row r="249" spans="1:34">
      <c r="A249" t="s">
        <v>862</v>
      </c>
      <c r="B249">
        <f>COUNTIF($A:$A,A249)</f>
        <v>1</v>
      </c>
      <c r="C249" t="str">
        <f t="shared" si="38"/>
        <v>Unique</v>
      </c>
      <c r="D249" s="4">
        <v>45498</v>
      </c>
      <c r="E249">
        <f t="shared" si="39"/>
        <v>-199</v>
      </c>
      <c r="F249" s="4">
        <v>45299</v>
      </c>
      <c r="G249" t="s">
        <v>863</v>
      </c>
      <c r="H249" t="s">
        <v>116</v>
      </c>
      <c r="I249" t="str">
        <f t="shared" si="40"/>
        <v>Rahul Verma</v>
      </c>
      <c r="J249" t="s">
        <v>88</v>
      </c>
      <c r="K249" t="str">
        <f t="shared" si="41"/>
        <v>Corporate</v>
      </c>
      <c r="L249" t="s">
        <v>23</v>
      </c>
      <c r="M249" t="str">
        <f t="shared" si="49"/>
        <v>North</v>
      </c>
      <c r="N249" t="s">
        <v>24</v>
      </c>
      <c r="O249" t="str">
        <f t="shared" si="42"/>
        <v>Rajasthan</v>
      </c>
      <c r="P249" t="s">
        <v>25</v>
      </c>
      <c r="Q249" t="str">
        <f t="shared" si="43"/>
        <v>Jaipur</v>
      </c>
      <c r="R249" t="s">
        <v>72</v>
      </c>
      <c r="S249" t="str">
        <f t="shared" si="44"/>
        <v>Technology</v>
      </c>
      <c r="T249" t="s">
        <v>73</v>
      </c>
      <c r="U249" t="str">
        <f t="shared" si="45"/>
        <v>Accessories</v>
      </c>
      <c r="V249" t="s">
        <v>864</v>
      </c>
      <c r="X249" t="s">
        <v>29</v>
      </c>
      <c r="Y249" t="str">
        <f t="shared" si="46"/>
        <v>Second Class</v>
      </c>
      <c r="Z249">
        <v>8</v>
      </c>
      <c r="AA249">
        <v>2493.4</v>
      </c>
      <c r="AB249">
        <v>0.25</v>
      </c>
      <c r="AC249">
        <v>14960.4</v>
      </c>
      <c r="AD249">
        <v>12500.84</v>
      </c>
      <c r="AE249">
        <v>2459.56</v>
      </c>
      <c r="AF249" t="s">
        <v>30</v>
      </c>
      <c r="AG249" t="str">
        <f t="shared" si="47"/>
        <v>Paid</v>
      </c>
      <c r="AH249" t="s">
        <v>31</v>
      </c>
    </row>
    <row r="250" spans="1:34">
      <c r="A250" t="s">
        <v>865</v>
      </c>
      <c r="B250">
        <f>COUNTIF($A:$A,A250)</f>
        <v>1</v>
      </c>
      <c r="C250" t="str">
        <f t="shared" si="38"/>
        <v>Unique</v>
      </c>
      <c r="D250" s="4">
        <v>45445</v>
      </c>
      <c r="E250">
        <f t="shared" si="39"/>
        <v>34</v>
      </c>
      <c r="F250" s="4">
        <v>45479</v>
      </c>
      <c r="G250" t="s">
        <v>866</v>
      </c>
      <c r="H250" t="s">
        <v>139</v>
      </c>
      <c r="I250" t="str">
        <f t="shared" si="40"/>
        <v>Rohan Mehta</v>
      </c>
      <c r="J250" t="s">
        <v>93</v>
      </c>
      <c r="K250" t="str">
        <f t="shared" si="41"/>
        <v>Home Office</v>
      </c>
      <c r="L250" t="s">
        <v>36</v>
      </c>
      <c r="M250" t="str">
        <f t="shared" si="49"/>
        <v>East</v>
      </c>
      <c r="N250" t="s">
        <v>37</v>
      </c>
      <c r="O250" t="str">
        <f t="shared" si="42"/>
        <v>Odisha</v>
      </c>
      <c r="P250" t="s">
        <v>38</v>
      </c>
      <c r="Q250" t="str">
        <f t="shared" si="43"/>
        <v>Bhubaneswar</v>
      </c>
      <c r="R250" t="s">
        <v>26</v>
      </c>
      <c r="S250" t="str">
        <f t="shared" si="44"/>
        <v>Office Supplies</v>
      </c>
      <c r="T250" t="s">
        <v>89</v>
      </c>
      <c r="U250" t="str">
        <f t="shared" si="45"/>
        <v>Labels</v>
      </c>
      <c r="V250" t="s">
        <v>867</v>
      </c>
      <c r="X250" t="s">
        <v>29</v>
      </c>
      <c r="Y250" t="str">
        <f t="shared" si="46"/>
        <v>Second Class</v>
      </c>
      <c r="Z250">
        <v>9</v>
      </c>
      <c r="AA250">
        <v>787.91</v>
      </c>
      <c r="AB250">
        <v>0.15</v>
      </c>
      <c r="AC250">
        <v>6027.51</v>
      </c>
      <c r="AD250">
        <v>4883.82</v>
      </c>
      <c r="AE250">
        <v>1143.69</v>
      </c>
      <c r="AF250" t="s">
        <v>30</v>
      </c>
      <c r="AG250" t="str">
        <f t="shared" si="47"/>
        <v>Paid</v>
      </c>
      <c r="AH250" t="s">
        <v>31</v>
      </c>
    </row>
    <row r="251" spans="1:34">
      <c r="A251" t="s">
        <v>868</v>
      </c>
      <c r="B251">
        <f>COUNTIF($A:$A,A251)</f>
        <v>1</v>
      </c>
      <c r="C251" t="str">
        <f t="shared" si="38"/>
        <v>Unique</v>
      </c>
      <c r="D251" s="4">
        <v>45870</v>
      </c>
      <c r="E251">
        <f t="shared" si="39"/>
        <v>1</v>
      </c>
      <c r="F251" s="4">
        <v>45871</v>
      </c>
      <c r="G251" t="s">
        <v>869</v>
      </c>
      <c r="H251" t="s">
        <v>34</v>
      </c>
      <c r="I251" t="str">
        <f t="shared" si="40"/>
        <v>Mira Das</v>
      </c>
      <c r="J251" t="s">
        <v>88</v>
      </c>
      <c r="K251" t="str">
        <f t="shared" si="41"/>
        <v>Corporate</v>
      </c>
      <c r="L251" t="s">
        <v>23</v>
      </c>
      <c r="M251" t="str">
        <f t="shared" si="49"/>
        <v>North</v>
      </c>
      <c r="N251" t="s">
        <v>24</v>
      </c>
      <c r="O251" t="str">
        <f t="shared" si="42"/>
        <v>Rajasthan</v>
      </c>
      <c r="P251" t="s">
        <v>25</v>
      </c>
      <c r="Q251" t="str">
        <f t="shared" si="43"/>
        <v>Jaipur</v>
      </c>
      <c r="R251" t="s">
        <v>39</v>
      </c>
      <c r="S251" t="str">
        <f t="shared" si="44"/>
        <v>Furniture</v>
      </c>
      <c r="T251" t="s">
        <v>55</v>
      </c>
      <c r="U251" t="str">
        <f t="shared" si="45"/>
        <v>Furnishings</v>
      </c>
      <c r="V251" t="s">
        <v>870</v>
      </c>
      <c r="X251" t="s">
        <v>48</v>
      </c>
      <c r="Y251" t="str">
        <f t="shared" si="46"/>
        <v>First Class</v>
      </c>
      <c r="Z251">
        <v>4</v>
      </c>
      <c r="AA251">
        <v>2790.29</v>
      </c>
      <c r="AB251">
        <v>0.2</v>
      </c>
      <c r="AC251">
        <v>8928.93</v>
      </c>
      <c r="AD251">
        <v>5634.38</v>
      </c>
      <c r="AE251">
        <v>3294.55</v>
      </c>
      <c r="AF251" t="s">
        <v>30</v>
      </c>
      <c r="AG251" t="str">
        <f t="shared" si="47"/>
        <v>Paid</v>
      </c>
      <c r="AH251" t="s">
        <v>31</v>
      </c>
    </row>
    <row r="252" spans="1:34">
      <c r="A252" t="s">
        <v>871</v>
      </c>
      <c r="B252">
        <f>COUNTIF($A:$A,A252)</f>
        <v>1</v>
      </c>
      <c r="C252" t="str">
        <f t="shared" si="38"/>
        <v>Unique</v>
      </c>
      <c r="D252" s="4">
        <v>45343</v>
      </c>
      <c r="E252">
        <f t="shared" si="39"/>
        <v>6</v>
      </c>
      <c r="F252" s="4">
        <v>45349</v>
      </c>
      <c r="G252" t="s">
        <v>872</v>
      </c>
      <c r="H252" t="s">
        <v>51</v>
      </c>
      <c r="I252" t="str">
        <f t="shared" si="40"/>
        <v>Arjun Bose</v>
      </c>
      <c r="J252" t="s">
        <v>35</v>
      </c>
      <c r="K252" t="str">
        <f t="shared" si="41"/>
        <v>Small Business</v>
      </c>
      <c r="L252" t="s">
        <v>36</v>
      </c>
      <c r="M252" t="str">
        <f t="shared" si="49"/>
        <v>East</v>
      </c>
      <c r="N252" t="s">
        <v>97</v>
      </c>
      <c r="O252" t="str">
        <f t="shared" si="42"/>
        <v>West Bengal</v>
      </c>
      <c r="P252" t="s">
        <v>98</v>
      </c>
      <c r="Q252" t="str">
        <f t="shared" si="43"/>
        <v>Kolkata</v>
      </c>
      <c r="R252" t="s">
        <v>39</v>
      </c>
      <c r="S252" t="str">
        <f t="shared" si="44"/>
        <v>Furniture</v>
      </c>
      <c r="T252" t="s">
        <v>55</v>
      </c>
      <c r="U252" t="str">
        <f t="shared" si="45"/>
        <v>Furnishings</v>
      </c>
      <c r="V252" t="s">
        <v>873</v>
      </c>
      <c r="X252" t="s">
        <v>57</v>
      </c>
      <c r="Y252" t="str">
        <f t="shared" si="46"/>
        <v>Standard Class</v>
      </c>
      <c r="Z252">
        <v>5</v>
      </c>
      <c r="AA252">
        <v>3373.86</v>
      </c>
      <c r="AB252">
        <v>0.15</v>
      </c>
      <c r="AC252">
        <v>14338.9</v>
      </c>
      <c r="AD252">
        <v>11897.65</v>
      </c>
      <c r="AE252">
        <v>2441.25</v>
      </c>
      <c r="AF252" t="s">
        <v>109</v>
      </c>
      <c r="AG252" t="str">
        <f t="shared" si="47"/>
        <v>Pending</v>
      </c>
      <c r="AH252" t="s">
        <v>101</v>
      </c>
    </row>
    <row r="253" spans="1:34">
      <c r="A253" t="s">
        <v>874</v>
      </c>
      <c r="B253">
        <f>COUNTIF($A:$A,A253)</f>
        <v>1</v>
      </c>
      <c r="C253" t="str">
        <f t="shared" si="38"/>
        <v>Unique</v>
      </c>
      <c r="D253" s="4">
        <v>45812</v>
      </c>
      <c r="E253">
        <f t="shared" si="39"/>
        <v>-55</v>
      </c>
      <c r="F253" s="4">
        <v>45757</v>
      </c>
      <c r="G253" t="s">
        <v>875</v>
      </c>
      <c r="H253" t="s">
        <v>60</v>
      </c>
      <c r="I253" t="str">
        <f t="shared" si="40"/>
        <v>Ananya Rao</v>
      </c>
      <c r="J253" t="s">
        <v>88</v>
      </c>
      <c r="K253" t="str">
        <f t="shared" si="41"/>
        <v>Corporate</v>
      </c>
      <c r="L253" t="s">
        <v>61</v>
      </c>
      <c r="M253" t="str">
        <f t="shared" si="49"/>
        <v>West</v>
      </c>
      <c r="N253" t="s">
        <v>178</v>
      </c>
      <c r="O253" t="str">
        <f t="shared" si="42"/>
        <v>Gujarat</v>
      </c>
      <c r="P253" t="s">
        <v>179</v>
      </c>
      <c r="Q253" t="str">
        <f t="shared" si="43"/>
        <v>Ahmedabad</v>
      </c>
      <c r="R253" t="s">
        <v>39</v>
      </c>
      <c r="S253" t="str">
        <f t="shared" si="44"/>
        <v>Furniture</v>
      </c>
      <c r="T253" t="s">
        <v>40</v>
      </c>
      <c r="U253" t="str">
        <f t="shared" si="45"/>
        <v>Tables</v>
      </c>
      <c r="V253" t="s">
        <v>876</v>
      </c>
      <c r="X253" t="s">
        <v>29</v>
      </c>
      <c r="Y253" t="str">
        <f t="shared" si="46"/>
        <v>Second Class</v>
      </c>
      <c r="Z253">
        <v>6</v>
      </c>
      <c r="AA253">
        <v>1022.16</v>
      </c>
      <c r="AB253">
        <v>0</v>
      </c>
      <c r="AC253">
        <v>6132.96</v>
      </c>
      <c r="AD253">
        <v>4881.1000000000004</v>
      </c>
      <c r="AE253">
        <v>1251.8599999999999</v>
      </c>
      <c r="AF253" t="s">
        <v>30</v>
      </c>
      <c r="AG253" t="str">
        <f t="shared" si="47"/>
        <v>Paid</v>
      </c>
      <c r="AH253" t="s">
        <v>31</v>
      </c>
    </row>
    <row r="254" spans="1:34">
      <c r="A254" t="s">
        <v>877</v>
      </c>
      <c r="B254">
        <f>COUNTIF($A:$A,A254)</f>
        <v>1</v>
      </c>
      <c r="C254" t="str">
        <f t="shared" si="38"/>
        <v>Unique</v>
      </c>
      <c r="D254" s="4">
        <v>45833</v>
      </c>
      <c r="E254">
        <f t="shared" si="39"/>
        <v>3</v>
      </c>
      <c r="F254" s="4">
        <v>45836</v>
      </c>
      <c r="G254" t="s">
        <v>878</v>
      </c>
      <c r="H254" t="s">
        <v>51</v>
      </c>
      <c r="I254" t="str">
        <f t="shared" si="40"/>
        <v>Arjun Bose</v>
      </c>
      <c r="J254" t="s">
        <v>88</v>
      </c>
      <c r="K254" t="str">
        <f t="shared" si="41"/>
        <v>Corporate</v>
      </c>
      <c r="L254" t="s">
        <v>23</v>
      </c>
      <c r="M254" t="str">
        <f t="shared" si="49"/>
        <v>North</v>
      </c>
      <c r="N254" t="s">
        <v>235</v>
      </c>
      <c r="O254" t="str">
        <f t="shared" si="42"/>
        <v>Haryana</v>
      </c>
      <c r="P254" t="s">
        <v>236</v>
      </c>
      <c r="Q254" t="str">
        <f t="shared" si="43"/>
        <v>Gurugram</v>
      </c>
      <c r="R254" t="s">
        <v>26</v>
      </c>
      <c r="S254" t="str">
        <f t="shared" si="44"/>
        <v>Office Supplies</v>
      </c>
      <c r="T254" t="s">
        <v>122</v>
      </c>
      <c r="U254" t="str">
        <f t="shared" si="45"/>
        <v>Storage</v>
      </c>
      <c r="V254" t="s">
        <v>879</v>
      </c>
      <c r="X254" t="s">
        <v>48</v>
      </c>
      <c r="Y254" t="str">
        <f t="shared" si="46"/>
        <v>First Class</v>
      </c>
      <c r="Z254">
        <v>2</v>
      </c>
      <c r="AA254">
        <v>1455.92</v>
      </c>
      <c r="AB254">
        <v>0.2</v>
      </c>
      <c r="AC254">
        <v>2329.4699999999998</v>
      </c>
      <c r="AD254">
        <v>1603.62</v>
      </c>
      <c r="AE254">
        <v>725.85</v>
      </c>
      <c r="AF254" t="s">
        <v>109</v>
      </c>
      <c r="AG254" t="str">
        <f t="shared" si="47"/>
        <v>Pending</v>
      </c>
      <c r="AH254" t="s">
        <v>101</v>
      </c>
    </row>
    <row r="255" spans="1:34">
      <c r="A255" t="s">
        <v>880</v>
      </c>
      <c r="B255">
        <f>COUNTIF($A:$A,A255)</f>
        <v>1</v>
      </c>
      <c r="C255" t="str">
        <f t="shared" si="38"/>
        <v>Unique</v>
      </c>
      <c r="D255" s="4">
        <v>45635</v>
      </c>
      <c r="E255">
        <f t="shared" si="39"/>
        <v>-87</v>
      </c>
      <c r="F255" s="4">
        <v>45548</v>
      </c>
      <c r="G255" t="s">
        <v>881</v>
      </c>
      <c r="H255" t="s">
        <v>112</v>
      </c>
      <c r="I255" t="str">
        <f t="shared" si="40"/>
        <v>Priya Menon</v>
      </c>
      <c r="J255" t="s">
        <v>35</v>
      </c>
      <c r="K255" t="str">
        <f t="shared" si="41"/>
        <v>Small Business</v>
      </c>
      <c r="L255" t="s">
        <v>23</v>
      </c>
      <c r="M255" t="str">
        <f t="shared" si="49"/>
        <v>North</v>
      </c>
      <c r="N255" t="s">
        <v>24</v>
      </c>
      <c r="O255" t="str">
        <f t="shared" si="42"/>
        <v>Rajasthan</v>
      </c>
      <c r="P255" t="s">
        <v>25</v>
      </c>
      <c r="Q255" t="str">
        <f t="shared" si="43"/>
        <v>Jaipur</v>
      </c>
      <c r="R255" t="s">
        <v>72</v>
      </c>
      <c r="S255" t="str">
        <f t="shared" si="44"/>
        <v>Technology</v>
      </c>
      <c r="T255" t="s">
        <v>169</v>
      </c>
      <c r="U255" t="str">
        <f t="shared" si="45"/>
        <v>Phones</v>
      </c>
      <c r="V255" t="s">
        <v>882</v>
      </c>
      <c r="X255" t="s">
        <v>42</v>
      </c>
      <c r="Y255" t="str">
        <f t="shared" si="46"/>
        <v>Same Day</v>
      </c>
      <c r="Z255">
        <v>6</v>
      </c>
      <c r="AA255">
        <v>832.79</v>
      </c>
      <c r="AB255">
        <v>0.05</v>
      </c>
      <c r="AC255">
        <v>4746.8999999999996</v>
      </c>
      <c r="AD255">
        <v>2825.38</v>
      </c>
      <c r="AE255">
        <v>1472.89</v>
      </c>
      <c r="AF255" t="s">
        <v>100</v>
      </c>
      <c r="AG255" t="str">
        <f t="shared" si="47"/>
        <v>Refunded</v>
      </c>
      <c r="AH255" t="s">
        <v>66</v>
      </c>
    </row>
    <row r="256" spans="1:34">
      <c r="A256" t="s">
        <v>883</v>
      </c>
      <c r="B256">
        <f>COUNTIF($A:$A,A256)</f>
        <v>1</v>
      </c>
      <c r="C256" t="str">
        <f t="shared" si="38"/>
        <v>Unique</v>
      </c>
      <c r="D256" s="4">
        <v>45658</v>
      </c>
      <c r="E256">
        <f t="shared" si="39"/>
        <v>59</v>
      </c>
      <c r="F256" s="4">
        <v>45717</v>
      </c>
      <c r="G256" t="s">
        <v>884</v>
      </c>
      <c r="H256" t="s">
        <v>60</v>
      </c>
      <c r="I256" t="str">
        <f t="shared" si="40"/>
        <v>Ananya Rao</v>
      </c>
      <c r="J256" t="s">
        <v>22</v>
      </c>
      <c r="K256" t="str">
        <f t="shared" si="41"/>
        <v>Consumer</v>
      </c>
      <c r="L256" t="s">
        <v>61</v>
      </c>
      <c r="M256" t="str">
        <f t="shared" si="49"/>
        <v>West</v>
      </c>
      <c r="N256" t="s">
        <v>70</v>
      </c>
      <c r="O256" t="str">
        <f t="shared" si="42"/>
        <v>Madhya Pradesh</v>
      </c>
      <c r="P256" t="s">
        <v>71</v>
      </c>
      <c r="Q256" t="str">
        <f t="shared" si="43"/>
        <v>Indore</v>
      </c>
      <c r="R256" t="s">
        <v>72</v>
      </c>
      <c r="S256" t="str">
        <f t="shared" si="44"/>
        <v>Technology</v>
      </c>
      <c r="T256" t="s">
        <v>73</v>
      </c>
      <c r="U256" t="str">
        <f t="shared" si="45"/>
        <v>Accessories</v>
      </c>
      <c r="V256" t="s">
        <v>885</v>
      </c>
      <c r="X256" t="s">
        <v>42</v>
      </c>
      <c r="Y256" t="str">
        <f t="shared" si="46"/>
        <v>Same Day</v>
      </c>
      <c r="Z256">
        <v>7</v>
      </c>
      <c r="AA256">
        <v>1000.55</v>
      </c>
      <c r="AB256">
        <v>0.2</v>
      </c>
      <c r="AC256">
        <v>5603.08</v>
      </c>
      <c r="AD256">
        <v>3132.52</v>
      </c>
      <c r="AE256">
        <v>2470.56</v>
      </c>
      <c r="AF256" t="s">
        <v>30</v>
      </c>
      <c r="AG256" t="str">
        <f t="shared" si="47"/>
        <v>Paid</v>
      </c>
      <c r="AH256" t="s">
        <v>101</v>
      </c>
    </row>
    <row r="257" spans="1:34">
      <c r="A257" t="s">
        <v>886</v>
      </c>
      <c r="B257">
        <f>COUNTIF($A:$A,A257)</f>
        <v>1</v>
      </c>
      <c r="C257" t="str">
        <f t="shared" si="38"/>
        <v>Unique</v>
      </c>
      <c r="D257" s="4">
        <v>45749</v>
      </c>
      <c r="E257">
        <f t="shared" si="39"/>
        <v>-51</v>
      </c>
      <c r="F257" s="4">
        <v>45698</v>
      </c>
      <c r="G257" t="s">
        <v>887</v>
      </c>
      <c r="H257" t="s">
        <v>45</v>
      </c>
      <c r="I257" t="str">
        <f t="shared" si="40"/>
        <v>Isha Nair</v>
      </c>
      <c r="J257" t="s">
        <v>88</v>
      </c>
      <c r="K257" t="str">
        <f t="shared" si="41"/>
        <v>Corporate</v>
      </c>
      <c r="L257" t="s">
        <v>61</v>
      </c>
      <c r="M257" t="str">
        <f t="shared" si="49"/>
        <v>West</v>
      </c>
      <c r="N257" t="s">
        <v>62</v>
      </c>
      <c r="O257" t="str">
        <f t="shared" si="42"/>
        <v>Maharashtra</v>
      </c>
      <c r="P257" t="s">
        <v>63</v>
      </c>
      <c r="Q257" t="str">
        <f t="shared" si="43"/>
        <v>Mumbai</v>
      </c>
      <c r="R257" t="s">
        <v>72</v>
      </c>
      <c r="S257" t="str">
        <f t="shared" si="44"/>
        <v>Technology</v>
      </c>
      <c r="T257" t="s">
        <v>169</v>
      </c>
      <c r="U257" t="str">
        <f t="shared" si="45"/>
        <v>Phones</v>
      </c>
      <c r="V257" t="s">
        <v>888</v>
      </c>
      <c r="X257" t="s">
        <v>48</v>
      </c>
      <c r="Y257" t="str">
        <f t="shared" si="46"/>
        <v>First Class</v>
      </c>
      <c r="Z257">
        <v>7</v>
      </c>
      <c r="AA257">
        <v>1830</v>
      </c>
      <c r="AB257">
        <v>0</v>
      </c>
      <c r="AC257">
        <v>12810</v>
      </c>
      <c r="AD257">
        <v>9334.1200000000008</v>
      </c>
      <c r="AE257">
        <v>3475.88</v>
      </c>
      <c r="AF257" t="s">
        <v>30</v>
      </c>
      <c r="AG257" t="str">
        <f t="shared" si="47"/>
        <v>Paid</v>
      </c>
      <c r="AH257" t="s">
        <v>31</v>
      </c>
    </row>
    <row r="258" spans="1:34">
      <c r="A258" t="s">
        <v>889</v>
      </c>
      <c r="B258">
        <f>COUNTIF($A:$A,A258)</f>
        <v>1</v>
      </c>
      <c r="C258" t="str">
        <f t="shared" ref="C258:C321" si="50">IF(B258&gt;1,"Review Duplicate ID","Unique")</f>
        <v>Unique</v>
      </c>
      <c r="D258" s="4">
        <v>45423</v>
      </c>
      <c r="E258">
        <f t="shared" ref="E258:E321" si="51">F258-D258</f>
        <v>-61</v>
      </c>
      <c r="F258" s="4">
        <v>45362</v>
      </c>
      <c r="G258" t="s">
        <v>890</v>
      </c>
      <c r="H258" t="s">
        <v>60</v>
      </c>
      <c r="I258" t="str">
        <f t="shared" ref="I258:I321" si="52">PROPER(TRIM(H258))</f>
        <v>Ananya Rao</v>
      </c>
      <c r="J258" t="s">
        <v>22</v>
      </c>
      <c r="K258" t="str">
        <f t="shared" ref="K258:K321" si="53">PROPER(TRIM(J258))</f>
        <v>Consumer</v>
      </c>
      <c r="L258" t="s">
        <v>36</v>
      </c>
      <c r="M258" t="str">
        <f t="shared" si="49"/>
        <v>East</v>
      </c>
      <c r="N258" t="s">
        <v>97</v>
      </c>
      <c r="O258" t="str">
        <f t="shared" ref="O258:O321" si="54">PROPER(TRIM(N258))</f>
        <v>West Bengal</v>
      </c>
      <c r="P258" t="s">
        <v>98</v>
      </c>
      <c r="Q258" t="str">
        <f t="shared" ref="Q258:Q321" si="55">PROPER(TRIM(P258))</f>
        <v>Kolkata</v>
      </c>
      <c r="R258" t="s">
        <v>39</v>
      </c>
      <c r="S258" t="str">
        <f t="shared" ref="S258:S321" si="56">PROPER(TRIM(R258))</f>
        <v>Furniture</v>
      </c>
      <c r="T258" t="s">
        <v>40</v>
      </c>
      <c r="U258" t="str">
        <f t="shared" ref="U258:U321" si="57">PROPER(TRIM(T258))</f>
        <v>Tables</v>
      </c>
      <c r="V258" t="s">
        <v>891</v>
      </c>
      <c r="X258" t="s">
        <v>48</v>
      </c>
      <c r="Y258" t="str">
        <f t="shared" si="46"/>
        <v>First Class</v>
      </c>
      <c r="Z258">
        <v>9</v>
      </c>
      <c r="AA258">
        <v>2260.61</v>
      </c>
      <c r="AB258">
        <v>0.05</v>
      </c>
      <c r="AC258">
        <v>19328.22</v>
      </c>
      <c r="AD258">
        <v>12039.5</v>
      </c>
      <c r="AE258">
        <v>7288.72</v>
      </c>
      <c r="AF258" t="s">
        <v>30</v>
      </c>
      <c r="AG258" t="str">
        <f t="shared" si="47"/>
        <v>Paid</v>
      </c>
      <c r="AH258" t="s">
        <v>31</v>
      </c>
    </row>
    <row r="259" spans="1:34">
      <c r="A259" t="s">
        <v>892</v>
      </c>
      <c r="B259">
        <f>COUNTIF($A:$A,A259)</f>
        <v>1</v>
      </c>
      <c r="C259" t="str">
        <f t="shared" si="50"/>
        <v>Unique</v>
      </c>
      <c r="D259" s="4">
        <v>45908</v>
      </c>
      <c r="E259">
        <f t="shared" si="51"/>
        <v>91</v>
      </c>
      <c r="F259" s="4">
        <v>45999</v>
      </c>
      <c r="G259" t="s">
        <v>893</v>
      </c>
      <c r="H259" t="s">
        <v>160</v>
      </c>
      <c r="I259" t="str">
        <f t="shared" si="52"/>
        <v>Diya Patel</v>
      </c>
      <c r="J259" t="s">
        <v>88</v>
      </c>
      <c r="K259" t="str">
        <f t="shared" si="53"/>
        <v>Corporate</v>
      </c>
      <c r="L259" t="s">
        <v>52</v>
      </c>
      <c r="M259" t="str">
        <f t="shared" si="49"/>
        <v>South</v>
      </c>
      <c r="N259" t="s">
        <v>173</v>
      </c>
      <c r="O259" t="str">
        <f t="shared" si="54"/>
        <v>Karnataka</v>
      </c>
      <c r="P259" t="s">
        <v>174</v>
      </c>
      <c r="Q259" t="str">
        <f t="shared" si="55"/>
        <v>Bengaluru</v>
      </c>
      <c r="R259" t="s">
        <v>72</v>
      </c>
      <c r="S259" t="str">
        <f t="shared" si="56"/>
        <v>Technology</v>
      </c>
      <c r="T259" t="s">
        <v>73</v>
      </c>
      <c r="U259" t="str">
        <f t="shared" si="57"/>
        <v>Accessories</v>
      </c>
      <c r="V259" t="s">
        <v>894</v>
      </c>
      <c r="X259" t="s">
        <v>29</v>
      </c>
      <c r="Y259" t="str">
        <f t="shared" ref="Y259:Y322" si="58">PROPER(TRIM(X259))</f>
        <v>Second Class</v>
      </c>
      <c r="Z259">
        <v>2</v>
      </c>
      <c r="AA259">
        <v>3237.27</v>
      </c>
      <c r="AB259">
        <v>0</v>
      </c>
      <c r="AC259">
        <v>6474.54</v>
      </c>
      <c r="AD259">
        <v>5095.91</v>
      </c>
      <c r="AE259">
        <v>1378.63</v>
      </c>
      <c r="AF259" t="s">
        <v>30</v>
      </c>
      <c r="AG259" t="str">
        <f t="shared" ref="AG259:AG322" si="59">PROPER(TRIM(AF259))</f>
        <v>Paid</v>
      </c>
      <c r="AH259" t="s">
        <v>66</v>
      </c>
    </row>
    <row r="260" spans="1:34">
      <c r="A260" t="s">
        <v>895</v>
      </c>
      <c r="B260">
        <f>COUNTIF($A:$A,A260)</f>
        <v>1</v>
      </c>
      <c r="C260" t="str">
        <f t="shared" si="50"/>
        <v>Unique</v>
      </c>
      <c r="D260" s="4">
        <v>45656</v>
      </c>
      <c r="E260">
        <f t="shared" si="51"/>
        <v>92</v>
      </c>
      <c r="F260" s="4">
        <v>45748</v>
      </c>
      <c r="G260" t="s">
        <v>896</v>
      </c>
      <c r="H260" t="s">
        <v>130</v>
      </c>
      <c r="I260" t="str">
        <f t="shared" si="52"/>
        <v>Sneha Kapoor</v>
      </c>
      <c r="J260" t="s">
        <v>88</v>
      </c>
      <c r="K260" t="str">
        <f t="shared" si="53"/>
        <v>Corporate</v>
      </c>
      <c r="L260" t="s">
        <v>52</v>
      </c>
      <c r="M260" t="str">
        <f t="shared" si="49"/>
        <v>South</v>
      </c>
      <c r="N260" t="s">
        <v>246</v>
      </c>
      <c r="O260" t="str">
        <f t="shared" si="54"/>
        <v>Tamil Nadu</v>
      </c>
      <c r="P260" t="s">
        <v>247</v>
      </c>
      <c r="Q260" t="str">
        <f t="shared" si="55"/>
        <v>Chennai</v>
      </c>
      <c r="R260" t="s">
        <v>39</v>
      </c>
      <c r="S260" t="str">
        <f t="shared" si="56"/>
        <v>Furniture</v>
      </c>
      <c r="T260" t="s">
        <v>40</v>
      </c>
      <c r="U260" t="str">
        <f t="shared" si="57"/>
        <v>Tables</v>
      </c>
      <c r="V260" t="s">
        <v>897</v>
      </c>
      <c r="X260" t="s">
        <v>42</v>
      </c>
      <c r="Y260" t="str">
        <f t="shared" si="58"/>
        <v>Same Day</v>
      </c>
      <c r="Z260">
        <v>2</v>
      </c>
      <c r="AA260">
        <v>3720.07</v>
      </c>
      <c r="AB260">
        <v>0.25</v>
      </c>
      <c r="AC260">
        <v>5580.11</v>
      </c>
      <c r="AD260">
        <v>4307.01</v>
      </c>
      <c r="AE260">
        <v>1273.0999999999999</v>
      </c>
      <c r="AF260" t="s">
        <v>30</v>
      </c>
      <c r="AG260" t="str">
        <f t="shared" si="59"/>
        <v>Paid</v>
      </c>
      <c r="AH260" t="s">
        <v>31</v>
      </c>
    </row>
    <row r="261" spans="1:34">
      <c r="A261" t="s">
        <v>898</v>
      </c>
      <c r="B261">
        <f>COUNTIF($A:$A,A261)</f>
        <v>1</v>
      </c>
      <c r="C261" t="str">
        <f t="shared" si="50"/>
        <v>Unique</v>
      </c>
      <c r="D261" s="4">
        <v>45464</v>
      </c>
      <c r="E261">
        <f t="shared" si="51"/>
        <v>8</v>
      </c>
      <c r="F261" s="4">
        <v>45472</v>
      </c>
      <c r="G261" t="s">
        <v>899</v>
      </c>
      <c r="H261" t="s">
        <v>77</v>
      </c>
      <c r="I261" t="str">
        <f t="shared" si="52"/>
        <v>Neha Gupta</v>
      </c>
      <c r="J261" t="s">
        <v>22</v>
      </c>
      <c r="K261" t="str">
        <f t="shared" si="53"/>
        <v>Consumer</v>
      </c>
      <c r="L261" t="s">
        <v>52</v>
      </c>
      <c r="M261" t="str">
        <f t="shared" si="49"/>
        <v>South</v>
      </c>
      <c r="N261" t="s">
        <v>246</v>
      </c>
      <c r="O261" t="str">
        <f t="shared" si="54"/>
        <v>Tamil Nadu</v>
      </c>
      <c r="P261" t="s">
        <v>247</v>
      </c>
      <c r="Q261" t="str">
        <f t="shared" si="55"/>
        <v>Chennai</v>
      </c>
      <c r="R261" t="s">
        <v>72</v>
      </c>
      <c r="S261" t="str">
        <f t="shared" si="56"/>
        <v>Technology</v>
      </c>
      <c r="T261" t="s">
        <v>273</v>
      </c>
      <c r="U261" t="str">
        <f t="shared" si="57"/>
        <v>Machines</v>
      </c>
      <c r="V261" t="s">
        <v>900</v>
      </c>
      <c r="X261" t="s">
        <v>57</v>
      </c>
      <c r="Y261" t="str">
        <f t="shared" si="58"/>
        <v>Standard Class</v>
      </c>
      <c r="Z261">
        <v>8</v>
      </c>
      <c r="AA261">
        <v>2853.92</v>
      </c>
      <c r="AB261">
        <v>0.2</v>
      </c>
      <c r="AC261">
        <v>18265.09</v>
      </c>
      <c r="AD261">
        <v>10437.14</v>
      </c>
      <c r="AE261">
        <v>7827.95</v>
      </c>
      <c r="AF261" t="s">
        <v>30</v>
      </c>
      <c r="AG261" t="str">
        <f t="shared" si="59"/>
        <v>Paid</v>
      </c>
      <c r="AH261" t="s">
        <v>31</v>
      </c>
    </row>
    <row r="262" spans="1:34">
      <c r="A262" t="s">
        <v>901</v>
      </c>
      <c r="B262">
        <f>COUNTIF($A:$A,A262)</f>
        <v>1</v>
      </c>
      <c r="C262" t="str">
        <f t="shared" si="50"/>
        <v>Unique</v>
      </c>
      <c r="D262" s="4">
        <v>45923</v>
      </c>
      <c r="E262">
        <f t="shared" si="51"/>
        <v>4</v>
      </c>
      <c r="F262" s="4">
        <v>45927</v>
      </c>
      <c r="G262" t="s">
        <v>902</v>
      </c>
      <c r="H262" t="s">
        <v>87</v>
      </c>
      <c r="I262" t="str">
        <f t="shared" si="52"/>
        <v>Aditi Sen</v>
      </c>
      <c r="J262" t="s">
        <v>88</v>
      </c>
      <c r="K262" t="str">
        <f t="shared" si="53"/>
        <v>Corporate</v>
      </c>
      <c r="L262" t="s">
        <v>36</v>
      </c>
      <c r="M262" t="str">
        <f t="shared" si="49"/>
        <v>East</v>
      </c>
      <c r="N262" t="s">
        <v>97</v>
      </c>
      <c r="O262" t="str">
        <f t="shared" si="54"/>
        <v>West Bengal</v>
      </c>
      <c r="P262" t="s">
        <v>98</v>
      </c>
      <c r="Q262" t="str">
        <f t="shared" si="55"/>
        <v>Kolkata</v>
      </c>
      <c r="R262" t="s">
        <v>26</v>
      </c>
      <c r="S262" t="str">
        <f t="shared" si="56"/>
        <v>Office Supplies</v>
      </c>
      <c r="T262" t="s">
        <v>151</v>
      </c>
      <c r="U262" t="str">
        <f t="shared" si="57"/>
        <v>Binders</v>
      </c>
      <c r="V262" t="s">
        <v>903</v>
      </c>
      <c r="X262" t="s">
        <v>42</v>
      </c>
      <c r="Y262" t="str">
        <f t="shared" si="58"/>
        <v>Same Day</v>
      </c>
      <c r="Z262">
        <v>7</v>
      </c>
      <c r="AA262">
        <v>2897.12</v>
      </c>
      <c r="AB262">
        <v>0.25</v>
      </c>
      <c r="AC262">
        <v>15209.88</v>
      </c>
      <c r="AD262">
        <v>10891.15</v>
      </c>
      <c r="AE262">
        <v>4318.7299999999996</v>
      </c>
      <c r="AF262" t="s">
        <v>153</v>
      </c>
      <c r="AG262" t="str">
        <f t="shared" si="59"/>
        <v>Failed</v>
      </c>
      <c r="AH262" t="s">
        <v>101</v>
      </c>
    </row>
    <row r="263" spans="1:34">
      <c r="A263" t="s">
        <v>904</v>
      </c>
      <c r="B263">
        <f>COUNTIF($A:$A,A263)</f>
        <v>1</v>
      </c>
      <c r="C263" t="str">
        <f t="shared" si="50"/>
        <v>Unique</v>
      </c>
      <c r="D263" s="4">
        <v>45826</v>
      </c>
      <c r="E263">
        <f t="shared" si="51"/>
        <v>6</v>
      </c>
      <c r="F263" s="4">
        <v>45832</v>
      </c>
      <c r="G263" t="s">
        <v>905</v>
      </c>
      <c r="H263" t="s">
        <v>130</v>
      </c>
      <c r="I263" t="str">
        <f t="shared" si="52"/>
        <v>Sneha Kapoor</v>
      </c>
      <c r="J263" t="s">
        <v>88</v>
      </c>
      <c r="K263" t="str">
        <f t="shared" si="53"/>
        <v>Corporate</v>
      </c>
      <c r="L263" t="s">
        <v>23</v>
      </c>
      <c r="M263" t="str">
        <f t="shared" si="49"/>
        <v>North</v>
      </c>
      <c r="N263" t="s">
        <v>24</v>
      </c>
      <c r="O263" t="str">
        <f t="shared" si="54"/>
        <v>Rajasthan</v>
      </c>
      <c r="P263" t="s">
        <v>25</v>
      </c>
      <c r="Q263" t="str">
        <f t="shared" si="55"/>
        <v>Jaipur</v>
      </c>
      <c r="R263" t="s">
        <v>26</v>
      </c>
      <c r="S263" t="str">
        <f t="shared" si="56"/>
        <v>Office Supplies</v>
      </c>
      <c r="T263" t="s">
        <v>89</v>
      </c>
      <c r="U263" t="str">
        <f t="shared" si="57"/>
        <v>Labels</v>
      </c>
      <c r="V263" t="s">
        <v>906</v>
      </c>
      <c r="X263" t="s">
        <v>57</v>
      </c>
      <c r="Y263" t="str">
        <f t="shared" si="58"/>
        <v>Standard Class</v>
      </c>
      <c r="Z263">
        <v>3</v>
      </c>
      <c r="AA263">
        <v>686.74</v>
      </c>
      <c r="AB263">
        <v>0.2</v>
      </c>
      <c r="AC263">
        <v>1648.18</v>
      </c>
      <c r="AD263">
        <v>987.91</v>
      </c>
      <c r="AE263">
        <v>660.27</v>
      </c>
      <c r="AF263" t="s">
        <v>153</v>
      </c>
      <c r="AG263" t="str">
        <f t="shared" si="59"/>
        <v>Failed</v>
      </c>
      <c r="AH263" t="s">
        <v>66</v>
      </c>
    </row>
    <row r="264" spans="1:34">
      <c r="A264" t="s">
        <v>907</v>
      </c>
      <c r="B264">
        <f>COUNTIF($A:$A,A264)</f>
        <v>1</v>
      </c>
      <c r="C264" t="str">
        <f t="shared" si="50"/>
        <v>Unique</v>
      </c>
      <c r="D264" s="4">
        <v>45803</v>
      </c>
      <c r="E264">
        <f t="shared" si="51"/>
        <v>-140</v>
      </c>
      <c r="F264" s="4">
        <v>45663</v>
      </c>
      <c r="G264" t="s">
        <v>635</v>
      </c>
      <c r="H264" t="s">
        <v>51</v>
      </c>
      <c r="I264" t="str">
        <f t="shared" si="52"/>
        <v>Arjun Bose</v>
      </c>
      <c r="J264" t="s">
        <v>35</v>
      </c>
      <c r="K264" t="str">
        <f t="shared" si="53"/>
        <v>Small Business</v>
      </c>
      <c r="L264" t="s">
        <v>23</v>
      </c>
      <c r="M264" t="str">
        <f t="shared" si="49"/>
        <v>North</v>
      </c>
      <c r="N264" t="s">
        <v>349</v>
      </c>
      <c r="O264" t="str">
        <f t="shared" si="54"/>
        <v>Delhi</v>
      </c>
      <c r="P264" t="s">
        <v>350</v>
      </c>
      <c r="Q264" t="str">
        <f t="shared" si="55"/>
        <v>New Delhi</v>
      </c>
      <c r="R264" t="s">
        <v>72</v>
      </c>
      <c r="S264" t="str">
        <f t="shared" si="56"/>
        <v>Technology</v>
      </c>
      <c r="T264" t="s">
        <v>169</v>
      </c>
      <c r="U264" t="str">
        <f t="shared" si="57"/>
        <v>Phones</v>
      </c>
      <c r="V264" t="s">
        <v>908</v>
      </c>
      <c r="X264" t="s">
        <v>42</v>
      </c>
      <c r="Y264" t="str">
        <f t="shared" si="58"/>
        <v>Same Day</v>
      </c>
      <c r="Z264">
        <v>4</v>
      </c>
      <c r="AA264">
        <v>3349.86</v>
      </c>
      <c r="AB264">
        <v>0</v>
      </c>
      <c r="AC264">
        <v>13399.44</v>
      </c>
      <c r="AD264">
        <v>8581.35</v>
      </c>
      <c r="AE264">
        <v>4818.09</v>
      </c>
      <c r="AF264" t="s">
        <v>109</v>
      </c>
      <c r="AG264" t="str">
        <f t="shared" si="59"/>
        <v>Pending</v>
      </c>
      <c r="AH264" t="s">
        <v>101</v>
      </c>
    </row>
    <row r="265" spans="1:34">
      <c r="A265" t="s">
        <v>909</v>
      </c>
      <c r="B265">
        <f>COUNTIF($A:$A,A265)</f>
        <v>1</v>
      </c>
      <c r="C265" t="str">
        <f t="shared" si="50"/>
        <v>Unique</v>
      </c>
      <c r="D265" s="4">
        <v>45816</v>
      </c>
      <c r="E265">
        <f t="shared" si="51"/>
        <v>122</v>
      </c>
      <c r="F265" s="4">
        <v>45938</v>
      </c>
      <c r="G265" t="s">
        <v>910</v>
      </c>
      <c r="H265" t="s">
        <v>139</v>
      </c>
      <c r="I265" t="str">
        <f t="shared" si="52"/>
        <v>Rohan Mehta</v>
      </c>
      <c r="J265" t="s">
        <v>35</v>
      </c>
      <c r="K265" t="str">
        <f t="shared" si="53"/>
        <v>Small Business</v>
      </c>
      <c r="L265" t="s">
        <v>23</v>
      </c>
      <c r="M265" t="str">
        <f t="shared" si="49"/>
        <v>North</v>
      </c>
      <c r="N265" t="s">
        <v>349</v>
      </c>
      <c r="O265" t="str">
        <f t="shared" si="54"/>
        <v>Delhi</v>
      </c>
      <c r="P265" t="s">
        <v>350</v>
      </c>
      <c r="Q265" t="str">
        <f t="shared" si="55"/>
        <v>New Delhi</v>
      </c>
      <c r="R265" t="s">
        <v>26</v>
      </c>
      <c r="S265" t="str">
        <f t="shared" si="56"/>
        <v>Office Supplies</v>
      </c>
      <c r="T265" t="s">
        <v>151</v>
      </c>
      <c r="U265" t="str">
        <f t="shared" si="57"/>
        <v>Binders</v>
      </c>
      <c r="V265" t="s">
        <v>911</v>
      </c>
      <c r="X265" t="s">
        <v>29</v>
      </c>
      <c r="Y265" t="str">
        <f t="shared" si="58"/>
        <v>Second Class</v>
      </c>
      <c r="Z265">
        <v>9</v>
      </c>
      <c r="AA265">
        <v>4042.45</v>
      </c>
      <c r="AB265">
        <v>0.1</v>
      </c>
      <c r="AC265">
        <v>32743.84</v>
      </c>
      <c r="AD265">
        <v>22452.05</v>
      </c>
      <c r="AE265">
        <v>10291.790000000001</v>
      </c>
      <c r="AF265" t="s">
        <v>109</v>
      </c>
      <c r="AG265" t="str">
        <f t="shared" si="59"/>
        <v>Pending</v>
      </c>
      <c r="AH265" t="s">
        <v>101</v>
      </c>
    </row>
    <row r="266" spans="1:34">
      <c r="A266" t="s">
        <v>912</v>
      </c>
      <c r="B266">
        <f>COUNTIF($A:$A,A266)</f>
        <v>1</v>
      </c>
      <c r="C266" t="str">
        <f t="shared" si="50"/>
        <v>Unique</v>
      </c>
      <c r="D266" s="4">
        <v>45428</v>
      </c>
      <c r="E266">
        <f t="shared" si="51"/>
        <v>5</v>
      </c>
      <c r="F266" s="4">
        <v>45433</v>
      </c>
      <c r="G266" t="s">
        <v>913</v>
      </c>
      <c r="H266" t="s">
        <v>160</v>
      </c>
      <c r="I266" t="str">
        <f t="shared" si="52"/>
        <v>Diya Patel</v>
      </c>
      <c r="J266" t="s">
        <v>35</v>
      </c>
      <c r="K266" t="str">
        <f t="shared" si="53"/>
        <v>Small Business</v>
      </c>
      <c r="L266" t="s">
        <v>36</v>
      </c>
      <c r="M266" t="str">
        <f t="shared" si="49"/>
        <v>East</v>
      </c>
      <c r="N266" t="s">
        <v>143</v>
      </c>
      <c r="O266" t="str">
        <f t="shared" si="54"/>
        <v>Bihar</v>
      </c>
      <c r="P266" t="s">
        <v>144</v>
      </c>
      <c r="Q266" t="str">
        <f t="shared" si="55"/>
        <v>Patna</v>
      </c>
      <c r="R266" t="s">
        <v>72</v>
      </c>
      <c r="S266" t="str">
        <f t="shared" si="56"/>
        <v>Technology</v>
      </c>
      <c r="T266" t="s">
        <v>78</v>
      </c>
      <c r="U266" t="str">
        <f t="shared" si="57"/>
        <v>Copiers</v>
      </c>
      <c r="V266" t="s">
        <v>914</v>
      </c>
      <c r="X266" t="s">
        <v>57</v>
      </c>
      <c r="Y266" t="str">
        <f t="shared" si="58"/>
        <v>Standard Class</v>
      </c>
      <c r="Z266">
        <v>4</v>
      </c>
      <c r="AA266">
        <v>1503.07</v>
      </c>
      <c r="AB266">
        <v>0</v>
      </c>
      <c r="AC266">
        <v>6012.28</v>
      </c>
      <c r="AD266">
        <v>3927.64</v>
      </c>
      <c r="AE266">
        <v>2084.64</v>
      </c>
      <c r="AF266" t="s">
        <v>30</v>
      </c>
      <c r="AG266" t="str">
        <f t="shared" si="59"/>
        <v>Paid</v>
      </c>
      <c r="AH266" t="s">
        <v>31</v>
      </c>
    </row>
    <row r="267" spans="1:34">
      <c r="A267" t="s">
        <v>915</v>
      </c>
      <c r="B267">
        <f>COUNTIF($A:$A,A267)</f>
        <v>1</v>
      </c>
      <c r="C267" t="str">
        <f t="shared" si="50"/>
        <v>Unique</v>
      </c>
      <c r="D267" s="4">
        <v>45610</v>
      </c>
      <c r="E267">
        <f t="shared" si="51"/>
        <v>8</v>
      </c>
      <c r="F267" s="4">
        <v>45618</v>
      </c>
      <c r="G267" t="s">
        <v>916</v>
      </c>
      <c r="H267" t="s">
        <v>112</v>
      </c>
      <c r="I267" t="str">
        <f t="shared" si="52"/>
        <v>Priya Menon</v>
      </c>
      <c r="J267" t="s">
        <v>88</v>
      </c>
      <c r="K267" t="str">
        <f t="shared" si="53"/>
        <v>Corporate</v>
      </c>
      <c r="L267" t="s">
        <v>36</v>
      </c>
      <c r="M267" t="str">
        <f t="shared" si="49"/>
        <v>East</v>
      </c>
      <c r="N267" t="s">
        <v>143</v>
      </c>
      <c r="O267" t="str">
        <f t="shared" si="54"/>
        <v>Bihar</v>
      </c>
      <c r="P267" t="s">
        <v>144</v>
      </c>
      <c r="Q267" t="str">
        <f t="shared" si="55"/>
        <v>Patna</v>
      </c>
      <c r="R267" t="s">
        <v>39</v>
      </c>
      <c r="S267" t="str">
        <f t="shared" si="56"/>
        <v>Furniture</v>
      </c>
      <c r="T267" t="s">
        <v>156</v>
      </c>
      <c r="U267" t="str">
        <f t="shared" si="57"/>
        <v>Bookcases</v>
      </c>
      <c r="V267" t="s">
        <v>917</v>
      </c>
      <c r="X267" t="s">
        <v>42</v>
      </c>
      <c r="Y267" t="str">
        <f t="shared" si="58"/>
        <v>Same Day</v>
      </c>
      <c r="Z267">
        <v>1</v>
      </c>
      <c r="AA267">
        <v>582.37</v>
      </c>
      <c r="AB267">
        <v>0.15</v>
      </c>
      <c r="AC267">
        <v>495.01</v>
      </c>
      <c r="AD267">
        <v>285.13</v>
      </c>
      <c r="AE267">
        <v>209.88</v>
      </c>
      <c r="AF267" t="s">
        <v>100</v>
      </c>
      <c r="AG267" t="str">
        <f t="shared" si="59"/>
        <v>Refunded</v>
      </c>
      <c r="AH267" t="s">
        <v>66</v>
      </c>
    </row>
    <row r="268" spans="1:34">
      <c r="A268" t="s">
        <v>918</v>
      </c>
      <c r="B268">
        <f>COUNTIF($A:$A,A268)</f>
        <v>1</v>
      </c>
      <c r="C268" t="str">
        <f t="shared" si="50"/>
        <v>Unique</v>
      </c>
      <c r="D268" s="4">
        <v>45721</v>
      </c>
      <c r="E268">
        <f t="shared" si="51"/>
        <v>214</v>
      </c>
      <c r="F268" s="4">
        <v>45935</v>
      </c>
      <c r="G268" t="s">
        <v>919</v>
      </c>
      <c r="H268" t="s">
        <v>77</v>
      </c>
      <c r="I268" t="str">
        <f t="shared" si="52"/>
        <v>Neha Gupta</v>
      </c>
      <c r="J268" t="s">
        <v>93</v>
      </c>
      <c r="K268" t="str">
        <f t="shared" si="53"/>
        <v>Home Office</v>
      </c>
      <c r="L268" t="s">
        <v>61</v>
      </c>
      <c r="M268" t="str">
        <f t="shared" si="49"/>
        <v>West</v>
      </c>
      <c r="N268" t="s">
        <v>62</v>
      </c>
      <c r="O268" t="str">
        <f t="shared" si="54"/>
        <v>Maharashtra</v>
      </c>
      <c r="P268" t="s">
        <v>63</v>
      </c>
      <c r="Q268" t="str">
        <f t="shared" si="55"/>
        <v>Mumbai</v>
      </c>
      <c r="R268" t="s">
        <v>26</v>
      </c>
      <c r="S268" t="str">
        <f t="shared" si="56"/>
        <v>Office Supplies</v>
      </c>
      <c r="T268" t="s">
        <v>122</v>
      </c>
      <c r="U268" t="str">
        <f t="shared" si="57"/>
        <v>Storage</v>
      </c>
      <c r="V268" t="s">
        <v>920</v>
      </c>
      <c r="X268" t="s">
        <v>29</v>
      </c>
      <c r="Y268" t="str">
        <f t="shared" si="58"/>
        <v>Second Class</v>
      </c>
      <c r="Z268">
        <v>3</v>
      </c>
      <c r="AA268">
        <v>4339.24</v>
      </c>
      <c r="AB268">
        <v>0</v>
      </c>
      <c r="AC268">
        <v>13017.72</v>
      </c>
      <c r="AD268">
        <v>10170.57</v>
      </c>
      <c r="AE268">
        <v>2847.15</v>
      </c>
      <c r="AF268" t="s">
        <v>30</v>
      </c>
      <c r="AG268" t="str">
        <f t="shared" si="59"/>
        <v>Paid</v>
      </c>
      <c r="AH268" t="s">
        <v>31</v>
      </c>
    </row>
    <row r="269" spans="1:34">
      <c r="A269" t="s">
        <v>921</v>
      </c>
      <c r="B269">
        <f>COUNTIF($A:$A,A269)</f>
        <v>1</v>
      </c>
      <c r="C269" t="str">
        <f t="shared" si="50"/>
        <v>Unique</v>
      </c>
      <c r="D269" s="4">
        <v>45805</v>
      </c>
      <c r="E269">
        <f t="shared" si="51"/>
        <v>-52</v>
      </c>
      <c r="F269" s="4">
        <v>45753</v>
      </c>
      <c r="G269" t="s">
        <v>922</v>
      </c>
      <c r="H269" t="s">
        <v>160</v>
      </c>
      <c r="I269" t="str">
        <f t="shared" si="52"/>
        <v>Diya Patel</v>
      </c>
      <c r="J269" t="s">
        <v>88</v>
      </c>
      <c r="K269" t="str">
        <f t="shared" si="53"/>
        <v>Corporate</v>
      </c>
      <c r="L269" t="s">
        <v>36</v>
      </c>
      <c r="M269" t="str">
        <f t="shared" si="49"/>
        <v>East</v>
      </c>
      <c r="N269" t="s">
        <v>227</v>
      </c>
      <c r="O269" t="str">
        <f t="shared" si="54"/>
        <v>Jharkhand</v>
      </c>
      <c r="P269" t="s">
        <v>228</v>
      </c>
      <c r="Q269" t="str">
        <f t="shared" si="55"/>
        <v>Ranchi</v>
      </c>
      <c r="R269" t="s">
        <v>39</v>
      </c>
      <c r="S269" t="str">
        <f t="shared" si="56"/>
        <v>Furniture</v>
      </c>
      <c r="T269" t="s">
        <v>55</v>
      </c>
      <c r="U269" t="str">
        <f t="shared" si="57"/>
        <v>Furnishings</v>
      </c>
      <c r="V269" t="s">
        <v>923</v>
      </c>
      <c r="X269" t="s">
        <v>48</v>
      </c>
      <c r="Y269" t="str">
        <f t="shared" si="58"/>
        <v>First Class</v>
      </c>
      <c r="Z269">
        <v>4</v>
      </c>
      <c r="AA269">
        <v>261.8</v>
      </c>
      <c r="AB269">
        <v>0.25</v>
      </c>
      <c r="AC269">
        <v>785.4</v>
      </c>
      <c r="AD269">
        <v>557.22</v>
      </c>
      <c r="AE269">
        <v>228.18</v>
      </c>
      <c r="AF269" t="s">
        <v>30</v>
      </c>
      <c r="AG269" t="str">
        <f t="shared" si="59"/>
        <v>Paid</v>
      </c>
      <c r="AH269" t="s">
        <v>31</v>
      </c>
    </row>
    <row r="270" spans="1:34">
      <c r="A270" t="s">
        <v>924</v>
      </c>
      <c r="B270">
        <f>COUNTIF($A:$A,A270)</f>
        <v>1</v>
      </c>
      <c r="C270" t="str">
        <f t="shared" si="50"/>
        <v>Unique</v>
      </c>
      <c r="D270" s="4">
        <v>45886</v>
      </c>
      <c r="E270">
        <f t="shared" si="51"/>
        <v>0</v>
      </c>
      <c r="F270" s="4">
        <v>45886</v>
      </c>
      <c r="G270" t="s">
        <v>925</v>
      </c>
      <c r="H270" t="s">
        <v>126</v>
      </c>
      <c r="I270" t="str">
        <f t="shared" si="52"/>
        <v>Aarav Sharma</v>
      </c>
      <c r="J270" t="s">
        <v>93</v>
      </c>
      <c r="K270" t="str">
        <f t="shared" si="53"/>
        <v>Home Office</v>
      </c>
      <c r="L270" t="s">
        <v>23</v>
      </c>
      <c r="M270" t="str">
        <f t="shared" si="49"/>
        <v>North</v>
      </c>
      <c r="N270" t="s">
        <v>120</v>
      </c>
      <c r="O270" t="str">
        <f t="shared" si="54"/>
        <v>Punjab</v>
      </c>
      <c r="P270" t="s">
        <v>121</v>
      </c>
      <c r="Q270" t="str">
        <f t="shared" si="55"/>
        <v>Ludhiana</v>
      </c>
      <c r="R270" t="s">
        <v>72</v>
      </c>
      <c r="S270" t="str">
        <f t="shared" si="56"/>
        <v>Technology</v>
      </c>
      <c r="T270" t="s">
        <v>73</v>
      </c>
      <c r="U270" t="str">
        <f t="shared" si="57"/>
        <v>Accessories</v>
      </c>
      <c r="V270" t="s">
        <v>926</v>
      </c>
      <c r="X270" t="s">
        <v>48</v>
      </c>
      <c r="Y270" t="str">
        <f t="shared" si="58"/>
        <v>First Class</v>
      </c>
      <c r="Z270">
        <v>7</v>
      </c>
      <c r="AA270">
        <v>632.20000000000005</v>
      </c>
      <c r="AB270">
        <v>0.25</v>
      </c>
      <c r="AC270">
        <v>3319.05</v>
      </c>
      <c r="AD270">
        <v>2124.6</v>
      </c>
      <c r="AE270">
        <v>1194.45</v>
      </c>
      <c r="AF270" t="s">
        <v>30</v>
      </c>
      <c r="AG270" t="str">
        <f t="shared" si="59"/>
        <v>Paid</v>
      </c>
      <c r="AH270" t="s">
        <v>31</v>
      </c>
    </row>
    <row r="271" spans="1:34">
      <c r="A271" t="s">
        <v>927</v>
      </c>
      <c r="B271">
        <f>COUNTIF($A:$A,A271)</f>
        <v>1</v>
      </c>
      <c r="C271" t="str">
        <f t="shared" si="50"/>
        <v>Unique</v>
      </c>
      <c r="D271" s="4">
        <v>45698</v>
      </c>
      <c r="E271">
        <f t="shared" si="51"/>
        <v>2</v>
      </c>
      <c r="F271" s="4">
        <v>45700</v>
      </c>
      <c r="G271" t="s">
        <v>928</v>
      </c>
      <c r="H271" t="s">
        <v>116</v>
      </c>
      <c r="I271" t="str">
        <f t="shared" si="52"/>
        <v>Rahul Verma</v>
      </c>
      <c r="J271" t="s">
        <v>35</v>
      </c>
      <c r="K271" t="str">
        <f t="shared" si="53"/>
        <v>Small Business</v>
      </c>
      <c r="L271" t="s">
        <v>61</v>
      </c>
      <c r="M271" t="str">
        <f t="shared" si="49"/>
        <v>West</v>
      </c>
      <c r="N271" t="s">
        <v>24</v>
      </c>
      <c r="O271" t="str">
        <f t="shared" si="54"/>
        <v>Rajasthan</v>
      </c>
      <c r="P271" t="s">
        <v>107</v>
      </c>
      <c r="Q271" t="str">
        <f t="shared" si="55"/>
        <v>Udaipur</v>
      </c>
      <c r="R271" t="s">
        <v>39</v>
      </c>
      <c r="S271" t="str">
        <f t="shared" si="56"/>
        <v>Furniture</v>
      </c>
      <c r="T271" t="s">
        <v>40</v>
      </c>
      <c r="U271" t="str">
        <f t="shared" si="57"/>
        <v>Tables</v>
      </c>
      <c r="V271" t="s">
        <v>929</v>
      </c>
      <c r="X271" t="s">
        <v>42</v>
      </c>
      <c r="Y271" t="str">
        <f t="shared" si="58"/>
        <v>Same Day</v>
      </c>
      <c r="Z271">
        <v>1</v>
      </c>
      <c r="AA271">
        <v>1925.86</v>
      </c>
      <c r="AB271">
        <v>0</v>
      </c>
      <c r="AC271">
        <v>1925.86</v>
      </c>
      <c r="AD271">
        <v>1321.89</v>
      </c>
      <c r="AE271">
        <v>603.97</v>
      </c>
      <c r="AF271" t="s">
        <v>30</v>
      </c>
      <c r="AG271" t="str">
        <f t="shared" si="59"/>
        <v>Paid</v>
      </c>
      <c r="AH271" t="s">
        <v>31</v>
      </c>
    </row>
    <row r="272" spans="1:34">
      <c r="A272" t="s">
        <v>930</v>
      </c>
      <c r="B272">
        <f>COUNTIF($A:$A,A272)</f>
        <v>1</v>
      </c>
      <c r="C272" t="str">
        <f t="shared" si="50"/>
        <v>Unique</v>
      </c>
      <c r="D272" s="4">
        <v>45303</v>
      </c>
      <c r="E272">
        <f t="shared" si="51"/>
        <v>1</v>
      </c>
      <c r="F272" s="4">
        <v>45304</v>
      </c>
      <c r="G272" t="s">
        <v>931</v>
      </c>
      <c r="H272" t="s">
        <v>87</v>
      </c>
      <c r="I272" t="str">
        <f t="shared" si="52"/>
        <v>Aditi Sen</v>
      </c>
      <c r="J272" t="s">
        <v>88</v>
      </c>
      <c r="K272" t="str">
        <f t="shared" si="53"/>
        <v>Corporate</v>
      </c>
      <c r="L272" t="s">
        <v>23</v>
      </c>
      <c r="M272" t="str">
        <f t="shared" si="49"/>
        <v>North</v>
      </c>
      <c r="N272" t="s">
        <v>134</v>
      </c>
      <c r="O272" t="str">
        <f t="shared" si="54"/>
        <v>Uttar Pradesh</v>
      </c>
      <c r="P272" t="s">
        <v>135</v>
      </c>
      <c r="Q272" t="str">
        <f t="shared" si="55"/>
        <v>Noida</v>
      </c>
      <c r="R272" t="s">
        <v>72</v>
      </c>
      <c r="S272" t="str">
        <f t="shared" si="56"/>
        <v>Technology</v>
      </c>
      <c r="T272" t="s">
        <v>273</v>
      </c>
      <c r="U272" t="str">
        <f t="shared" si="57"/>
        <v>Machines</v>
      </c>
      <c r="V272" t="s">
        <v>932</v>
      </c>
      <c r="X272" t="s">
        <v>42</v>
      </c>
      <c r="Y272" t="str">
        <f t="shared" si="58"/>
        <v>Same Day</v>
      </c>
      <c r="Z272">
        <v>3</v>
      </c>
      <c r="AA272">
        <v>827.44</v>
      </c>
      <c r="AB272">
        <v>0</v>
      </c>
      <c r="AC272">
        <v>2482.3200000000002</v>
      </c>
      <c r="AD272">
        <v>1520.21</v>
      </c>
      <c r="AE272">
        <v>962.11</v>
      </c>
      <c r="AF272" t="s">
        <v>30</v>
      </c>
      <c r="AG272" t="str">
        <f t="shared" si="59"/>
        <v>Paid</v>
      </c>
      <c r="AH272" t="s">
        <v>31</v>
      </c>
    </row>
    <row r="273" spans="1:34">
      <c r="A273" t="s">
        <v>933</v>
      </c>
      <c r="B273">
        <f>COUNTIF($A:$A,A273)</f>
        <v>1</v>
      </c>
      <c r="C273" t="str">
        <f t="shared" si="50"/>
        <v>Unique</v>
      </c>
      <c r="D273" s="4">
        <v>45647</v>
      </c>
      <c r="E273">
        <f t="shared" si="51"/>
        <v>4</v>
      </c>
      <c r="F273" s="4">
        <v>45651</v>
      </c>
      <c r="G273" t="s">
        <v>934</v>
      </c>
      <c r="H273" t="s">
        <v>87</v>
      </c>
      <c r="I273" t="str">
        <f t="shared" si="52"/>
        <v>Aditi Sen</v>
      </c>
      <c r="J273" t="s">
        <v>22</v>
      </c>
      <c r="K273" t="str">
        <f t="shared" si="53"/>
        <v>Consumer</v>
      </c>
      <c r="L273" t="s">
        <v>52</v>
      </c>
      <c r="M273" t="str">
        <f t="shared" si="49"/>
        <v>South</v>
      </c>
      <c r="N273" t="s">
        <v>53</v>
      </c>
      <c r="O273" t="str">
        <f t="shared" si="54"/>
        <v>Telangana</v>
      </c>
      <c r="P273" t="s">
        <v>54</v>
      </c>
      <c r="Q273" t="str">
        <f t="shared" si="55"/>
        <v>Hyderabad</v>
      </c>
      <c r="R273" t="s">
        <v>26</v>
      </c>
      <c r="S273" t="str">
        <f t="shared" si="56"/>
        <v>Office Supplies</v>
      </c>
      <c r="T273" t="s">
        <v>151</v>
      </c>
      <c r="U273" t="str">
        <f t="shared" si="57"/>
        <v>Binders</v>
      </c>
      <c r="V273" t="s">
        <v>935</v>
      </c>
      <c r="X273" t="s">
        <v>57</v>
      </c>
      <c r="Y273" t="str">
        <f t="shared" si="58"/>
        <v>Standard Class</v>
      </c>
      <c r="Z273">
        <v>7</v>
      </c>
      <c r="AA273">
        <v>1667.75</v>
      </c>
      <c r="AB273">
        <v>0</v>
      </c>
      <c r="AC273">
        <v>11674.25</v>
      </c>
      <c r="AD273">
        <v>9621.19</v>
      </c>
      <c r="AE273">
        <v>2053.06</v>
      </c>
      <c r="AF273" t="s">
        <v>153</v>
      </c>
      <c r="AG273" t="str">
        <f t="shared" si="59"/>
        <v>Failed</v>
      </c>
      <c r="AH273" t="s">
        <v>66</v>
      </c>
    </row>
    <row r="274" spans="1:34">
      <c r="A274" t="s">
        <v>936</v>
      </c>
      <c r="B274">
        <f>COUNTIF($A:$A,A274)</f>
        <v>1</v>
      </c>
      <c r="C274" t="str">
        <f t="shared" si="50"/>
        <v>Unique</v>
      </c>
      <c r="D274" s="4">
        <v>45522</v>
      </c>
      <c r="E274">
        <f t="shared" si="51"/>
        <v>6</v>
      </c>
      <c r="F274" s="4">
        <v>45528</v>
      </c>
      <c r="G274" t="s">
        <v>937</v>
      </c>
      <c r="H274" t="s">
        <v>51</v>
      </c>
      <c r="I274" t="str">
        <f t="shared" si="52"/>
        <v>Arjun Bose</v>
      </c>
      <c r="J274" t="s">
        <v>22</v>
      </c>
      <c r="K274" t="str">
        <f t="shared" si="53"/>
        <v>Consumer</v>
      </c>
      <c r="L274" t="s">
        <v>52</v>
      </c>
      <c r="M274" t="str">
        <f t="shared" si="49"/>
        <v>South</v>
      </c>
      <c r="N274" t="s">
        <v>82</v>
      </c>
      <c r="O274" t="str">
        <f t="shared" si="54"/>
        <v>Andhra Pradesh</v>
      </c>
      <c r="P274" t="s">
        <v>83</v>
      </c>
      <c r="Q274" t="str">
        <f t="shared" si="55"/>
        <v>Vijayawada</v>
      </c>
      <c r="R274" t="s">
        <v>39</v>
      </c>
      <c r="S274" t="str">
        <f t="shared" si="56"/>
        <v>Furniture</v>
      </c>
      <c r="T274" t="s">
        <v>64</v>
      </c>
      <c r="U274" t="str">
        <f t="shared" si="57"/>
        <v>Chairs</v>
      </c>
      <c r="V274" t="s">
        <v>938</v>
      </c>
      <c r="X274" t="s">
        <v>48</v>
      </c>
      <c r="Y274" t="str">
        <f t="shared" si="58"/>
        <v>First Class</v>
      </c>
      <c r="Z274">
        <v>7</v>
      </c>
      <c r="AA274">
        <v>557.21</v>
      </c>
      <c r="AB274">
        <v>0.1</v>
      </c>
      <c r="AC274">
        <v>3510.42</v>
      </c>
      <c r="AD274">
        <v>2191.5</v>
      </c>
      <c r="AE274">
        <v>1213.48</v>
      </c>
      <c r="AF274" t="s">
        <v>30</v>
      </c>
      <c r="AG274" t="str">
        <f t="shared" si="59"/>
        <v>Paid</v>
      </c>
      <c r="AH274" t="s">
        <v>31</v>
      </c>
    </row>
    <row r="275" spans="1:34">
      <c r="A275" t="s">
        <v>939</v>
      </c>
      <c r="B275">
        <f>COUNTIF($A:$A,A275)</f>
        <v>1</v>
      </c>
      <c r="C275" t="str">
        <f t="shared" si="50"/>
        <v>Unique</v>
      </c>
      <c r="D275" s="4">
        <v>45701</v>
      </c>
      <c r="E275">
        <f t="shared" si="51"/>
        <v>0</v>
      </c>
      <c r="F275" s="4">
        <v>45701</v>
      </c>
      <c r="G275" t="s">
        <v>940</v>
      </c>
      <c r="H275" t="s">
        <v>45</v>
      </c>
      <c r="I275" t="str">
        <f t="shared" si="52"/>
        <v>Isha Nair</v>
      </c>
      <c r="J275" t="s">
        <v>22</v>
      </c>
      <c r="K275" t="str">
        <f t="shared" si="53"/>
        <v>Consumer</v>
      </c>
      <c r="L275" t="s">
        <v>36</v>
      </c>
      <c r="M275" t="str">
        <f t="shared" si="49"/>
        <v>East</v>
      </c>
      <c r="N275" t="s">
        <v>143</v>
      </c>
      <c r="O275" t="str">
        <f t="shared" si="54"/>
        <v>Bihar</v>
      </c>
      <c r="P275" t="s">
        <v>144</v>
      </c>
      <c r="Q275" t="str">
        <f t="shared" si="55"/>
        <v>Patna</v>
      </c>
      <c r="R275" t="s">
        <v>26</v>
      </c>
      <c r="S275" t="str">
        <f t="shared" si="56"/>
        <v>Office Supplies</v>
      </c>
      <c r="T275" t="s">
        <v>27</v>
      </c>
      <c r="U275" t="str">
        <f t="shared" si="57"/>
        <v>Paper</v>
      </c>
      <c r="V275" t="s">
        <v>941</v>
      </c>
      <c r="X275" t="s">
        <v>29</v>
      </c>
      <c r="Y275" t="str">
        <f t="shared" si="58"/>
        <v>Second Class</v>
      </c>
      <c r="Z275">
        <v>9</v>
      </c>
      <c r="AA275">
        <v>2521.63</v>
      </c>
      <c r="AB275">
        <v>0</v>
      </c>
      <c r="AC275">
        <v>22694.67</v>
      </c>
      <c r="AD275">
        <v>15405.36</v>
      </c>
      <c r="AE275">
        <v>7289.31</v>
      </c>
      <c r="AF275" t="s">
        <v>30</v>
      </c>
      <c r="AG275" t="str">
        <f t="shared" si="59"/>
        <v>Paid</v>
      </c>
      <c r="AH275" t="s">
        <v>101</v>
      </c>
    </row>
    <row r="276" spans="1:34">
      <c r="A276" t="s">
        <v>942</v>
      </c>
      <c r="B276">
        <f>COUNTIF($A:$A,A276)</f>
        <v>1</v>
      </c>
      <c r="C276" t="str">
        <f t="shared" si="50"/>
        <v>Unique</v>
      </c>
      <c r="D276" s="4">
        <v>45477</v>
      </c>
      <c r="E276">
        <f t="shared" si="51"/>
        <v>-81</v>
      </c>
      <c r="F276" s="4">
        <v>45396</v>
      </c>
      <c r="G276" t="s">
        <v>943</v>
      </c>
      <c r="H276" t="s">
        <v>139</v>
      </c>
      <c r="I276" t="str">
        <f t="shared" si="52"/>
        <v>Rohan Mehta</v>
      </c>
      <c r="J276" t="s">
        <v>22</v>
      </c>
      <c r="K276" t="str">
        <f t="shared" si="53"/>
        <v>Consumer</v>
      </c>
      <c r="L276" t="s">
        <v>52</v>
      </c>
      <c r="M276" t="str">
        <f t="shared" si="49"/>
        <v>South</v>
      </c>
      <c r="N276" t="s">
        <v>183</v>
      </c>
      <c r="O276" t="str">
        <f t="shared" si="54"/>
        <v>Kerala</v>
      </c>
      <c r="P276" t="s">
        <v>184</v>
      </c>
      <c r="Q276" t="str">
        <f t="shared" si="55"/>
        <v>Kochi</v>
      </c>
      <c r="R276" t="s">
        <v>72</v>
      </c>
      <c r="S276" t="str">
        <f t="shared" si="56"/>
        <v>Technology</v>
      </c>
      <c r="T276" t="s">
        <v>78</v>
      </c>
      <c r="U276" t="str">
        <f t="shared" si="57"/>
        <v>Copiers</v>
      </c>
      <c r="V276" t="s">
        <v>944</v>
      </c>
      <c r="X276" t="s">
        <v>57</v>
      </c>
      <c r="Y276" t="str">
        <f t="shared" si="58"/>
        <v>Standard Class</v>
      </c>
      <c r="Z276">
        <v>6</v>
      </c>
      <c r="AA276">
        <v>4246.71</v>
      </c>
      <c r="AB276">
        <v>0.15</v>
      </c>
      <c r="AC276">
        <v>21658.22</v>
      </c>
      <c r="AD276">
        <v>15490.69</v>
      </c>
      <c r="AE276">
        <v>6167.53</v>
      </c>
      <c r="AF276" t="s">
        <v>153</v>
      </c>
      <c r="AG276" t="str">
        <f t="shared" si="59"/>
        <v>Failed</v>
      </c>
      <c r="AH276" t="s">
        <v>101</v>
      </c>
    </row>
    <row r="277" spans="1:34">
      <c r="A277" t="s">
        <v>945</v>
      </c>
      <c r="B277">
        <f>COUNTIF($A:$A,A277)</f>
        <v>1</v>
      </c>
      <c r="C277" t="str">
        <f t="shared" si="50"/>
        <v>Unique</v>
      </c>
      <c r="D277" s="4">
        <v>45337</v>
      </c>
      <c r="E277">
        <f t="shared" si="51"/>
        <v>7</v>
      </c>
      <c r="F277" s="4">
        <v>45344</v>
      </c>
      <c r="G277" t="s">
        <v>946</v>
      </c>
      <c r="H277" t="s">
        <v>112</v>
      </c>
      <c r="I277" t="str">
        <f t="shared" si="52"/>
        <v>Priya Menon</v>
      </c>
      <c r="J277" t="s">
        <v>35</v>
      </c>
      <c r="K277" t="str">
        <f t="shared" si="53"/>
        <v>Small Business</v>
      </c>
      <c r="L277" t="s">
        <v>36</v>
      </c>
      <c r="M277" t="str">
        <f t="shared" si="49"/>
        <v>East</v>
      </c>
      <c r="N277" t="s">
        <v>97</v>
      </c>
      <c r="O277" t="str">
        <f t="shared" si="54"/>
        <v>West Bengal</v>
      </c>
      <c r="P277" t="s">
        <v>98</v>
      </c>
      <c r="Q277" t="str">
        <f t="shared" si="55"/>
        <v>Kolkata</v>
      </c>
      <c r="R277" t="s">
        <v>39</v>
      </c>
      <c r="S277" t="str">
        <f t="shared" si="56"/>
        <v>Furniture</v>
      </c>
      <c r="T277" t="s">
        <v>55</v>
      </c>
      <c r="U277" t="str">
        <f t="shared" si="57"/>
        <v>Furnishings</v>
      </c>
      <c r="V277" t="s">
        <v>947</v>
      </c>
      <c r="X277" t="s">
        <v>42</v>
      </c>
      <c r="Y277" t="str">
        <f t="shared" si="58"/>
        <v>Same Day</v>
      </c>
      <c r="Z277">
        <v>1</v>
      </c>
      <c r="AA277">
        <v>980.51</v>
      </c>
      <c r="AB277">
        <v>0</v>
      </c>
      <c r="AC277">
        <v>980.51</v>
      </c>
      <c r="AD277">
        <v>660.92</v>
      </c>
      <c r="AE277">
        <v>319.58999999999997</v>
      </c>
      <c r="AF277" t="s">
        <v>30</v>
      </c>
      <c r="AG277" t="str">
        <f t="shared" si="59"/>
        <v>Paid</v>
      </c>
      <c r="AH277" t="s">
        <v>31</v>
      </c>
    </row>
    <row r="278" spans="1:34">
      <c r="A278" t="s">
        <v>948</v>
      </c>
      <c r="B278">
        <f>COUNTIF($A:$A,A278)</f>
        <v>1</v>
      </c>
      <c r="C278" t="str">
        <f t="shared" si="50"/>
        <v>Unique</v>
      </c>
      <c r="D278" s="4">
        <v>45313</v>
      </c>
      <c r="E278">
        <f t="shared" si="51"/>
        <v>1</v>
      </c>
      <c r="F278" s="4">
        <v>45314</v>
      </c>
      <c r="G278" t="s">
        <v>949</v>
      </c>
      <c r="H278" t="s">
        <v>126</v>
      </c>
      <c r="I278" t="str">
        <f t="shared" si="52"/>
        <v>Aarav Sharma</v>
      </c>
      <c r="J278" t="s">
        <v>35</v>
      </c>
      <c r="K278" t="str">
        <f t="shared" si="53"/>
        <v>Small Business</v>
      </c>
      <c r="M278" t="s">
        <v>2828</v>
      </c>
      <c r="N278" t="s">
        <v>164</v>
      </c>
      <c r="O278" t="str">
        <f t="shared" si="54"/>
        <v>Assam</v>
      </c>
      <c r="P278" t="s">
        <v>165</v>
      </c>
      <c r="Q278" t="str">
        <f t="shared" si="55"/>
        <v>Guwahati</v>
      </c>
      <c r="R278" t="s">
        <v>39</v>
      </c>
      <c r="S278" t="str">
        <f t="shared" si="56"/>
        <v>Furniture</v>
      </c>
      <c r="T278" t="s">
        <v>64</v>
      </c>
      <c r="U278" t="str">
        <f t="shared" si="57"/>
        <v>Chairs</v>
      </c>
      <c r="V278" t="s">
        <v>950</v>
      </c>
      <c r="X278" t="s">
        <v>29</v>
      </c>
      <c r="Y278" t="str">
        <f t="shared" si="58"/>
        <v>Second Class</v>
      </c>
      <c r="Z278">
        <v>6</v>
      </c>
      <c r="AA278">
        <v>3391.53</v>
      </c>
      <c r="AB278">
        <v>-0.14000000000000001</v>
      </c>
      <c r="AC278">
        <v>15261.89</v>
      </c>
      <c r="AD278">
        <v>8413.5300000000007</v>
      </c>
      <c r="AE278">
        <v>6848.36</v>
      </c>
      <c r="AF278" t="s">
        <v>30</v>
      </c>
      <c r="AG278" t="str">
        <f t="shared" si="59"/>
        <v>Paid</v>
      </c>
      <c r="AH278" t="s">
        <v>31</v>
      </c>
    </row>
    <row r="279" spans="1:34">
      <c r="A279" t="s">
        <v>951</v>
      </c>
      <c r="B279">
        <f>COUNTIF($A:$A,A279)</f>
        <v>1</v>
      </c>
      <c r="C279" t="str">
        <f t="shared" si="50"/>
        <v>Unique</v>
      </c>
      <c r="D279" s="4">
        <v>45753</v>
      </c>
      <c r="E279">
        <f t="shared" si="51"/>
        <v>0</v>
      </c>
      <c r="F279" s="4">
        <v>45753</v>
      </c>
      <c r="G279" t="s">
        <v>800</v>
      </c>
      <c r="H279" t="s">
        <v>45</v>
      </c>
      <c r="I279" t="str">
        <f t="shared" si="52"/>
        <v>Isha Nair</v>
      </c>
      <c r="J279" t="s">
        <v>88</v>
      </c>
      <c r="K279" t="str">
        <f t="shared" si="53"/>
        <v>Corporate</v>
      </c>
      <c r="L279" t="s">
        <v>23</v>
      </c>
      <c r="M279" t="str">
        <f t="shared" ref="M279:M310" si="60">PROPER(TRIM(L279))</f>
        <v>North</v>
      </c>
      <c r="N279" t="s">
        <v>235</v>
      </c>
      <c r="O279" t="str">
        <f t="shared" si="54"/>
        <v>Haryana</v>
      </c>
      <c r="P279" t="s">
        <v>236</v>
      </c>
      <c r="Q279" t="str">
        <f t="shared" si="55"/>
        <v>Gurugram</v>
      </c>
      <c r="R279" t="s">
        <v>72</v>
      </c>
      <c r="S279" t="str">
        <f t="shared" si="56"/>
        <v>Technology</v>
      </c>
      <c r="T279" t="s">
        <v>73</v>
      </c>
      <c r="U279" t="str">
        <f t="shared" si="57"/>
        <v>Accessories</v>
      </c>
      <c r="V279" t="s">
        <v>952</v>
      </c>
      <c r="X279" t="s">
        <v>29</v>
      </c>
      <c r="Y279" t="str">
        <f t="shared" si="58"/>
        <v>Second Class</v>
      </c>
      <c r="Z279">
        <v>1</v>
      </c>
      <c r="AA279">
        <v>2133.73</v>
      </c>
      <c r="AB279">
        <v>0.15</v>
      </c>
      <c r="AC279">
        <v>2008.39</v>
      </c>
      <c r="AD279">
        <v>1002.57</v>
      </c>
      <c r="AE279">
        <v>811.1</v>
      </c>
      <c r="AF279" t="s">
        <v>109</v>
      </c>
      <c r="AG279" t="str">
        <f t="shared" si="59"/>
        <v>Pending</v>
      </c>
      <c r="AH279" t="s">
        <v>66</v>
      </c>
    </row>
    <row r="280" spans="1:34">
      <c r="A280" t="s">
        <v>953</v>
      </c>
      <c r="B280">
        <f>COUNTIF($A:$A,A280)</f>
        <v>1</v>
      </c>
      <c r="C280" t="str">
        <f t="shared" si="50"/>
        <v>Unique</v>
      </c>
      <c r="D280" s="4">
        <v>45841</v>
      </c>
      <c r="E280">
        <f t="shared" si="51"/>
        <v>-111</v>
      </c>
      <c r="F280" s="4">
        <v>45730</v>
      </c>
      <c r="G280" t="s">
        <v>954</v>
      </c>
      <c r="H280" t="s">
        <v>112</v>
      </c>
      <c r="I280" t="str">
        <f t="shared" si="52"/>
        <v>Priya Menon</v>
      </c>
      <c r="J280" t="s">
        <v>35</v>
      </c>
      <c r="K280" t="str">
        <f t="shared" si="53"/>
        <v>Small Business</v>
      </c>
      <c r="L280" t="s">
        <v>23</v>
      </c>
      <c r="M280" t="str">
        <f t="shared" si="60"/>
        <v>North</v>
      </c>
      <c r="N280" t="s">
        <v>349</v>
      </c>
      <c r="O280" t="str">
        <f t="shared" si="54"/>
        <v>Delhi</v>
      </c>
      <c r="P280" t="s">
        <v>350</v>
      </c>
      <c r="Q280" t="str">
        <f t="shared" si="55"/>
        <v>New Delhi</v>
      </c>
      <c r="R280" t="s">
        <v>72</v>
      </c>
      <c r="S280" t="str">
        <f t="shared" si="56"/>
        <v>Technology</v>
      </c>
      <c r="T280" t="s">
        <v>73</v>
      </c>
      <c r="U280" t="str">
        <f t="shared" si="57"/>
        <v>Accessories</v>
      </c>
      <c r="V280" t="s">
        <v>955</v>
      </c>
      <c r="X280" t="s">
        <v>42</v>
      </c>
      <c r="Y280" t="str">
        <f t="shared" si="58"/>
        <v>Same Day</v>
      </c>
      <c r="Z280">
        <v>1</v>
      </c>
      <c r="AA280">
        <v>3979.64</v>
      </c>
      <c r="AB280">
        <v>0.05</v>
      </c>
      <c r="AC280">
        <v>3780.66</v>
      </c>
      <c r="AD280">
        <v>2148.31</v>
      </c>
      <c r="AE280">
        <v>1632.35</v>
      </c>
      <c r="AF280" t="s">
        <v>30</v>
      </c>
      <c r="AG280" t="str">
        <f t="shared" si="59"/>
        <v>Paid</v>
      </c>
      <c r="AH280" t="s">
        <v>101</v>
      </c>
    </row>
    <row r="281" spans="1:34">
      <c r="A281" t="s">
        <v>956</v>
      </c>
      <c r="B281">
        <f>COUNTIF($A:$A,A281)</f>
        <v>1</v>
      </c>
      <c r="C281" t="str">
        <f t="shared" si="50"/>
        <v>Unique</v>
      </c>
      <c r="D281" s="4">
        <v>45391</v>
      </c>
      <c r="E281">
        <f t="shared" si="51"/>
        <v>178</v>
      </c>
      <c r="F281" s="4">
        <v>45569</v>
      </c>
      <c r="G281" t="s">
        <v>957</v>
      </c>
      <c r="H281" t="s">
        <v>139</v>
      </c>
      <c r="I281" t="str">
        <f t="shared" si="52"/>
        <v>Rohan Mehta</v>
      </c>
      <c r="J281" t="s">
        <v>35</v>
      </c>
      <c r="K281" t="str">
        <f t="shared" si="53"/>
        <v>Small Business</v>
      </c>
      <c r="L281" t="s">
        <v>61</v>
      </c>
      <c r="M281" t="str">
        <f t="shared" si="60"/>
        <v>West</v>
      </c>
      <c r="N281" t="s">
        <v>62</v>
      </c>
      <c r="O281" t="str">
        <f t="shared" si="54"/>
        <v>Maharashtra</v>
      </c>
      <c r="P281" t="s">
        <v>63</v>
      </c>
      <c r="Q281" t="str">
        <f t="shared" si="55"/>
        <v>Mumbai</v>
      </c>
      <c r="R281" t="s">
        <v>26</v>
      </c>
      <c r="S281" t="str">
        <f t="shared" si="56"/>
        <v>Office Supplies</v>
      </c>
      <c r="T281" t="s">
        <v>122</v>
      </c>
      <c r="U281" t="str">
        <f t="shared" si="57"/>
        <v>Storage</v>
      </c>
      <c r="V281" t="s">
        <v>958</v>
      </c>
      <c r="X281" t="s">
        <v>48</v>
      </c>
      <c r="Y281" t="str">
        <f t="shared" si="58"/>
        <v>First Class</v>
      </c>
      <c r="Z281">
        <v>1</v>
      </c>
      <c r="AA281">
        <v>4359.12</v>
      </c>
      <c r="AB281">
        <v>0.05</v>
      </c>
      <c r="AC281">
        <v>4141.16</v>
      </c>
      <c r="AD281">
        <v>2754.17</v>
      </c>
      <c r="AE281">
        <v>1386.99</v>
      </c>
      <c r="AF281" t="s">
        <v>30</v>
      </c>
      <c r="AG281" t="str">
        <f t="shared" si="59"/>
        <v>Paid</v>
      </c>
      <c r="AH281" t="s">
        <v>31</v>
      </c>
    </row>
    <row r="282" spans="1:34">
      <c r="A282" t="s">
        <v>959</v>
      </c>
      <c r="B282">
        <f>COUNTIF($A:$A,A282)</f>
        <v>1</v>
      </c>
      <c r="C282" t="str">
        <f t="shared" si="50"/>
        <v>Unique</v>
      </c>
      <c r="D282" s="4">
        <v>45649</v>
      </c>
      <c r="E282">
        <f t="shared" si="51"/>
        <v>3</v>
      </c>
      <c r="F282" s="4">
        <v>45652</v>
      </c>
      <c r="G282" t="s">
        <v>960</v>
      </c>
      <c r="H282" t="s">
        <v>87</v>
      </c>
      <c r="I282" t="str">
        <f t="shared" si="52"/>
        <v>Aditi Sen</v>
      </c>
      <c r="J282" t="s">
        <v>22</v>
      </c>
      <c r="K282" t="str">
        <f t="shared" si="53"/>
        <v>Consumer</v>
      </c>
      <c r="L282" t="s">
        <v>52</v>
      </c>
      <c r="M282" t="str">
        <f t="shared" si="60"/>
        <v>South</v>
      </c>
      <c r="N282" t="s">
        <v>173</v>
      </c>
      <c r="O282" t="str">
        <f t="shared" si="54"/>
        <v>Karnataka</v>
      </c>
      <c r="P282" t="s">
        <v>174</v>
      </c>
      <c r="Q282" t="str">
        <f t="shared" si="55"/>
        <v>Bengaluru</v>
      </c>
      <c r="R282" t="s">
        <v>72</v>
      </c>
      <c r="S282" t="str">
        <f t="shared" si="56"/>
        <v>Technology</v>
      </c>
      <c r="T282" t="s">
        <v>78</v>
      </c>
      <c r="U282" t="str">
        <f t="shared" si="57"/>
        <v>Copiers</v>
      </c>
      <c r="V282" t="s">
        <v>961</v>
      </c>
      <c r="X282" t="s">
        <v>57</v>
      </c>
      <c r="Y282" t="str">
        <f t="shared" si="58"/>
        <v>Standard Class</v>
      </c>
      <c r="Z282">
        <v>9</v>
      </c>
      <c r="AA282">
        <v>993.67</v>
      </c>
      <c r="AB282">
        <v>0</v>
      </c>
      <c r="AC282">
        <v>8943.0300000000007</v>
      </c>
      <c r="AD282">
        <v>5165.38</v>
      </c>
      <c r="AE282">
        <v>3777.65</v>
      </c>
      <c r="AF282" t="s">
        <v>30</v>
      </c>
      <c r="AG282" t="str">
        <f t="shared" si="59"/>
        <v>Paid</v>
      </c>
      <c r="AH282" t="s">
        <v>31</v>
      </c>
    </row>
    <row r="283" spans="1:34">
      <c r="A283" t="s">
        <v>962</v>
      </c>
      <c r="B283">
        <f>COUNTIF($A:$A,A283)</f>
        <v>1</v>
      </c>
      <c r="C283" t="str">
        <f t="shared" si="50"/>
        <v>Unique</v>
      </c>
      <c r="D283" s="4">
        <v>45863</v>
      </c>
      <c r="E283">
        <f t="shared" si="51"/>
        <v>2</v>
      </c>
      <c r="F283" s="4">
        <v>45865</v>
      </c>
      <c r="G283" t="s">
        <v>963</v>
      </c>
      <c r="H283" t="s">
        <v>263</v>
      </c>
      <c r="I283" t="str">
        <f t="shared" si="52"/>
        <v>Kabir Singh</v>
      </c>
      <c r="J283" t="s">
        <v>22</v>
      </c>
      <c r="K283" t="str">
        <f t="shared" si="53"/>
        <v>Consumer</v>
      </c>
      <c r="L283" t="s">
        <v>36</v>
      </c>
      <c r="M283" t="str">
        <f t="shared" si="60"/>
        <v>East</v>
      </c>
      <c r="N283" t="s">
        <v>227</v>
      </c>
      <c r="O283" t="str">
        <f t="shared" si="54"/>
        <v>Jharkhand</v>
      </c>
      <c r="P283" t="s">
        <v>228</v>
      </c>
      <c r="Q283" t="str">
        <f t="shared" si="55"/>
        <v>Ranchi</v>
      </c>
      <c r="R283" t="s">
        <v>26</v>
      </c>
      <c r="S283" t="str">
        <f t="shared" si="56"/>
        <v>Office Supplies</v>
      </c>
      <c r="T283" t="s">
        <v>151</v>
      </c>
      <c r="U283" t="str">
        <f t="shared" si="57"/>
        <v>Binders</v>
      </c>
      <c r="V283" t="s">
        <v>964</v>
      </c>
      <c r="X283" t="s">
        <v>29</v>
      </c>
      <c r="Y283" t="str">
        <f t="shared" si="58"/>
        <v>Second Class</v>
      </c>
      <c r="Z283">
        <v>6</v>
      </c>
      <c r="AA283">
        <v>3438.38</v>
      </c>
      <c r="AB283">
        <v>0.2</v>
      </c>
      <c r="AC283">
        <v>16504.22</v>
      </c>
      <c r="AD283">
        <v>11262.71</v>
      </c>
      <c r="AE283">
        <v>5241.51</v>
      </c>
      <c r="AF283" t="s">
        <v>30</v>
      </c>
      <c r="AG283" t="str">
        <f t="shared" si="59"/>
        <v>Paid</v>
      </c>
      <c r="AH283" t="s">
        <v>31</v>
      </c>
    </row>
    <row r="284" spans="1:34">
      <c r="A284" t="s">
        <v>965</v>
      </c>
      <c r="B284">
        <f>COUNTIF($A:$A,A284)</f>
        <v>1</v>
      </c>
      <c r="C284" t="str">
        <f t="shared" si="50"/>
        <v>Unique</v>
      </c>
      <c r="D284" s="4">
        <v>45301</v>
      </c>
      <c r="E284">
        <f t="shared" si="51"/>
        <v>266</v>
      </c>
      <c r="F284" s="4">
        <v>45567</v>
      </c>
      <c r="G284" t="s">
        <v>966</v>
      </c>
      <c r="H284" t="s">
        <v>21</v>
      </c>
      <c r="I284" t="str">
        <f t="shared" si="52"/>
        <v>Karan Malhotra</v>
      </c>
      <c r="J284" t="s">
        <v>93</v>
      </c>
      <c r="K284" t="str">
        <f t="shared" si="53"/>
        <v>Home Office</v>
      </c>
      <c r="L284" t="s">
        <v>36</v>
      </c>
      <c r="M284" t="str">
        <f t="shared" si="60"/>
        <v>East</v>
      </c>
      <c r="N284" t="s">
        <v>164</v>
      </c>
      <c r="O284" t="str">
        <f t="shared" si="54"/>
        <v>Assam</v>
      </c>
      <c r="P284" t="s">
        <v>165</v>
      </c>
      <c r="Q284" t="str">
        <f t="shared" si="55"/>
        <v>Guwahati</v>
      </c>
      <c r="R284" t="s">
        <v>39</v>
      </c>
      <c r="S284" t="str">
        <f t="shared" si="56"/>
        <v>Furniture</v>
      </c>
      <c r="T284" t="s">
        <v>40</v>
      </c>
      <c r="U284" t="str">
        <f t="shared" si="57"/>
        <v>Tables</v>
      </c>
      <c r="V284" t="s">
        <v>967</v>
      </c>
      <c r="X284" t="s">
        <v>29</v>
      </c>
      <c r="Y284" t="str">
        <f t="shared" si="58"/>
        <v>Second Class</v>
      </c>
      <c r="Z284">
        <v>2</v>
      </c>
      <c r="AA284">
        <v>2298</v>
      </c>
      <c r="AB284">
        <v>0</v>
      </c>
      <c r="AC284">
        <v>4596</v>
      </c>
      <c r="AD284">
        <v>3220.33</v>
      </c>
      <c r="AE284">
        <v>1375.67</v>
      </c>
      <c r="AF284" t="s">
        <v>30</v>
      </c>
      <c r="AG284" t="str">
        <f t="shared" si="59"/>
        <v>Paid</v>
      </c>
      <c r="AH284" t="s">
        <v>31</v>
      </c>
    </row>
    <row r="285" spans="1:34">
      <c r="A285" t="s">
        <v>968</v>
      </c>
      <c r="B285">
        <f>COUNTIF($A:$A,A285)</f>
        <v>1</v>
      </c>
      <c r="C285" t="str">
        <f t="shared" si="50"/>
        <v>Unique</v>
      </c>
      <c r="D285" s="4">
        <v>45729</v>
      </c>
      <c r="E285">
        <f t="shared" si="51"/>
        <v>7</v>
      </c>
      <c r="F285" s="4">
        <v>45736</v>
      </c>
      <c r="G285" t="s">
        <v>969</v>
      </c>
      <c r="H285" t="s">
        <v>69</v>
      </c>
      <c r="I285" t="str">
        <f t="shared" si="52"/>
        <v>Vikram Iyer</v>
      </c>
      <c r="J285" t="s">
        <v>22</v>
      </c>
      <c r="K285" t="str">
        <f t="shared" si="53"/>
        <v>Consumer</v>
      </c>
      <c r="L285" t="s">
        <v>61</v>
      </c>
      <c r="M285" t="str">
        <f t="shared" si="60"/>
        <v>West</v>
      </c>
      <c r="N285" t="s">
        <v>62</v>
      </c>
      <c r="O285" t="str">
        <f t="shared" si="54"/>
        <v>Maharashtra</v>
      </c>
      <c r="P285" t="s">
        <v>63</v>
      </c>
      <c r="Q285" t="str">
        <f t="shared" si="55"/>
        <v>Mumbai</v>
      </c>
      <c r="R285" t="s">
        <v>39</v>
      </c>
      <c r="S285" t="str">
        <f t="shared" si="56"/>
        <v>Furniture</v>
      </c>
      <c r="T285" t="s">
        <v>55</v>
      </c>
      <c r="U285" t="str">
        <f t="shared" si="57"/>
        <v>Furnishings</v>
      </c>
      <c r="V285" t="s">
        <v>970</v>
      </c>
      <c r="X285" t="s">
        <v>48</v>
      </c>
      <c r="Y285" t="str">
        <f t="shared" si="58"/>
        <v>First Class</v>
      </c>
      <c r="Z285">
        <v>1</v>
      </c>
      <c r="AA285">
        <v>1814.01</v>
      </c>
      <c r="AB285">
        <v>0</v>
      </c>
      <c r="AC285">
        <v>1814.01</v>
      </c>
      <c r="AD285">
        <v>1033.47</v>
      </c>
      <c r="AE285">
        <v>780.54</v>
      </c>
      <c r="AF285" t="s">
        <v>30</v>
      </c>
      <c r="AG285" t="str">
        <f t="shared" si="59"/>
        <v>Paid</v>
      </c>
      <c r="AH285" t="s">
        <v>31</v>
      </c>
    </row>
    <row r="286" spans="1:34">
      <c r="A286" t="s">
        <v>971</v>
      </c>
      <c r="B286">
        <f>COUNTIF($A:$A,A286)</f>
        <v>1</v>
      </c>
      <c r="C286" t="str">
        <f t="shared" si="50"/>
        <v>Unique</v>
      </c>
      <c r="D286" s="4">
        <v>45634</v>
      </c>
      <c r="E286">
        <f t="shared" si="51"/>
        <v>6</v>
      </c>
      <c r="F286" s="4">
        <v>45640</v>
      </c>
      <c r="G286" t="s">
        <v>972</v>
      </c>
      <c r="H286" t="s">
        <v>21</v>
      </c>
      <c r="I286" t="str">
        <f t="shared" si="52"/>
        <v>Karan Malhotra</v>
      </c>
      <c r="J286" t="s">
        <v>22</v>
      </c>
      <c r="K286" t="str">
        <f t="shared" si="53"/>
        <v>Consumer</v>
      </c>
      <c r="L286" t="s">
        <v>36</v>
      </c>
      <c r="M286" t="str">
        <f t="shared" si="60"/>
        <v>East</v>
      </c>
      <c r="N286" t="s">
        <v>37</v>
      </c>
      <c r="O286" t="str">
        <f t="shared" si="54"/>
        <v>Odisha</v>
      </c>
      <c r="P286" t="s">
        <v>38</v>
      </c>
      <c r="Q286" t="str">
        <f t="shared" si="55"/>
        <v>Bhubaneswar</v>
      </c>
      <c r="R286" t="s">
        <v>39</v>
      </c>
      <c r="S286" t="str">
        <f t="shared" si="56"/>
        <v>Furniture</v>
      </c>
      <c r="T286" t="s">
        <v>40</v>
      </c>
      <c r="U286" t="str">
        <f t="shared" si="57"/>
        <v>Tables</v>
      </c>
      <c r="V286" t="s">
        <v>973</v>
      </c>
      <c r="X286" t="s">
        <v>42</v>
      </c>
      <c r="Y286" t="str">
        <f t="shared" si="58"/>
        <v>Same Day</v>
      </c>
      <c r="Z286">
        <v>3</v>
      </c>
      <c r="AA286">
        <v>1576.92</v>
      </c>
      <c r="AB286">
        <v>0</v>
      </c>
      <c r="AC286">
        <v>4730.76</v>
      </c>
      <c r="AD286">
        <v>3139.73</v>
      </c>
      <c r="AE286">
        <v>1591.03</v>
      </c>
      <c r="AF286" t="s">
        <v>30</v>
      </c>
      <c r="AG286" t="str">
        <f t="shared" si="59"/>
        <v>Paid</v>
      </c>
      <c r="AH286" t="s">
        <v>101</v>
      </c>
    </row>
    <row r="287" spans="1:34">
      <c r="A287" t="s">
        <v>974</v>
      </c>
      <c r="B287">
        <f>COUNTIF($A:$A,A287)</f>
        <v>1</v>
      </c>
      <c r="C287" t="str">
        <f t="shared" si="50"/>
        <v>Unique</v>
      </c>
      <c r="D287" s="4">
        <v>45884</v>
      </c>
      <c r="E287">
        <f t="shared" si="51"/>
        <v>5</v>
      </c>
      <c r="F287" s="4">
        <v>45889</v>
      </c>
      <c r="G287" t="s">
        <v>975</v>
      </c>
      <c r="H287" t="s">
        <v>77</v>
      </c>
      <c r="I287" t="str">
        <f t="shared" si="52"/>
        <v>Neha Gupta</v>
      </c>
      <c r="J287" t="s">
        <v>93</v>
      </c>
      <c r="K287" t="str">
        <f t="shared" si="53"/>
        <v>Home Office</v>
      </c>
      <c r="L287" t="s">
        <v>23</v>
      </c>
      <c r="M287" t="str">
        <f t="shared" si="60"/>
        <v>North</v>
      </c>
      <c r="N287" t="s">
        <v>24</v>
      </c>
      <c r="O287" t="str">
        <f t="shared" si="54"/>
        <v>Rajasthan</v>
      </c>
      <c r="P287" t="s">
        <v>25</v>
      </c>
      <c r="Q287" t="str">
        <f t="shared" si="55"/>
        <v>Jaipur</v>
      </c>
      <c r="R287" t="s">
        <v>26</v>
      </c>
      <c r="S287" t="str">
        <f t="shared" si="56"/>
        <v>Office Supplies</v>
      </c>
      <c r="T287" t="s">
        <v>122</v>
      </c>
      <c r="U287" t="str">
        <f t="shared" si="57"/>
        <v>Storage</v>
      </c>
      <c r="V287" t="s">
        <v>976</v>
      </c>
      <c r="X287" t="s">
        <v>57</v>
      </c>
      <c r="Y287" t="str">
        <f t="shared" si="58"/>
        <v>Standard Class</v>
      </c>
      <c r="Z287">
        <v>9</v>
      </c>
      <c r="AA287">
        <v>4081.77</v>
      </c>
      <c r="AB287">
        <v>0</v>
      </c>
      <c r="AC287">
        <v>36735.93</v>
      </c>
      <c r="AD287">
        <v>30820.84</v>
      </c>
      <c r="AE287">
        <v>5915.09</v>
      </c>
      <c r="AF287" t="s">
        <v>30</v>
      </c>
      <c r="AG287" t="str">
        <f t="shared" si="59"/>
        <v>Paid</v>
      </c>
      <c r="AH287" t="s">
        <v>31</v>
      </c>
    </row>
    <row r="288" spans="1:34">
      <c r="A288" t="s">
        <v>977</v>
      </c>
      <c r="B288">
        <f>COUNTIF($A:$A,A288)</f>
        <v>1</v>
      </c>
      <c r="C288" t="str">
        <f t="shared" si="50"/>
        <v>Unique</v>
      </c>
      <c r="D288" s="4">
        <v>45350</v>
      </c>
      <c r="E288">
        <f t="shared" si="51"/>
        <v>3</v>
      </c>
      <c r="F288" s="4">
        <v>45353</v>
      </c>
      <c r="G288" t="s">
        <v>978</v>
      </c>
      <c r="H288" t="s">
        <v>112</v>
      </c>
      <c r="I288" t="str">
        <f t="shared" si="52"/>
        <v>Priya Menon</v>
      </c>
      <c r="J288" t="s">
        <v>35</v>
      </c>
      <c r="K288" t="str">
        <f t="shared" si="53"/>
        <v>Small Business</v>
      </c>
      <c r="L288" t="s">
        <v>23</v>
      </c>
      <c r="M288" t="str">
        <f t="shared" si="60"/>
        <v>North</v>
      </c>
      <c r="N288" t="s">
        <v>349</v>
      </c>
      <c r="O288" t="str">
        <f t="shared" si="54"/>
        <v>Delhi</v>
      </c>
      <c r="P288" t="s">
        <v>350</v>
      </c>
      <c r="Q288" t="str">
        <f t="shared" si="55"/>
        <v>New Delhi</v>
      </c>
      <c r="R288" t="s">
        <v>39</v>
      </c>
      <c r="S288" t="str">
        <f t="shared" si="56"/>
        <v>Furniture</v>
      </c>
      <c r="T288" t="s">
        <v>55</v>
      </c>
      <c r="U288" t="str">
        <f t="shared" si="57"/>
        <v>Furnishings</v>
      </c>
      <c r="V288" t="s">
        <v>979</v>
      </c>
      <c r="X288" t="s">
        <v>48</v>
      </c>
      <c r="Y288" t="str">
        <f t="shared" si="58"/>
        <v>First Class</v>
      </c>
      <c r="Z288">
        <v>7</v>
      </c>
      <c r="AA288">
        <v>701.8</v>
      </c>
      <c r="AB288">
        <v>0.1</v>
      </c>
      <c r="AC288">
        <v>4421.34</v>
      </c>
      <c r="AD288">
        <v>2489.98</v>
      </c>
      <c r="AE288">
        <v>1931.36</v>
      </c>
      <c r="AF288" t="s">
        <v>109</v>
      </c>
      <c r="AG288" t="str">
        <f t="shared" si="59"/>
        <v>Pending</v>
      </c>
      <c r="AH288" t="s">
        <v>101</v>
      </c>
    </row>
    <row r="289" spans="1:34">
      <c r="A289" t="s">
        <v>980</v>
      </c>
      <c r="B289">
        <f>COUNTIF($A:$A,A289)</f>
        <v>1</v>
      </c>
      <c r="C289" t="str">
        <f t="shared" si="50"/>
        <v>Unique</v>
      </c>
      <c r="D289" s="4">
        <v>45540</v>
      </c>
      <c r="E289">
        <f t="shared" si="51"/>
        <v>-58</v>
      </c>
      <c r="F289" s="4">
        <v>45482</v>
      </c>
      <c r="G289" t="s">
        <v>981</v>
      </c>
      <c r="H289" t="s">
        <v>77</v>
      </c>
      <c r="I289" t="str">
        <f t="shared" si="52"/>
        <v>Neha Gupta</v>
      </c>
      <c r="J289" t="s">
        <v>35</v>
      </c>
      <c r="K289" t="str">
        <f t="shared" si="53"/>
        <v>Small Business</v>
      </c>
      <c r="L289" t="s">
        <v>52</v>
      </c>
      <c r="M289" t="str">
        <f t="shared" si="60"/>
        <v>South</v>
      </c>
      <c r="N289" t="s">
        <v>246</v>
      </c>
      <c r="O289" t="str">
        <f t="shared" si="54"/>
        <v>Tamil Nadu</v>
      </c>
      <c r="P289" t="s">
        <v>247</v>
      </c>
      <c r="Q289" t="str">
        <f t="shared" si="55"/>
        <v>Chennai</v>
      </c>
      <c r="R289" t="s">
        <v>72</v>
      </c>
      <c r="S289" t="str">
        <f t="shared" si="56"/>
        <v>Technology</v>
      </c>
      <c r="T289" t="s">
        <v>78</v>
      </c>
      <c r="U289" t="str">
        <f t="shared" si="57"/>
        <v>Copiers</v>
      </c>
      <c r="V289" t="s">
        <v>982</v>
      </c>
      <c r="X289" t="s">
        <v>57</v>
      </c>
      <c r="Y289" t="str">
        <f t="shared" si="58"/>
        <v>Standard Class</v>
      </c>
      <c r="Z289">
        <v>3</v>
      </c>
      <c r="AA289">
        <v>2555.66</v>
      </c>
      <c r="AB289">
        <v>0.15</v>
      </c>
      <c r="AC289">
        <v>6516.93</v>
      </c>
      <c r="AD289">
        <v>4511.54</v>
      </c>
      <c r="AE289">
        <v>2005.39</v>
      </c>
      <c r="AF289" t="s">
        <v>30</v>
      </c>
      <c r="AG289" t="str">
        <f t="shared" si="59"/>
        <v>Paid</v>
      </c>
      <c r="AH289" t="s">
        <v>66</v>
      </c>
    </row>
    <row r="290" spans="1:34">
      <c r="A290" t="s">
        <v>983</v>
      </c>
      <c r="B290">
        <f>COUNTIF($A:$A,A290)</f>
        <v>1</v>
      </c>
      <c r="C290" t="str">
        <f t="shared" si="50"/>
        <v>Unique</v>
      </c>
      <c r="D290" s="4">
        <v>45467</v>
      </c>
      <c r="E290">
        <f t="shared" si="51"/>
        <v>0</v>
      </c>
      <c r="F290" s="4">
        <v>45467</v>
      </c>
      <c r="G290" t="s">
        <v>984</v>
      </c>
      <c r="H290" t="s">
        <v>139</v>
      </c>
      <c r="I290" t="str">
        <f t="shared" si="52"/>
        <v>Rohan Mehta</v>
      </c>
      <c r="J290" t="s">
        <v>35</v>
      </c>
      <c r="K290" t="str">
        <f t="shared" si="53"/>
        <v>Small Business</v>
      </c>
      <c r="L290" t="s">
        <v>36</v>
      </c>
      <c r="M290" t="str">
        <f t="shared" si="60"/>
        <v>East</v>
      </c>
      <c r="N290" t="s">
        <v>143</v>
      </c>
      <c r="O290" t="str">
        <f t="shared" si="54"/>
        <v>Bihar</v>
      </c>
      <c r="P290" t="s">
        <v>144</v>
      </c>
      <c r="Q290" t="str">
        <f t="shared" si="55"/>
        <v>Patna</v>
      </c>
      <c r="R290" t="s">
        <v>26</v>
      </c>
      <c r="S290" t="str">
        <f t="shared" si="56"/>
        <v>Office Supplies</v>
      </c>
      <c r="T290" t="s">
        <v>151</v>
      </c>
      <c r="U290" t="str">
        <f t="shared" si="57"/>
        <v>Binders</v>
      </c>
      <c r="V290" t="s">
        <v>985</v>
      </c>
      <c r="X290" t="s">
        <v>42</v>
      </c>
      <c r="Y290" t="str">
        <f t="shared" si="58"/>
        <v>Same Day</v>
      </c>
      <c r="Z290">
        <v>2</v>
      </c>
      <c r="AA290">
        <v>4359.8999999999996</v>
      </c>
      <c r="AB290">
        <v>0.15</v>
      </c>
      <c r="AC290">
        <v>7411.83</v>
      </c>
      <c r="AD290">
        <v>4904.63</v>
      </c>
      <c r="AE290">
        <v>2507.1999999999998</v>
      </c>
      <c r="AF290" t="s">
        <v>30</v>
      </c>
      <c r="AG290" t="str">
        <f t="shared" si="59"/>
        <v>Paid</v>
      </c>
      <c r="AH290" t="s">
        <v>31</v>
      </c>
    </row>
    <row r="291" spans="1:34">
      <c r="A291" t="s">
        <v>986</v>
      </c>
      <c r="B291">
        <f>COUNTIF($A:$A,A291)</f>
        <v>1</v>
      </c>
      <c r="C291" t="str">
        <f t="shared" si="50"/>
        <v>Unique</v>
      </c>
      <c r="D291" s="4">
        <v>45827</v>
      </c>
      <c r="E291">
        <f t="shared" si="51"/>
        <v>8</v>
      </c>
      <c r="F291" s="4">
        <v>45835</v>
      </c>
      <c r="G291" t="s">
        <v>987</v>
      </c>
      <c r="H291" t="s">
        <v>21</v>
      </c>
      <c r="I291" t="str">
        <f t="shared" si="52"/>
        <v>Karan Malhotra</v>
      </c>
      <c r="J291" t="s">
        <v>93</v>
      </c>
      <c r="K291" t="str">
        <f t="shared" si="53"/>
        <v>Home Office</v>
      </c>
      <c r="L291" t="s">
        <v>52</v>
      </c>
      <c r="M291" t="str">
        <f t="shared" si="60"/>
        <v>South</v>
      </c>
      <c r="N291" t="s">
        <v>246</v>
      </c>
      <c r="O291" t="str">
        <f t="shared" si="54"/>
        <v>Tamil Nadu</v>
      </c>
      <c r="P291" t="s">
        <v>247</v>
      </c>
      <c r="Q291" t="str">
        <f t="shared" si="55"/>
        <v>Chennai</v>
      </c>
      <c r="R291" t="s">
        <v>39</v>
      </c>
      <c r="S291" t="str">
        <f t="shared" si="56"/>
        <v>Furniture</v>
      </c>
      <c r="T291" t="s">
        <v>156</v>
      </c>
      <c r="U291" t="str">
        <f t="shared" si="57"/>
        <v>Bookcases</v>
      </c>
      <c r="V291" t="s">
        <v>988</v>
      </c>
      <c r="X291" t="s">
        <v>48</v>
      </c>
      <c r="Y291" t="str">
        <f t="shared" si="58"/>
        <v>First Class</v>
      </c>
      <c r="Z291">
        <v>2</v>
      </c>
      <c r="AA291">
        <v>4346.6899999999996</v>
      </c>
      <c r="AB291">
        <v>0.05</v>
      </c>
      <c r="AC291">
        <v>8258.7099999999991</v>
      </c>
      <c r="AD291">
        <v>7018.97</v>
      </c>
      <c r="AE291">
        <v>1239.74</v>
      </c>
      <c r="AF291" t="s">
        <v>30</v>
      </c>
      <c r="AG291" t="str">
        <f t="shared" si="59"/>
        <v>Paid</v>
      </c>
      <c r="AH291" t="s">
        <v>31</v>
      </c>
    </row>
    <row r="292" spans="1:34">
      <c r="A292" t="s">
        <v>989</v>
      </c>
      <c r="B292">
        <f>COUNTIF($A:$A,A292)</f>
        <v>1</v>
      </c>
      <c r="C292" t="str">
        <f t="shared" si="50"/>
        <v>Unique</v>
      </c>
      <c r="D292" s="4">
        <v>45891</v>
      </c>
      <c r="E292">
        <f t="shared" si="51"/>
        <v>4</v>
      </c>
      <c r="F292" s="4">
        <v>45895</v>
      </c>
      <c r="G292" t="s">
        <v>990</v>
      </c>
      <c r="H292" t="s">
        <v>160</v>
      </c>
      <c r="I292" t="str">
        <f t="shared" si="52"/>
        <v>Diya Patel</v>
      </c>
      <c r="J292" t="s">
        <v>93</v>
      </c>
      <c r="K292" t="str">
        <f t="shared" si="53"/>
        <v>Home Office</v>
      </c>
      <c r="L292" t="s">
        <v>36</v>
      </c>
      <c r="M292" t="str">
        <f t="shared" si="60"/>
        <v>East</v>
      </c>
      <c r="N292" t="s">
        <v>227</v>
      </c>
      <c r="O292" t="str">
        <f t="shared" si="54"/>
        <v>Jharkhand</v>
      </c>
      <c r="P292" t="s">
        <v>228</v>
      </c>
      <c r="Q292" t="str">
        <f t="shared" si="55"/>
        <v>Ranchi</v>
      </c>
      <c r="R292" t="s">
        <v>39</v>
      </c>
      <c r="S292" t="str">
        <f t="shared" si="56"/>
        <v>Furniture</v>
      </c>
      <c r="T292" t="s">
        <v>40</v>
      </c>
      <c r="U292" t="str">
        <f t="shared" si="57"/>
        <v>Tables</v>
      </c>
      <c r="V292" t="s">
        <v>991</v>
      </c>
      <c r="X292" t="s">
        <v>57</v>
      </c>
      <c r="Y292" t="str">
        <f t="shared" si="58"/>
        <v>Standard Class</v>
      </c>
      <c r="Z292">
        <v>1</v>
      </c>
      <c r="AA292">
        <v>1842.63</v>
      </c>
      <c r="AB292">
        <v>0.1</v>
      </c>
      <c r="AC292">
        <v>1658.37</v>
      </c>
      <c r="AD292">
        <v>971.12</v>
      </c>
      <c r="AE292">
        <v>687.25</v>
      </c>
      <c r="AF292" t="s">
        <v>30</v>
      </c>
      <c r="AG292" t="str">
        <f t="shared" si="59"/>
        <v>Paid</v>
      </c>
      <c r="AH292" t="s">
        <v>31</v>
      </c>
    </row>
    <row r="293" spans="1:34">
      <c r="A293" t="s">
        <v>992</v>
      </c>
      <c r="B293">
        <f>COUNTIF($A:$A,A293)</f>
        <v>1</v>
      </c>
      <c r="C293" t="str">
        <f t="shared" si="50"/>
        <v>Unique</v>
      </c>
      <c r="D293" s="4">
        <v>45387</v>
      </c>
      <c r="E293">
        <f t="shared" si="51"/>
        <v>182</v>
      </c>
      <c r="F293" s="4">
        <v>45569</v>
      </c>
      <c r="G293" t="s">
        <v>993</v>
      </c>
      <c r="H293" t="s">
        <v>112</v>
      </c>
      <c r="I293" t="str">
        <f t="shared" si="52"/>
        <v>Priya Menon</v>
      </c>
      <c r="J293" t="s">
        <v>93</v>
      </c>
      <c r="K293" t="str">
        <f t="shared" si="53"/>
        <v>Home Office</v>
      </c>
      <c r="L293" t="s">
        <v>23</v>
      </c>
      <c r="M293" t="str">
        <f t="shared" si="60"/>
        <v>North</v>
      </c>
      <c r="N293" t="s">
        <v>24</v>
      </c>
      <c r="O293" t="str">
        <f t="shared" si="54"/>
        <v>Rajasthan</v>
      </c>
      <c r="P293" t="s">
        <v>25</v>
      </c>
      <c r="Q293" t="str">
        <f t="shared" si="55"/>
        <v>Jaipur</v>
      </c>
      <c r="R293" t="s">
        <v>26</v>
      </c>
      <c r="S293" t="str">
        <f t="shared" si="56"/>
        <v>Office Supplies</v>
      </c>
      <c r="T293" t="s">
        <v>151</v>
      </c>
      <c r="U293" t="str">
        <f t="shared" si="57"/>
        <v>Binders</v>
      </c>
      <c r="V293" t="s">
        <v>994</v>
      </c>
      <c r="X293" t="s">
        <v>57</v>
      </c>
      <c r="Y293" t="str">
        <f t="shared" si="58"/>
        <v>Standard Class</v>
      </c>
      <c r="Z293">
        <v>4</v>
      </c>
      <c r="AA293">
        <v>3228.66</v>
      </c>
      <c r="AB293">
        <v>0.25</v>
      </c>
      <c r="AC293">
        <v>9685.98</v>
      </c>
      <c r="AD293">
        <v>7730.04</v>
      </c>
      <c r="AE293">
        <v>1955.94</v>
      </c>
      <c r="AF293" t="s">
        <v>30</v>
      </c>
      <c r="AG293" t="str">
        <f t="shared" si="59"/>
        <v>Paid</v>
      </c>
      <c r="AH293" t="s">
        <v>31</v>
      </c>
    </row>
    <row r="294" spans="1:34">
      <c r="A294" t="s">
        <v>995</v>
      </c>
      <c r="B294">
        <f>COUNTIF($A:$A,A294)</f>
        <v>1</v>
      </c>
      <c r="C294" t="str">
        <f t="shared" si="50"/>
        <v>Unique</v>
      </c>
      <c r="D294" s="4">
        <v>45716</v>
      </c>
      <c r="E294">
        <f t="shared" si="51"/>
        <v>3</v>
      </c>
      <c r="F294" s="4">
        <v>45719</v>
      </c>
      <c r="G294" t="s">
        <v>996</v>
      </c>
      <c r="H294" t="s">
        <v>263</v>
      </c>
      <c r="I294" t="str">
        <f t="shared" si="52"/>
        <v>Kabir Singh</v>
      </c>
      <c r="J294" t="s">
        <v>93</v>
      </c>
      <c r="K294" t="str">
        <f t="shared" si="53"/>
        <v>Home Office</v>
      </c>
      <c r="L294" t="s">
        <v>23</v>
      </c>
      <c r="M294" t="str">
        <f t="shared" si="60"/>
        <v>North</v>
      </c>
      <c r="N294" t="s">
        <v>235</v>
      </c>
      <c r="O294" t="str">
        <f t="shared" si="54"/>
        <v>Haryana</v>
      </c>
      <c r="P294" t="s">
        <v>236</v>
      </c>
      <c r="Q294" t="str">
        <f t="shared" si="55"/>
        <v>Gurugram</v>
      </c>
      <c r="R294" t="s">
        <v>26</v>
      </c>
      <c r="S294" t="str">
        <f t="shared" si="56"/>
        <v>Office Supplies</v>
      </c>
      <c r="T294" t="s">
        <v>46</v>
      </c>
      <c r="U294" t="str">
        <f t="shared" si="57"/>
        <v>Art</v>
      </c>
      <c r="V294" t="s">
        <v>997</v>
      </c>
      <c r="X294" t="s">
        <v>42</v>
      </c>
      <c r="Y294" t="str">
        <f t="shared" si="58"/>
        <v>Same Day</v>
      </c>
      <c r="Z294">
        <v>9</v>
      </c>
      <c r="AA294">
        <v>3748.95</v>
      </c>
      <c r="AB294">
        <v>0</v>
      </c>
      <c r="AC294">
        <v>33740.550000000003</v>
      </c>
      <c r="AD294">
        <v>24621.89</v>
      </c>
      <c r="AE294">
        <v>9118.66</v>
      </c>
      <c r="AF294" t="s">
        <v>109</v>
      </c>
      <c r="AG294" t="str">
        <f t="shared" si="59"/>
        <v>Pending</v>
      </c>
      <c r="AH294" t="s">
        <v>66</v>
      </c>
    </row>
    <row r="295" spans="1:34">
      <c r="A295" t="s">
        <v>998</v>
      </c>
      <c r="B295">
        <f>COUNTIF($A:$A,A295)</f>
        <v>1</v>
      </c>
      <c r="C295" t="str">
        <f t="shared" si="50"/>
        <v>Unique</v>
      </c>
      <c r="D295" s="4">
        <v>45358</v>
      </c>
      <c r="E295">
        <f t="shared" si="51"/>
        <v>241</v>
      </c>
      <c r="F295" s="4">
        <v>45599</v>
      </c>
      <c r="G295" t="s">
        <v>999</v>
      </c>
      <c r="H295" t="s">
        <v>51</v>
      </c>
      <c r="I295" t="str">
        <f t="shared" si="52"/>
        <v>Arjun Bose</v>
      </c>
      <c r="J295" t="s">
        <v>93</v>
      </c>
      <c r="K295" t="str">
        <f t="shared" si="53"/>
        <v>Home Office</v>
      </c>
      <c r="L295" t="s">
        <v>52</v>
      </c>
      <c r="M295" t="str">
        <f t="shared" si="60"/>
        <v>South</v>
      </c>
      <c r="N295" t="s">
        <v>53</v>
      </c>
      <c r="O295" t="str">
        <f t="shared" si="54"/>
        <v>Telangana</v>
      </c>
      <c r="P295" t="s">
        <v>54</v>
      </c>
      <c r="Q295" t="str">
        <f t="shared" si="55"/>
        <v>Hyderabad</v>
      </c>
      <c r="R295" t="s">
        <v>72</v>
      </c>
      <c r="S295" t="str">
        <f t="shared" si="56"/>
        <v>Technology</v>
      </c>
      <c r="T295" t="s">
        <v>169</v>
      </c>
      <c r="U295" t="str">
        <f t="shared" si="57"/>
        <v>Phones</v>
      </c>
      <c r="V295" t="s">
        <v>1000</v>
      </c>
      <c r="X295" t="s">
        <v>48</v>
      </c>
      <c r="Y295" t="str">
        <f t="shared" si="58"/>
        <v>First Class</v>
      </c>
      <c r="Z295">
        <v>2</v>
      </c>
      <c r="AA295">
        <v>4401.51</v>
      </c>
      <c r="AB295">
        <v>0.65</v>
      </c>
      <c r="AC295">
        <v>8362.8700000000008</v>
      </c>
      <c r="AD295">
        <v>6541.04</v>
      </c>
      <c r="AE295">
        <v>1821.83</v>
      </c>
      <c r="AF295" t="s">
        <v>30</v>
      </c>
      <c r="AG295" t="str">
        <f t="shared" si="59"/>
        <v>Paid</v>
      </c>
      <c r="AH295" t="s">
        <v>31</v>
      </c>
    </row>
    <row r="296" spans="1:34">
      <c r="A296" t="s">
        <v>1001</v>
      </c>
      <c r="B296">
        <f>COUNTIF($A:$A,A296)</f>
        <v>1</v>
      </c>
      <c r="C296" t="str">
        <f t="shared" si="50"/>
        <v>Unique</v>
      </c>
      <c r="D296" s="4">
        <v>45854</v>
      </c>
      <c r="E296">
        <f t="shared" si="51"/>
        <v>6</v>
      </c>
      <c r="F296" s="4">
        <v>45860</v>
      </c>
      <c r="G296" t="s">
        <v>1002</v>
      </c>
      <c r="H296" t="s">
        <v>112</v>
      </c>
      <c r="I296" t="str">
        <f t="shared" si="52"/>
        <v>Priya Menon</v>
      </c>
      <c r="J296" t="s">
        <v>22</v>
      </c>
      <c r="K296" t="str">
        <f t="shared" si="53"/>
        <v>Consumer</v>
      </c>
      <c r="L296" t="s">
        <v>36</v>
      </c>
      <c r="M296" t="str">
        <f t="shared" si="60"/>
        <v>East</v>
      </c>
      <c r="N296" t="s">
        <v>37</v>
      </c>
      <c r="O296" t="str">
        <f t="shared" si="54"/>
        <v>Odisha</v>
      </c>
      <c r="P296" t="s">
        <v>38</v>
      </c>
      <c r="Q296" t="str">
        <f t="shared" si="55"/>
        <v>Bhubaneswar</v>
      </c>
      <c r="R296" t="s">
        <v>72</v>
      </c>
      <c r="S296" t="str">
        <f t="shared" si="56"/>
        <v>Technology</v>
      </c>
      <c r="T296" t="s">
        <v>169</v>
      </c>
      <c r="U296" t="str">
        <f t="shared" si="57"/>
        <v>Phones</v>
      </c>
      <c r="V296" t="s">
        <v>1003</v>
      </c>
      <c r="X296" t="s">
        <v>29</v>
      </c>
      <c r="Y296" t="str">
        <f t="shared" si="58"/>
        <v>Second Class</v>
      </c>
      <c r="Z296">
        <v>6</v>
      </c>
      <c r="AA296">
        <v>4159.33</v>
      </c>
      <c r="AB296">
        <v>0.25</v>
      </c>
      <c r="AC296">
        <v>18716.990000000002</v>
      </c>
      <c r="AD296">
        <v>12282.43</v>
      </c>
      <c r="AE296">
        <v>6434.56</v>
      </c>
      <c r="AF296" t="s">
        <v>30</v>
      </c>
      <c r="AG296" t="str">
        <f t="shared" si="59"/>
        <v>Paid</v>
      </c>
      <c r="AH296" t="s">
        <v>101</v>
      </c>
    </row>
    <row r="297" spans="1:34">
      <c r="A297" t="s">
        <v>1004</v>
      </c>
      <c r="B297">
        <f>COUNTIF($A:$A,A297)</f>
        <v>1</v>
      </c>
      <c r="C297" t="str">
        <f t="shared" si="50"/>
        <v>Unique</v>
      </c>
      <c r="D297" s="4">
        <v>45833</v>
      </c>
      <c r="E297">
        <f t="shared" si="51"/>
        <v>3</v>
      </c>
      <c r="F297" s="4">
        <v>45836</v>
      </c>
      <c r="G297" t="s">
        <v>1005</v>
      </c>
      <c r="H297" t="s">
        <v>87</v>
      </c>
      <c r="I297" t="str">
        <f t="shared" si="52"/>
        <v>Aditi Sen</v>
      </c>
      <c r="J297" t="s">
        <v>35</v>
      </c>
      <c r="K297" t="str">
        <f t="shared" si="53"/>
        <v>Small Business</v>
      </c>
      <c r="L297" t="s">
        <v>36</v>
      </c>
      <c r="M297" t="str">
        <f t="shared" si="60"/>
        <v>East</v>
      </c>
      <c r="N297" t="s">
        <v>164</v>
      </c>
      <c r="O297" t="str">
        <f t="shared" si="54"/>
        <v>Assam</v>
      </c>
      <c r="P297" t="s">
        <v>165</v>
      </c>
      <c r="Q297" t="str">
        <f t="shared" si="55"/>
        <v>Guwahati</v>
      </c>
      <c r="R297" t="s">
        <v>26</v>
      </c>
      <c r="S297" t="str">
        <f t="shared" si="56"/>
        <v>Office Supplies</v>
      </c>
      <c r="T297" t="s">
        <v>151</v>
      </c>
      <c r="U297" t="str">
        <f t="shared" si="57"/>
        <v>Binders</v>
      </c>
      <c r="V297" t="s">
        <v>1006</v>
      </c>
      <c r="X297" t="s">
        <v>57</v>
      </c>
      <c r="Y297" t="str">
        <f t="shared" si="58"/>
        <v>Standard Class</v>
      </c>
      <c r="Z297">
        <v>3</v>
      </c>
      <c r="AA297">
        <v>3476.05</v>
      </c>
      <c r="AB297">
        <v>0.1</v>
      </c>
      <c r="AC297">
        <v>9385.34</v>
      </c>
      <c r="AD297">
        <v>5828.54</v>
      </c>
      <c r="AE297">
        <v>3556.8</v>
      </c>
      <c r="AF297" t="s">
        <v>30</v>
      </c>
      <c r="AG297" t="str">
        <f t="shared" si="59"/>
        <v>Paid</v>
      </c>
      <c r="AH297" t="s">
        <v>31</v>
      </c>
    </row>
    <row r="298" spans="1:34">
      <c r="A298" t="s">
        <v>1007</v>
      </c>
      <c r="B298">
        <f>COUNTIF($A:$A,A298)</f>
        <v>1</v>
      </c>
      <c r="C298" t="str">
        <f t="shared" si="50"/>
        <v>Unique</v>
      </c>
      <c r="D298" s="4">
        <v>45801</v>
      </c>
      <c r="E298">
        <f t="shared" si="51"/>
        <v>2</v>
      </c>
      <c r="F298" s="4">
        <v>45803</v>
      </c>
      <c r="G298" t="s">
        <v>1008</v>
      </c>
      <c r="H298" t="s">
        <v>87</v>
      </c>
      <c r="I298" t="str">
        <f t="shared" si="52"/>
        <v>Aditi Sen</v>
      </c>
      <c r="J298" t="s">
        <v>93</v>
      </c>
      <c r="K298" t="str">
        <f t="shared" si="53"/>
        <v>Home Office</v>
      </c>
      <c r="L298" t="s">
        <v>23</v>
      </c>
      <c r="M298" t="str">
        <f t="shared" si="60"/>
        <v>North</v>
      </c>
      <c r="N298" t="s">
        <v>235</v>
      </c>
      <c r="O298" t="str">
        <f t="shared" si="54"/>
        <v>Haryana</v>
      </c>
      <c r="P298" t="s">
        <v>236</v>
      </c>
      <c r="Q298" t="str">
        <f t="shared" si="55"/>
        <v>Gurugram</v>
      </c>
      <c r="R298" t="s">
        <v>39</v>
      </c>
      <c r="S298" t="str">
        <f t="shared" si="56"/>
        <v>Furniture</v>
      </c>
      <c r="T298" t="s">
        <v>55</v>
      </c>
      <c r="U298" t="str">
        <f t="shared" si="57"/>
        <v>Furnishings</v>
      </c>
      <c r="V298" t="s">
        <v>1009</v>
      </c>
      <c r="X298" t="s">
        <v>42</v>
      </c>
      <c r="Y298" t="str">
        <f t="shared" si="58"/>
        <v>Same Day</v>
      </c>
      <c r="Z298">
        <v>6</v>
      </c>
      <c r="AA298">
        <v>3495.41</v>
      </c>
      <c r="AB298">
        <v>0.15</v>
      </c>
      <c r="AC298">
        <v>17826.59</v>
      </c>
      <c r="AD298">
        <v>10855.35</v>
      </c>
      <c r="AE298">
        <v>6971.24</v>
      </c>
      <c r="AF298" t="s">
        <v>30</v>
      </c>
      <c r="AG298" t="str">
        <f t="shared" si="59"/>
        <v>Paid</v>
      </c>
      <c r="AH298" t="s">
        <v>31</v>
      </c>
    </row>
    <row r="299" spans="1:34">
      <c r="A299" t="s">
        <v>1010</v>
      </c>
      <c r="B299">
        <f>COUNTIF($A:$A,A299)</f>
        <v>1</v>
      </c>
      <c r="C299" t="str">
        <f t="shared" si="50"/>
        <v>Unique</v>
      </c>
      <c r="D299" s="4">
        <v>45594</v>
      </c>
      <c r="E299">
        <f t="shared" si="51"/>
        <v>-140</v>
      </c>
      <c r="F299" s="4">
        <v>45454</v>
      </c>
      <c r="G299" t="s">
        <v>1011</v>
      </c>
      <c r="H299" t="s">
        <v>130</v>
      </c>
      <c r="I299" t="str">
        <f t="shared" si="52"/>
        <v>Sneha Kapoor</v>
      </c>
      <c r="J299" t="s">
        <v>88</v>
      </c>
      <c r="K299" t="str">
        <f t="shared" si="53"/>
        <v>Corporate</v>
      </c>
      <c r="L299" t="s">
        <v>52</v>
      </c>
      <c r="M299" t="str">
        <f t="shared" si="60"/>
        <v>South</v>
      </c>
      <c r="N299" t="s">
        <v>246</v>
      </c>
      <c r="O299" t="str">
        <f t="shared" si="54"/>
        <v>Tamil Nadu</v>
      </c>
      <c r="P299" t="s">
        <v>247</v>
      </c>
      <c r="Q299" t="str">
        <f t="shared" si="55"/>
        <v>Chennai</v>
      </c>
      <c r="R299" t="s">
        <v>72</v>
      </c>
      <c r="S299" t="str">
        <f t="shared" si="56"/>
        <v>Technology</v>
      </c>
      <c r="T299" t="s">
        <v>78</v>
      </c>
      <c r="U299" t="str">
        <f t="shared" si="57"/>
        <v>Copiers</v>
      </c>
      <c r="V299" t="s">
        <v>1012</v>
      </c>
      <c r="X299" t="s">
        <v>42</v>
      </c>
      <c r="Y299" t="str">
        <f t="shared" si="58"/>
        <v>Same Day</v>
      </c>
      <c r="Z299">
        <v>6</v>
      </c>
      <c r="AA299">
        <v>1169.92</v>
      </c>
      <c r="AB299">
        <v>0.15</v>
      </c>
      <c r="AC299">
        <v>5966.59</v>
      </c>
      <c r="AD299">
        <v>3994.72</v>
      </c>
      <c r="AE299">
        <v>1971.87</v>
      </c>
      <c r="AF299" t="s">
        <v>30</v>
      </c>
      <c r="AG299" t="str">
        <f t="shared" si="59"/>
        <v>Paid</v>
      </c>
      <c r="AH299" t="s">
        <v>31</v>
      </c>
    </row>
    <row r="300" spans="1:34">
      <c r="A300" t="s">
        <v>1013</v>
      </c>
      <c r="B300">
        <f>COUNTIF($A:$A,A300)</f>
        <v>1</v>
      </c>
      <c r="C300" t="str">
        <f t="shared" si="50"/>
        <v>Unique</v>
      </c>
      <c r="D300" s="4">
        <v>45680</v>
      </c>
      <c r="E300">
        <f t="shared" si="51"/>
        <v>3</v>
      </c>
      <c r="F300" s="4">
        <v>45683</v>
      </c>
      <c r="G300" t="s">
        <v>1014</v>
      </c>
      <c r="H300" t="s">
        <v>45</v>
      </c>
      <c r="I300" t="str">
        <f t="shared" si="52"/>
        <v>Isha Nair</v>
      </c>
      <c r="J300" t="s">
        <v>22</v>
      </c>
      <c r="K300" t="str">
        <f t="shared" si="53"/>
        <v>Consumer</v>
      </c>
      <c r="L300" t="s">
        <v>52</v>
      </c>
      <c r="M300" t="str">
        <f t="shared" si="60"/>
        <v>South</v>
      </c>
      <c r="N300" t="s">
        <v>183</v>
      </c>
      <c r="O300" t="str">
        <f t="shared" si="54"/>
        <v>Kerala</v>
      </c>
      <c r="P300" t="s">
        <v>184</v>
      </c>
      <c r="Q300" t="str">
        <f t="shared" si="55"/>
        <v>Kochi</v>
      </c>
      <c r="R300" t="s">
        <v>72</v>
      </c>
      <c r="S300" t="str">
        <f t="shared" si="56"/>
        <v>Technology</v>
      </c>
      <c r="T300" t="s">
        <v>78</v>
      </c>
      <c r="U300" t="str">
        <f t="shared" si="57"/>
        <v>Copiers</v>
      </c>
      <c r="V300" t="s">
        <v>1015</v>
      </c>
      <c r="X300" t="s">
        <v>48</v>
      </c>
      <c r="Y300" t="str">
        <f t="shared" si="58"/>
        <v>First Class</v>
      </c>
      <c r="Z300">
        <v>7</v>
      </c>
      <c r="AA300">
        <v>348.49</v>
      </c>
      <c r="AB300">
        <v>0.2</v>
      </c>
      <c r="AC300">
        <v>1951.54</v>
      </c>
      <c r="AD300">
        <v>1609.95</v>
      </c>
      <c r="AE300">
        <v>341.59</v>
      </c>
      <c r="AF300" t="s">
        <v>153</v>
      </c>
      <c r="AG300" t="str">
        <f t="shared" si="59"/>
        <v>Failed</v>
      </c>
      <c r="AH300" t="s">
        <v>101</v>
      </c>
    </row>
    <row r="301" spans="1:34">
      <c r="A301" t="s">
        <v>1016</v>
      </c>
      <c r="B301">
        <f>COUNTIF($A:$A,A301)</f>
        <v>1</v>
      </c>
      <c r="C301" t="str">
        <f t="shared" si="50"/>
        <v>Unique</v>
      </c>
      <c r="D301" s="4">
        <v>45454</v>
      </c>
      <c r="E301">
        <f t="shared" si="51"/>
        <v>183</v>
      </c>
      <c r="F301" s="4">
        <v>45637</v>
      </c>
      <c r="G301" t="s">
        <v>1017</v>
      </c>
      <c r="H301" t="s">
        <v>116</v>
      </c>
      <c r="I301" t="str">
        <f t="shared" si="52"/>
        <v>Rahul Verma</v>
      </c>
      <c r="J301" t="s">
        <v>35</v>
      </c>
      <c r="K301" t="str">
        <f t="shared" si="53"/>
        <v>Small Business</v>
      </c>
      <c r="L301" t="s">
        <v>61</v>
      </c>
      <c r="M301" t="str">
        <f t="shared" si="60"/>
        <v>West</v>
      </c>
      <c r="N301" t="s">
        <v>178</v>
      </c>
      <c r="O301" t="str">
        <f t="shared" si="54"/>
        <v>Gujarat</v>
      </c>
      <c r="P301" t="s">
        <v>179</v>
      </c>
      <c r="Q301" t="str">
        <f t="shared" si="55"/>
        <v>Ahmedabad</v>
      </c>
      <c r="R301" t="s">
        <v>72</v>
      </c>
      <c r="S301" t="str">
        <f t="shared" si="56"/>
        <v>Technology</v>
      </c>
      <c r="T301" t="s">
        <v>73</v>
      </c>
      <c r="U301" t="str">
        <f t="shared" si="57"/>
        <v>Accessories</v>
      </c>
      <c r="V301" t="s">
        <v>1018</v>
      </c>
      <c r="X301" t="s">
        <v>57</v>
      </c>
      <c r="Y301" t="str">
        <f t="shared" si="58"/>
        <v>Standard Class</v>
      </c>
      <c r="Z301">
        <v>7</v>
      </c>
      <c r="AA301">
        <v>1719.05</v>
      </c>
      <c r="AB301">
        <v>0.1</v>
      </c>
      <c r="AC301">
        <v>10830.02</v>
      </c>
      <c r="AD301">
        <v>7055.31</v>
      </c>
      <c r="AE301">
        <v>3774.71</v>
      </c>
      <c r="AF301" t="s">
        <v>30</v>
      </c>
      <c r="AG301" t="str">
        <f t="shared" si="59"/>
        <v>Paid</v>
      </c>
      <c r="AH301" t="s">
        <v>31</v>
      </c>
    </row>
    <row r="302" spans="1:34">
      <c r="A302" t="s">
        <v>1019</v>
      </c>
      <c r="B302">
        <f>COUNTIF($A:$A,A302)</f>
        <v>1</v>
      </c>
      <c r="C302" t="str">
        <f t="shared" si="50"/>
        <v>Unique</v>
      </c>
      <c r="D302" s="4">
        <v>45397</v>
      </c>
      <c r="E302">
        <f t="shared" si="51"/>
        <v>8</v>
      </c>
      <c r="F302" s="4">
        <v>45405</v>
      </c>
      <c r="G302" t="s">
        <v>1020</v>
      </c>
      <c r="H302" t="s">
        <v>160</v>
      </c>
      <c r="I302" t="str">
        <f t="shared" si="52"/>
        <v>Diya Patel</v>
      </c>
      <c r="J302" t="s">
        <v>35</v>
      </c>
      <c r="K302" t="str">
        <f t="shared" si="53"/>
        <v>Small Business</v>
      </c>
      <c r="L302" t="s">
        <v>23</v>
      </c>
      <c r="M302" t="str">
        <f t="shared" si="60"/>
        <v>North</v>
      </c>
      <c r="N302" t="s">
        <v>120</v>
      </c>
      <c r="O302" t="str">
        <f t="shared" si="54"/>
        <v>Punjab</v>
      </c>
      <c r="P302" t="s">
        <v>121</v>
      </c>
      <c r="Q302" t="str">
        <f t="shared" si="55"/>
        <v>Ludhiana</v>
      </c>
      <c r="R302" t="s">
        <v>72</v>
      </c>
      <c r="S302" t="str">
        <f t="shared" si="56"/>
        <v>Technology</v>
      </c>
      <c r="T302" t="s">
        <v>73</v>
      </c>
      <c r="U302" t="str">
        <f t="shared" si="57"/>
        <v>Accessories</v>
      </c>
      <c r="V302" t="s">
        <v>1021</v>
      </c>
      <c r="X302" t="s">
        <v>29</v>
      </c>
      <c r="Y302" t="str">
        <f t="shared" si="58"/>
        <v>Second Class</v>
      </c>
      <c r="Z302">
        <v>9</v>
      </c>
      <c r="AA302">
        <v>3893.74</v>
      </c>
      <c r="AB302">
        <v>0.1</v>
      </c>
      <c r="AC302">
        <v>31539.29</v>
      </c>
      <c r="AD302">
        <v>22100.14</v>
      </c>
      <c r="AE302">
        <v>9439.15</v>
      </c>
      <c r="AF302" t="s">
        <v>30</v>
      </c>
      <c r="AG302" t="str">
        <f t="shared" si="59"/>
        <v>Paid</v>
      </c>
      <c r="AH302" t="s">
        <v>31</v>
      </c>
    </row>
    <row r="303" spans="1:34">
      <c r="A303" t="s">
        <v>1022</v>
      </c>
      <c r="B303">
        <f>COUNTIF($A:$A,A303)</f>
        <v>1</v>
      </c>
      <c r="C303" t="str">
        <f t="shared" si="50"/>
        <v>Unique</v>
      </c>
      <c r="D303" s="4">
        <v>45805</v>
      </c>
      <c r="E303">
        <f t="shared" si="51"/>
        <v>-142</v>
      </c>
      <c r="F303" s="4">
        <v>45663</v>
      </c>
      <c r="G303" t="s">
        <v>1023</v>
      </c>
      <c r="H303" t="s">
        <v>45</v>
      </c>
      <c r="I303" t="str">
        <f t="shared" si="52"/>
        <v>Isha Nair</v>
      </c>
      <c r="J303" t="s">
        <v>93</v>
      </c>
      <c r="K303" t="str">
        <f t="shared" si="53"/>
        <v>Home Office</v>
      </c>
      <c r="L303" t="s">
        <v>36</v>
      </c>
      <c r="M303" t="str">
        <f t="shared" si="60"/>
        <v>East</v>
      </c>
      <c r="N303" t="s">
        <v>143</v>
      </c>
      <c r="O303" t="str">
        <f t="shared" si="54"/>
        <v>Bihar</v>
      </c>
      <c r="P303" t="s">
        <v>144</v>
      </c>
      <c r="Q303" t="str">
        <f t="shared" si="55"/>
        <v>Patna</v>
      </c>
      <c r="R303" t="s">
        <v>72</v>
      </c>
      <c r="S303" t="str">
        <f t="shared" si="56"/>
        <v>Technology</v>
      </c>
      <c r="T303" t="s">
        <v>169</v>
      </c>
      <c r="U303" t="str">
        <f t="shared" si="57"/>
        <v>Phones</v>
      </c>
      <c r="V303" t="s">
        <v>1024</v>
      </c>
      <c r="X303" t="s">
        <v>42</v>
      </c>
      <c r="Y303" t="str">
        <f t="shared" si="58"/>
        <v>Same Day</v>
      </c>
      <c r="Z303">
        <v>4</v>
      </c>
      <c r="AA303">
        <v>1654.11</v>
      </c>
      <c r="AB303">
        <v>0.05</v>
      </c>
      <c r="AC303">
        <v>6285.62</v>
      </c>
      <c r="AD303">
        <v>3705.38</v>
      </c>
      <c r="AE303">
        <v>2580.2399999999998</v>
      </c>
      <c r="AF303" t="s">
        <v>30</v>
      </c>
      <c r="AG303" t="str">
        <f t="shared" si="59"/>
        <v>Paid</v>
      </c>
      <c r="AH303" t="s">
        <v>31</v>
      </c>
    </row>
    <row r="304" spans="1:34">
      <c r="A304" t="s">
        <v>1025</v>
      </c>
      <c r="B304">
        <f>COUNTIF($A:$A,A304)</f>
        <v>1</v>
      </c>
      <c r="C304" t="str">
        <f t="shared" si="50"/>
        <v>Unique</v>
      </c>
      <c r="D304" s="4">
        <v>45753</v>
      </c>
      <c r="E304">
        <f t="shared" si="51"/>
        <v>244</v>
      </c>
      <c r="F304" s="4">
        <v>45997</v>
      </c>
      <c r="G304" t="s">
        <v>1026</v>
      </c>
      <c r="H304" t="s">
        <v>77</v>
      </c>
      <c r="I304" t="str">
        <f t="shared" si="52"/>
        <v>Neha Gupta</v>
      </c>
      <c r="J304" t="s">
        <v>22</v>
      </c>
      <c r="K304" t="str">
        <f t="shared" si="53"/>
        <v>Consumer</v>
      </c>
      <c r="L304" t="s">
        <v>61</v>
      </c>
      <c r="M304" t="str">
        <f t="shared" si="60"/>
        <v>West</v>
      </c>
      <c r="N304" t="s">
        <v>188</v>
      </c>
      <c r="O304" t="str">
        <f t="shared" si="54"/>
        <v>Goa</v>
      </c>
      <c r="P304" t="s">
        <v>189</v>
      </c>
      <c r="Q304" t="str">
        <f t="shared" si="55"/>
        <v>Panaji</v>
      </c>
      <c r="R304" t="s">
        <v>614</v>
      </c>
      <c r="S304" t="str">
        <f t="shared" si="56"/>
        <v>Office Supplies</v>
      </c>
      <c r="T304" t="s">
        <v>122</v>
      </c>
      <c r="U304" t="str">
        <f t="shared" si="57"/>
        <v>Storage</v>
      </c>
      <c r="V304" t="s">
        <v>1027</v>
      </c>
      <c r="X304" t="s">
        <v>42</v>
      </c>
      <c r="Y304" t="str">
        <f t="shared" si="58"/>
        <v>Same Day</v>
      </c>
      <c r="Z304">
        <v>2</v>
      </c>
      <c r="AA304">
        <v>2703.28</v>
      </c>
      <c r="AB304">
        <v>0.25</v>
      </c>
      <c r="AC304">
        <v>4054.92</v>
      </c>
      <c r="AD304">
        <v>2424.83</v>
      </c>
      <c r="AE304">
        <v>1630.09</v>
      </c>
      <c r="AF304" t="s">
        <v>30</v>
      </c>
      <c r="AG304" t="str">
        <f t="shared" si="59"/>
        <v>Paid</v>
      </c>
      <c r="AH304" t="s">
        <v>31</v>
      </c>
    </row>
    <row r="305" spans="1:34">
      <c r="A305" t="s">
        <v>1028</v>
      </c>
      <c r="B305">
        <f>COUNTIF($A:$A,A305)</f>
        <v>1</v>
      </c>
      <c r="C305" t="str">
        <f t="shared" si="50"/>
        <v>Unique</v>
      </c>
      <c r="D305" s="4">
        <v>45466</v>
      </c>
      <c r="E305">
        <f t="shared" si="51"/>
        <v>5</v>
      </c>
      <c r="F305" s="4">
        <v>45471</v>
      </c>
      <c r="G305" t="s">
        <v>1029</v>
      </c>
      <c r="H305" t="s">
        <v>160</v>
      </c>
      <c r="I305" t="str">
        <f t="shared" si="52"/>
        <v>Diya Patel</v>
      </c>
      <c r="J305" t="s">
        <v>93</v>
      </c>
      <c r="K305" t="str">
        <f t="shared" si="53"/>
        <v>Home Office</v>
      </c>
      <c r="L305" t="s">
        <v>61</v>
      </c>
      <c r="M305" t="str">
        <f t="shared" si="60"/>
        <v>West</v>
      </c>
      <c r="N305" t="s">
        <v>178</v>
      </c>
      <c r="O305" t="str">
        <f t="shared" si="54"/>
        <v>Gujarat</v>
      </c>
      <c r="P305" t="s">
        <v>179</v>
      </c>
      <c r="Q305" t="str">
        <f t="shared" si="55"/>
        <v>Ahmedabad</v>
      </c>
      <c r="R305" t="s">
        <v>39</v>
      </c>
      <c r="S305" t="str">
        <f t="shared" si="56"/>
        <v>Furniture</v>
      </c>
      <c r="T305" t="s">
        <v>64</v>
      </c>
      <c r="U305" t="str">
        <f t="shared" si="57"/>
        <v>Chairs</v>
      </c>
      <c r="V305" t="s">
        <v>1030</v>
      </c>
      <c r="X305" t="s">
        <v>57</v>
      </c>
      <c r="Y305" t="str">
        <f t="shared" si="58"/>
        <v>Standard Class</v>
      </c>
      <c r="Z305">
        <v>2</v>
      </c>
      <c r="AA305">
        <v>1313.14</v>
      </c>
      <c r="AB305">
        <v>0.1</v>
      </c>
      <c r="AC305">
        <v>2363.65</v>
      </c>
      <c r="AD305">
        <v>1876.1</v>
      </c>
      <c r="AE305">
        <v>487.55</v>
      </c>
      <c r="AF305" t="s">
        <v>109</v>
      </c>
      <c r="AG305" t="str">
        <f t="shared" si="59"/>
        <v>Pending</v>
      </c>
      <c r="AH305" t="s">
        <v>101</v>
      </c>
    </row>
    <row r="306" spans="1:34">
      <c r="A306" t="s">
        <v>1031</v>
      </c>
      <c r="B306">
        <f>COUNTIF($A:$A,A306)</f>
        <v>1</v>
      </c>
      <c r="C306" t="str">
        <f t="shared" si="50"/>
        <v>Unique</v>
      </c>
      <c r="D306" s="4">
        <v>45357</v>
      </c>
      <c r="E306">
        <f t="shared" si="51"/>
        <v>7</v>
      </c>
      <c r="F306" s="4">
        <v>45364</v>
      </c>
      <c r="G306" t="s">
        <v>1032</v>
      </c>
      <c r="H306" t="s">
        <v>21</v>
      </c>
      <c r="I306" t="str">
        <f t="shared" si="52"/>
        <v>Karan Malhotra</v>
      </c>
      <c r="J306" t="s">
        <v>22</v>
      </c>
      <c r="K306" t="str">
        <f t="shared" si="53"/>
        <v>Consumer</v>
      </c>
      <c r="L306" t="s">
        <v>23</v>
      </c>
      <c r="M306" t="str">
        <f t="shared" si="60"/>
        <v>North</v>
      </c>
      <c r="N306" t="s">
        <v>120</v>
      </c>
      <c r="O306" t="str">
        <f t="shared" si="54"/>
        <v>Punjab</v>
      </c>
      <c r="P306" t="s">
        <v>121</v>
      </c>
      <c r="Q306" t="str">
        <f t="shared" si="55"/>
        <v>Ludhiana</v>
      </c>
      <c r="R306" t="s">
        <v>39</v>
      </c>
      <c r="S306" t="str">
        <f t="shared" si="56"/>
        <v>Furniture</v>
      </c>
      <c r="T306" t="s">
        <v>55</v>
      </c>
      <c r="U306" t="str">
        <f t="shared" si="57"/>
        <v>Furnishings</v>
      </c>
      <c r="V306" t="s">
        <v>1033</v>
      </c>
      <c r="X306" t="s">
        <v>57</v>
      </c>
      <c r="Y306" t="str">
        <f t="shared" si="58"/>
        <v>Standard Class</v>
      </c>
      <c r="Z306">
        <v>6</v>
      </c>
      <c r="AA306">
        <v>2403.0500000000002</v>
      </c>
      <c r="AB306">
        <v>0.1</v>
      </c>
      <c r="AC306">
        <v>12976.47</v>
      </c>
      <c r="AD306">
        <v>10019.98</v>
      </c>
      <c r="AE306">
        <v>2956.49</v>
      </c>
      <c r="AF306" t="s">
        <v>30</v>
      </c>
      <c r="AG306" t="str">
        <f t="shared" si="59"/>
        <v>Paid</v>
      </c>
      <c r="AH306" t="s">
        <v>31</v>
      </c>
    </row>
    <row r="307" spans="1:34">
      <c r="A307" t="s">
        <v>1034</v>
      </c>
      <c r="B307">
        <f>COUNTIF($A:$A,A307)</f>
        <v>1</v>
      </c>
      <c r="C307" t="str">
        <f t="shared" si="50"/>
        <v>Unique</v>
      </c>
      <c r="D307" s="4">
        <v>45296</v>
      </c>
      <c r="E307">
        <f t="shared" si="51"/>
        <v>118</v>
      </c>
      <c r="F307" s="4">
        <v>45414</v>
      </c>
      <c r="G307" t="s">
        <v>1035</v>
      </c>
      <c r="H307" t="s">
        <v>60</v>
      </c>
      <c r="I307" t="str">
        <f t="shared" si="52"/>
        <v>Ananya Rao</v>
      </c>
      <c r="J307" t="s">
        <v>22</v>
      </c>
      <c r="K307" t="str">
        <f t="shared" si="53"/>
        <v>Consumer</v>
      </c>
      <c r="L307" t="s">
        <v>36</v>
      </c>
      <c r="M307" t="str">
        <f t="shared" si="60"/>
        <v>East</v>
      </c>
      <c r="N307" t="s">
        <v>164</v>
      </c>
      <c r="O307" t="str">
        <f t="shared" si="54"/>
        <v>Assam</v>
      </c>
      <c r="P307" t="s">
        <v>165</v>
      </c>
      <c r="Q307" t="str">
        <f t="shared" si="55"/>
        <v>Guwahati</v>
      </c>
      <c r="R307" t="s">
        <v>39</v>
      </c>
      <c r="S307" t="str">
        <f t="shared" si="56"/>
        <v>Furniture</v>
      </c>
      <c r="T307" t="s">
        <v>64</v>
      </c>
      <c r="U307" t="str">
        <f t="shared" si="57"/>
        <v>Chairs</v>
      </c>
      <c r="V307" t="s">
        <v>1036</v>
      </c>
      <c r="X307" t="s">
        <v>48</v>
      </c>
      <c r="Y307" t="str">
        <f t="shared" si="58"/>
        <v>First Class</v>
      </c>
      <c r="Z307">
        <v>4</v>
      </c>
      <c r="AA307">
        <v>4156.0600000000004</v>
      </c>
      <c r="AB307">
        <v>0.55000000000000004</v>
      </c>
      <c r="AC307">
        <v>13299.39</v>
      </c>
      <c r="AD307">
        <v>9851.91</v>
      </c>
      <c r="AE307">
        <v>3447.48</v>
      </c>
      <c r="AF307" t="s">
        <v>30</v>
      </c>
      <c r="AG307" t="str">
        <f t="shared" si="59"/>
        <v>Paid</v>
      </c>
      <c r="AH307" t="s">
        <v>66</v>
      </c>
    </row>
    <row r="308" spans="1:34">
      <c r="A308" t="s">
        <v>1037</v>
      </c>
      <c r="B308">
        <f>COUNTIF($A:$A,A308)</f>
        <v>1</v>
      </c>
      <c r="C308" t="str">
        <f t="shared" si="50"/>
        <v>Unique</v>
      </c>
      <c r="D308" s="4">
        <v>45708</v>
      </c>
      <c r="E308">
        <f t="shared" si="51"/>
        <v>3</v>
      </c>
      <c r="F308" s="4">
        <v>45711</v>
      </c>
      <c r="G308" t="s">
        <v>1038</v>
      </c>
      <c r="H308" t="s">
        <v>126</v>
      </c>
      <c r="I308" t="str">
        <f t="shared" si="52"/>
        <v>Aarav Sharma</v>
      </c>
      <c r="J308" t="s">
        <v>22</v>
      </c>
      <c r="K308" t="str">
        <f t="shared" si="53"/>
        <v>Consumer</v>
      </c>
      <c r="L308" t="s">
        <v>23</v>
      </c>
      <c r="M308" t="str">
        <f t="shared" si="60"/>
        <v>North</v>
      </c>
      <c r="N308" t="s">
        <v>24</v>
      </c>
      <c r="O308" t="str">
        <f t="shared" si="54"/>
        <v>Rajasthan</v>
      </c>
      <c r="P308" t="s">
        <v>25</v>
      </c>
      <c r="Q308" t="str">
        <f t="shared" si="55"/>
        <v>Jaipur</v>
      </c>
      <c r="R308" t="s">
        <v>72</v>
      </c>
      <c r="S308" t="str">
        <f t="shared" si="56"/>
        <v>Technology</v>
      </c>
      <c r="T308" t="s">
        <v>169</v>
      </c>
      <c r="U308" t="str">
        <f t="shared" si="57"/>
        <v>Phones</v>
      </c>
      <c r="V308" t="s">
        <v>1039</v>
      </c>
      <c r="X308" t="s">
        <v>29</v>
      </c>
      <c r="Y308" t="str">
        <f t="shared" si="58"/>
        <v>Second Class</v>
      </c>
      <c r="Z308">
        <v>4</v>
      </c>
      <c r="AA308">
        <v>3673.11</v>
      </c>
      <c r="AB308">
        <v>0</v>
      </c>
      <c r="AC308">
        <v>14692.44</v>
      </c>
      <c r="AD308">
        <v>10082.19</v>
      </c>
      <c r="AE308">
        <v>4610.25</v>
      </c>
      <c r="AF308" t="s">
        <v>30</v>
      </c>
      <c r="AG308" t="str">
        <f t="shared" si="59"/>
        <v>Paid</v>
      </c>
      <c r="AH308" t="s">
        <v>31</v>
      </c>
    </row>
    <row r="309" spans="1:34">
      <c r="A309" t="s">
        <v>1040</v>
      </c>
      <c r="B309">
        <f>COUNTIF($A:$A,A309)</f>
        <v>1</v>
      </c>
      <c r="C309" t="str">
        <f t="shared" si="50"/>
        <v>Unique</v>
      </c>
      <c r="D309" s="4">
        <v>45998</v>
      </c>
      <c r="E309">
        <f t="shared" si="51"/>
        <v>-141</v>
      </c>
      <c r="F309" s="4">
        <v>45857</v>
      </c>
      <c r="G309" t="s">
        <v>1041</v>
      </c>
      <c r="H309" t="s">
        <v>60</v>
      </c>
      <c r="I309" t="str">
        <f t="shared" si="52"/>
        <v>Ananya Rao</v>
      </c>
      <c r="J309" t="s">
        <v>88</v>
      </c>
      <c r="K309" t="str">
        <f t="shared" si="53"/>
        <v>Corporate</v>
      </c>
      <c r="L309" t="s">
        <v>23</v>
      </c>
      <c r="M309" t="str">
        <f t="shared" si="60"/>
        <v>North</v>
      </c>
      <c r="N309" t="s">
        <v>134</v>
      </c>
      <c r="O309" t="str">
        <f t="shared" si="54"/>
        <v>Uttar Pradesh</v>
      </c>
      <c r="P309" t="s">
        <v>135</v>
      </c>
      <c r="Q309" t="str">
        <f t="shared" si="55"/>
        <v>Noida</v>
      </c>
      <c r="R309" t="s">
        <v>39</v>
      </c>
      <c r="S309" t="str">
        <f t="shared" si="56"/>
        <v>Furniture</v>
      </c>
      <c r="T309" t="s">
        <v>40</v>
      </c>
      <c r="U309" t="str">
        <f t="shared" si="57"/>
        <v>Tables</v>
      </c>
      <c r="V309" t="s">
        <v>1042</v>
      </c>
      <c r="X309" t="s">
        <v>48</v>
      </c>
      <c r="Y309" t="str">
        <f t="shared" si="58"/>
        <v>First Class</v>
      </c>
      <c r="Z309">
        <v>9</v>
      </c>
      <c r="AA309">
        <v>4093.04</v>
      </c>
      <c r="AB309">
        <v>0.2</v>
      </c>
      <c r="AC309">
        <v>29469.89</v>
      </c>
      <c r="AD309">
        <v>18935.509999999998</v>
      </c>
      <c r="AE309">
        <v>10534.38</v>
      </c>
      <c r="AF309" t="s">
        <v>1043</v>
      </c>
      <c r="AG309" t="str">
        <f t="shared" si="59"/>
        <v>Pending</v>
      </c>
      <c r="AH309" t="s">
        <v>66</v>
      </c>
    </row>
    <row r="310" spans="1:34">
      <c r="A310" t="s">
        <v>1044</v>
      </c>
      <c r="B310">
        <f>COUNTIF($A:$A,A310)</f>
        <v>1</v>
      </c>
      <c r="C310" t="str">
        <f t="shared" si="50"/>
        <v>Unique</v>
      </c>
      <c r="D310" s="4">
        <v>45821</v>
      </c>
      <c r="E310">
        <f t="shared" si="51"/>
        <v>6</v>
      </c>
      <c r="F310" s="4">
        <v>45827</v>
      </c>
      <c r="G310" t="s">
        <v>1045</v>
      </c>
      <c r="H310" t="s">
        <v>139</v>
      </c>
      <c r="I310" t="str">
        <f t="shared" si="52"/>
        <v>Rohan Mehta</v>
      </c>
      <c r="J310" t="s">
        <v>22</v>
      </c>
      <c r="K310" t="str">
        <f t="shared" si="53"/>
        <v>Consumer</v>
      </c>
      <c r="L310" t="s">
        <v>23</v>
      </c>
      <c r="M310" t="str">
        <f t="shared" si="60"/>
        <v>North</v>
      </c>
      <c r="N310" t="s">
        <v>24</v>
      </c>
      <c r="O310" t="str">
        <f t="shared" si="54"/>
        <v>Rajasthan</v>
      </c>
      <c r="P310" t="s">
        <v>25</v>
      </c>
      <c r="Q310" t="str">
        <f t="shared" si="55"/>
        <v>Jaipur</v>
      </c>
      <c r="R310" t="s">
        <v>39</v>
      </c>
      <c r="S310" t="str">
        <f t="shared" si="56"/>
        <v>Furniture</v>
      </c>
      <c r="T310" t="s">
        <v>40</v>
      </c>
      <c r="U310" t="str">
        <f t="shared" si="57"/>
        <v>Tables</v>
      </c>
      <c r="V310" t="s">
        <v>1046</v>
      </c>
      <c r="X310" t="s">
        <v>48</v>
      </c>
      <c r="Y310" t="str">
        <f t="shared" si="58"/>
        <v>First Class</v>
      </c>
      <c r="Z310">
        <v>4</v>
      </c>
      <c r="AA310">
        <v>731.57</v>
      </c>
      <c r="AB310">
        <v>0.2</v>
      </c>
      <c r="AC310">
        <v>2341.02</v>
      </c>
      <c r="AD310">
        <v>1565.49</v>
      </c>
      <c r="AE310">
        <v>775.53</v>
      </c>
      <c r="AF310" t="s">
        <v>30</v>
      </c>
      <c r="AG310" t="str">
        <f t="shared" si="59"/>
        <v>Paid</v>
      </c>
      <c r="AH310" t="s">
        <v>31</v>
      </c>
    </row>
    <row r="311" spans="1:34">
      <c r="A311" t="s">
        <v>1047</v>
      </c>
      <c r="B311">
        <f>COUNTIF($A:$A,A311)</f>
        <v>1</v>
      </c>
      <c r="C311" t="str">
        <f t="shared" si="50"/>
        <v>Unique</v>
      </c>
      <c r="D311" s="4">
        <v>45493</v>
      </c>
      <c r="E311">
        <f t="shared" si="51"/>
        <v>2</v>
      </c>
      <c r="F311" s="4">
        <v>45495</v>
      </c>
      <c r="G311" t="s">
        <v>1048</v>
      </c>
      <c r="H311" t="s">
        <v>60</v>
      </c>
      <c r="I311" t="str">
        <f t="shared" si="52"/>
        <v>Ananya Rao</v>
      </c>
      <c r="J311" t="s">
        <v>22</v>
      </c>
      <c r="K311" t="str">
        <f t="shared" si="53"/>
        <v>Consumer</v>
      </c>
      <c r="L311" t="s">
        <v>52</v>
      </c>
      <c r="M311" t="str">
        <f t="shared" ref="M311:M342" si="61">PROPER(TRIM(L311))</f>
        <v>South</v>
      </c>
      <c r="N311" t="s">
        <v>246</v>
      </c>
      <c r="O311" t="str">
        <f t="shared" si="54"/>
        <v>Tamil Nadu</v>
      </c>
      <c r="P311" t="s">
        <v>247</v>
      </c>
      <c r="Q311" t="str">
        <f t="shared" si="55"/>
        <v>Chennai</v>
      </c>
      <c r="R311" t="s">
        <v>39</v>
      </c>
      <c r="S311" t="str">
        <f t="shared" si="56"/>
        <v>Furniture</v>
      </c>
      <c r="T311" t="s">
        <v>40</v>
      </c>
      <c r="U311" t="str">
        <f t="shared" si="57"/>
        <v>Tables</v>
      </c>
      <c r="V311" t="s">
        <v>1049</v>
      </c>
      <c r="X311" t="s">
        <v>48</v>
      </c>
      <c r="Y311" t="str">
        <f t="shared" si="58"/>
        <v>First Class</v>
      </c>
      <c r="Z311">
        <v>7</v>
      </c>
      <c r="AA311">
        <v>2060.73</v>
      </c>
      <c r="AB311">
        <v>0.1</v>
      </c>
      <c r="AC311">
        <v>12982.6</v>
      </c>
      <c r="AD311">
        <v>7246.36</v>
      </c>
      <c r="AE311">
        <v>5736.24</v>
      </c>
      <c r="AF311" t="s">
        <v>30</v>
      </c>
      <c r="AG311" t="str">
        <f t="shared" si="59"/>
        <v>Paid</v>
      </c>
      <c r="AH311" t="s">
        <v>66</v>
      </c>
    </row>
    <row r="312" spans="1:34">
      <c r="A312" t="s">
        <v>1050</v>
      </c>
      <c r="B312">
        <f>COUNTIF($A:$A,A312)</f>
        <v>1</v>
      </c>
      <c r="C312" t="str">
        <f t="shared" si="50"/>
        <v>Unique</v>
      </c>
      <c r="D312" s="4">
        <v>45389</v>
      </c>
      <c r="E312">
        <f t="shared" si="51"/>
        <v>122</v>
      </c>
      <c r="F312" s="4">
        <v>45511</v>
      </c>
      <c r="G312" t="s">
        <v>1051</v>
      </c>
      <c r="H312" t="s">
        <v>139</v>
      </c>
      <c r="I312" t="str">
        <f t="shared" si="52"/>
        <v>Rohan Mehta</v>
      </c>
      <c r="J312" t="s">
        <v>35</v>
      </c>
      <c r="K312" t="str">
        <f t="shared" si="53"/>
        <v>Small Business</v>
      </c>
      <c r="L312" t="s">
        <v>52</v>
      </c>
      <c r="M312" t="str">
        <f t="shared" si="61"/>
        <v>South</v>
      </c>
      <c r="N312" t="s">
        <v>246</v>
      </c>
      <c r="O312" t="str">
        <f t="shared" si="54"/>
        <v>Tamil Nadu</v>
      </c>
      <c r="P312" t="s">
        <v>247</v>
      </c>
      <c r="Q312" t="str">
        <f t="shared" si="55"/>
        <v>Chennai</v>
      </c>
      <c r="R312" t="s">
        <v>72</v>
      </c>
      <c r="S312" t="str">
        <f t="shared" si="56"/>
        <v>Technology</v>
      </c>
      <c r="T312" t="s">
        <v>273</v>
      </c>
      <c r="U312" t="str">
        <f t="shared" si="57"/>
        <v>Machines</v>
      </c>
      <c r="V312" t="s">
        <v>1052</v>
      </c>
      <c r="X312" t="s">
        <v>48</v>
      </c>
      <c r="Y312" t="str">
        <f t="shared" si="58"/>
        <v>First Class</v>
      </c>
      <c r="Z312">
        <v>8</v>
      </c>
      <c r="AA312">
        <v>2034.25</v>
      </c>
      <c r="AB312">
        <v>0</v>
      </c>
      <c r="AC312">
        <v>16274</v>
      </c>
      <c r="AD312">
        <v>9424.25</v>
      </c>
      <c r="AE312">
        <v>6849.75</v>
      </c>
      <c r="AF312" t="s">
        <v>30</v>
      </c>
      <c r="AG312" t="str">
        <f t="shared" si="59"/>
        <v>Paid</v>
      </c>
      <c r="AH312" t="s">
        <v>31</v>
      </c>
    </row>
    <row r="313" spans="1:34">
      <c r="A313" t="s">
        <v>1053</v>
      </c>
      <c r="B313">
        <f>COUNTIF($A:$A,A313)</f>
        <v>1</v>
      </c>
      <c r="C313" t="str">
        <f t="shared" si="50"/>
        <v>Unique</v>
      </c>
      <c r="D313" s="4">
        <v>45409</v>
      </c>
      <c r="E313">
        <f t="shared" si="51"/>
        <v>-82</v>
      </c>
      <c r="F313" s="4">
        <v>45327</v>
      </c>
      <c r="G313" t="s">
        <v>1054</v>
      </c>
      <c r="H313" t="s">
        <v>34</v>
      </c>
      <c r="I313" t="str">
        <f t="shared" si="52"/>
        <v>Mira Das</v>
      </c>
      <c r="J313" t="s">
        <v>88</v>
      </c>
      <c r="K313" t="str">
        <f t="shared" si="53"/>
        <v>Corporate</v>
      </c>
      <c r="L313" t="s">
        <v>52</v>
      </c>
      <c r="M313" t="str">
        <f t="shared" si="61"/>
        <v>South</v>
      </c>
      <c r="N313" t="s">
        <v>173</v>
      </c>
      <c r="O313" t="str">
        <f t="shared" si="54"/>
        <v>Karnataka</v>
      </c>
      <c r="P313" t="s">
        <v>174</v>
      </c>
      <c r="Q313" t="str">
        <f t="shared" si="55"/>
        <v>Bengaluru</v>
      </c>
      <c r="R313" t="s">
        <v>26</v>
      </c>
      <c r="S313" t="str">
        <f t="shared" si="56"/>
        <v>Office Supplies</v>
      </c>
      <c r="T313" t="s">
        <v>151</v>
      </c>
      <c r="U313" t="str">
        <f t="shared" si="57"/>
        <v>Binders</v>
      </c>
      <c r="V313" t="s">
        <v>1055</v>
      </c>
      <c r="X313" t="s">
        <v>29</v>
      </c>
      <c r="Y313" t="str">
        <f t="shared" si="58"/>
        <v>Second Class</v>
      </c>
      <c r="Z313">
        <v>5</v>
      </c>
      <c r="AA313">
        <v>554.04</v>
      </c>
      <c r="AB313">
        <v>0.1</v>
      </c>
      <c r="AC313">
        <v>2493.1799999999998</v>
      </c>
      <c r="AD313">
        <v>1764</v>
      </c>
      <c r="AE313">
        <v>729.18</v>
      </c>
      <c r="AF313" t="s">
        <v>30</v>
      </c>
      <c r="AG313" t="str">
        <f t="shared" si="59"/>
        <v>Paid</v>
      </c>
      <c r="AH313" t="s">
        <v>31</v>
      </c>
    </row>
    <row r="314" spans="1:34">
      <c r="A314" t="s">
        <v>1056</v>
      </c>
      <c r="B314">
        <f>COUNTIF($A:$A,A314)</f>
        <v>1</v>
      </c>
      <c r="C314" t="str">
        <f t="shared" si="50"/>
        <v>Unique</v>
      </c>
      <c r="D314" s="4">
        <v>45504</v>
      </c>
      <c r="E314">
        <f t="shared" si="51"/>
        <v>-114</v>
      </c>
      <c r="F314" s="4">
        <v>45390</v>
      </c>
      <c r="G314" t="s">
        <v>1057</v>
      </c>
      <c r="H314" t="s">
        <v>21</v>
      </c>
      <c r="I314" t="str">
        <f t="shared" si="52"/>
        <v>Karan Malhotra</v>
      </c>
      <c r="J314" t="s">
        <v>35</v>
      </c>
      <c r="K314" t="str">
        <f t="shared" si="53"/>
        <v>Small Business</v>
      </c>
      <c r="L314" t="s">
        <v>36</v>
      </c>
      <c r="M314" t="str">
        <f t="shared" si="61"/>
        <v>East</v>
      </c>
      <c r="N314" t="s">
        <v>164</v>
      </c>
      <c r="O314" t="str">
        <f t="shared" si="54"/>
        <v>Assam</v>
      </c>
      <c r="P314" t="s">
        <v>165</v>
      </c>
      <c r="Q314" t="str">
        <f t="shared" si="55"/>
        <v>Guwahati</v>
      </c>
      <c r="R314" t="s">
        <v>72</v>
      </c>
      <c r="S314" t="str">
        <f t="shared" si="56"/>
        <v>Technology</v>
      </c>
      <c r="T314" t="s">
        <v>169</v>
      </c>
      <c r="U314" t="str">
        <f t="shared" si="57"/>
        <v>Phones</v>
      </c>
      <c r="V314" t="s">
        <v>1058</v>
      </c>
      <c r="X314" t="s">
        <v>57</v>
      </c>
      <c r="Y314" t="str">
        <f t="shared" si="58"/>
        <v>Standard Class</v>
      </c>
      <c r="Z314">
        <v>8</v>
      </c>
      <c r="AA314">
        <v>2614.7399999999998</v>
      </c>
      <c r="AC314">
        <v>15688.44</v>
      </c>
      <c r="AD314">
        <v>10047.33</v>
      </c>
      <c r="AE314">
        <v>5641.11</v>
      </c>
      <c r="AF314" t="s">
        <v>30</v>
      </c>
      <c r="AG314" t="str">
        <f t="shared" si="59"/>
        <v>Paid</v>
      </c>
      <c r="AH314" t="s">
        <v>66</v>
      </c>
    </row>
    <row r="315" spans="1:34">
      <c r="A315" t="s">
        <v>1059</v>
      </c>
      <c r="B315">
        <f>COUNTIF($A:$A,A315)</f>
        <v>1</v>
      </c>
      <c r="C315" t="str">
        <f t="shared" si="50"/>
        <v>Unique</v>
      </c>
      <c r="D315" s="4">
        <v>45807</v>
      </c>
      <c r="E315">
        <f t="shared" si="51"/>
        <v>1</v>
      </c>
      <c r="F315" s="4">
        <v>45808</v>
      </c>
      <c r="G315" t="s">
        <v>1060</v>
      </c>
      <c r="H315" t="s">
        <v>116</v>
      </c>
      <c r="I315" t="str">
        <f t="shared" si="52"/>
        <v>Rahul Verma</v>
      </c>
      <c r="J315" t="s">
        <v>88</v>
      </c>
      <c r="K315" t="str">
        <f t="shared" si="53"/>
        <v>Corporate</v>
      </c>
      <c r="L315" t="s">
        <v>23</v>
      </c>
      <c r="M315" t="str">
        <f t="shared" si="61"/>
        <v>North</v>
      </c>
      <c r="N315" t="s">
        <v>134</v>
      </c>
      <c r="O315" t="str">
        <f t="shared" si="54"/>
        <v>Uttar Pradesh</v>
      </c>
      <c r="P315" t="s">
        <v>135</v>
      </c>
      <c r="Q315" t="str">
        <f t="shared" si="55"/>
        <v>Noida</v>
      </c>
      <c r="R315" t="s">
        <v>72</v>
      </c>
      <c r="S315" t="str">
        <f t="shared" si="56"/>
        <v>Technology</v>
      </c>
      <c r="T315" t="s">
        <v>169</v>
      </c>
      <c r="U315" t="str">
        <f t="shared" si="57"/>
        <v>Phones</v>
      </c>
      <c r="V315" t="s">
        <v>1061</v>
      </c>
      <c r="X315" t="s">
        <v>48</v>
      </c>
      <c r="Y315" t="str">
        <f t="shared" si="58"/>
        <v>First Class</v>
      </c>
      <c r="Z315">
        <v>8</v>
      </c>
      <c r="AA315">
        <v>2081.4299999999998</v>
      </c>
      <c r="AB315">
        <v>0.25</v>
      </c>
      <c r="AC315">
        <v>12488.58</v>
      </c>
      <c r="AD315">
        <v>10717.4</v>
      </c>
      <c r="AE315">
        <v>1771.18</v>
      </c>
      <c r="AF315" t="s">
        <v>100</v>
      </c>
      <c r="AG315" t="str">
        <f t="shared" si="59"/>
        <v>Refunded</v>
      </c>
      <c r="AH315" t="s">
        <v>66</v>
      </c>
    </row>
    <row r="316" spans="1:34">
      <c r="A316" t="s">
        <v>1062</v>
      </c>
      <c r="B316">
        <f>COUNTIF($A:$A,A316)</f>
        <v>1</v>
      </c>
      <c r="C316" t="str">
        <f t="shared" si="50"/>
        <v>Unique</v>
      </c>
      <c r="D316" s="4">
        <v>45795</v>
      </c>
      <c r="E316">
        <f t="shared" si="51"/>
        <v>2</v>
      </c>
      <c r="F316" s="4">
        <v>45797</v>
      </c>
      <c r="G316" t="s">
        <v>1063</v>
      </c>
      <c r="H316" t="s">
        <v>45</v>
      </c>
      <c r="I316" t="str">
        <f t="shared" si="52"/>
        <v>Isha Nair</v>
      </c>
      <c r="J316" t="s">
        <v>88</v>
      </c>
      <c r="K316" t="str">
        <f t="shared" si="53"/>
        <v>Corporate</v>
      </c>
      <c r="L316" t="s">
        <v>61</v>
      </c>
      <c r="M316" t="str">
        <f t="shared" si="61"/>
        <v>West</v>
      </c>
      <c r="N316" t="s">
        <v>70</v>
      </c>
      <c r="O316" t="str">
        <f t="shared" si="54"/>
        <v>Madhya Pradesh</v>
      </c>
      <c r="P316" t="s">
        <v>71</v>
      </c>
      <c r="Q316" t="str">
        <f t="shared" si="55"/>
        <v>Indore</v>
      </c>
      <c r="R316" t="s">
        <v>26</v>
      </c>
      <c r="S316" t="str">
        <f t="shared" si="56"/>
        <v>Office Supplies</v>
      </c>
      <c r="T316" t="s">
        <v>89</v>
      </c>
      <c r="U316" t="str">
        <f t="shared" si="57"/>
        <v>Labels</v>
      </c>
      <c r="V316" t="s">
        <v>1064</v>
      </c>
      <c r="X316" t="s">
        <v>57</v>
      </c>
      <c r="Y316" t="str">
        <f t="shared" si="58"/>
        <v>Standard Class</v>
      </c>
      <c r="Z316">
        <v>9</v>
      </c>
      <c r="AA316">
        <v>847.76</v>
      </c>
      <c r="AB316">
        <v>0.15</v>
      </c>
      <c r="AC316">
        <v>6485.36</v>
      </c>
      <c r="AD316">
        <v>5376.17</v>
      </c>
      <c r="AE316">
        <v>1109.19</v>
      </c>
      <c r="AF316" t="s">
        <v>153</v>
      </c>
      <c r="AG316" t="str">
        <f t="shared" si="59"/>
        <v>Failed</v>
      </c>
      <c r="AH316" t="s">
        <v>101</v>
      </c>
    </row>
    <row r="317" spans="1:34">
      <c r="A317" t="s">
        <v>1065</v>
      </c>
      <c r="B317">
        <f>COUNTIF($A:$A,A317)</f>
        <v>1</v>
      </c>
      <c r="C317" t="str">
        <f t="shared" si="50"/>
        <v>Unique</v>
      </c>
      <c r="D317" s="4">
        <v>45329</v>
      </c>
      <c r="E317">
        <f t="shared" si="51"/>
        <v>182</v>
      </c>
      <c r="F317" s="4">
        <v>45511</v>
      </c>
      <c r="G317" t="s">
        <v>1066</v>
      </c>
      <c r="H317" t="s">
        <v>139</v>
      </c>
      <c r="I317" t="str">
        <f t="shared" si="52"/>
        <v>Rohan Mehta</v>
      </c>
      <c r="J317" t="s">
        <v>22</v>
      </c>
      <c r="K317" t="str">
        <f t="shared" si="53"/>
        <v>Consumer</v>
      </c>
      <c r="L317" t="s">
        <v>23</v>
      </c>
      <c r="M317" t="str">
        <f t="shared" si="61"/>
        <v>North</v>
      </c>
      <c r="N317" t="s">
        <v>349</v>
      </c>
      <c r="O317" t="str">
        <f t="shared" si="54"/>
        <v>Delhi</v>
      </c>
      <c r="P317" t="s">
        <v>350</v>
      </c>
      <c r="Q317" t="str">
        <f t="shared" si="55"/>
        <v>New Delhi</v>
      </c>
      <c r="R317" t="s">
        <v>26</v>
      </c>
      <c r="S317" t="str">
        <f t="shared" si="56"/>
        <v>Office Supplies</v>
      </c>
      <c r="T317" t="s">
        <v>27</v>
      </c>
      <c r="U317" t="str">
        <f t="shared" si="57"/>
        <v>Paper</v>
      </c>
      <c r="V317" t="s">
        <v>1067</v>
      </c>
      <c r="X317" t="s">
        <v>57</v>
      </c>
      <c r="Y317" t="str">
        <f t="shared" si="58"/>
        <v>Standard Class</v>
      </c>
      <c r="Z317">
        <v>9</v>
      </c>
      <c r="AA317">
        <v>3450.4</v>
      </c>
      <c r="AB317">
        <v>0.05</v>
      </c>
      <c r="AC317">
        <v>29500.92</v>
      </c>
      <c r="AD317">
        <v>17989.68</v>
      </c>
      <c r="AE317">
        <v>11511.24</v>
      </c>
      <c r="AF317" t="s">
        <v>109</v>
      </c>
      <c r="AG317" t="str">
        <f t="shared" si="59"/>
        <v>Pending</v>
      </c>
      <c r="AH317" t="s">
        <v>101</v>
      </c>
    </row>
    <row r="318" spans="1:34">
      <c r="A318" t="s">
        <v>1068</v>
      </c>
      <c r="B318">
        <f>COUNTIF($A:$A,A318)</f>
        <v>1</v>
      </c>
      <c r="C318" t="str">
        <f t="shared" si="50"/>
        <v>Unique</v>
      </c>
      <c r="D318" s="4">
        <v>45338</v>
      </c>
      <c r="E318">
        <f t="shared" si="51"/>
        <v>2</v>
      </c>
      <c r="F318" s="4">
        <v>45340</v>
      </c>
      <c r="G318" t="s">
        <v>1069</v>
      </c>
      <c r="H318" t="s">
        <v>21</v>
      </c>
      <c r="I318" t="str">
        <f t="shared" si="52"/>
        <v>Karan Malhotra</v>
      </c>
      <c r="J318" t="s">
        <v>88</v>
      </c>
      <c r="K318" t="str">
        <f t="shared" si="53"/>
        <v>Corporate</v>
      </c>
      <c r="L318" t="s">
        <v>23</v>
      </c>
      <c r="M318" t="str">
        <f t="shared" si="61"/>
        <v>North</v>
      </c>
      <c r="N318" t="s">
        <v>120</v>
      </c>
      <c r="O318" t="str">
        <f t="shared" si="54"/>
        <v>Punjab</v>
      </c>
      <c r="P318" t="s">
        <v>121</v>
      </c>
      <c r="Q318" t="str">
        <f t="shared" si="55"/>
        <v>Ludhiana</v>
      </c>
      <c r="R318" t="s">
        <v>26</v>
      </c>
      <c r="S318" t="str">
        <f t="shared" si="56"/>
        <v>Office Supplies</v>
      </c>
      <c r="T318" t="s">
        <v>89</v>
      </c>
      <c r="U318" t="str">
        <f t="shared" si="57"/>
        <v>Labels</v>
      </c>
      <c r="V318" t="s">
        <v>1070</v>
      </c>
      <c r="X318" t="s">
        <v>57</v>
      </c>
      <c r="Y318" t="str">
        <f t="shared" si="58"/>
        <v>Standard Class</v>
      </c>
      <c r="Z318">
        <v>2</v>
      </c>
      <c r="AA318">
        <v>1947.53</v>
      </c>
      <c r="AB318">
        <v>0.2</v>
      </c>
      <c r="AC318">
        <v>3116.05</v>
      </c>
      <c r="AD318">
        <v>1956.63</v>
      </c>
      <c r="AE318">
        <v>1159.42</v>
      </c>
      <c r="AF318" t="s">
        <v>30</v>
      </c>
      <c r="AG318" t="str">
        <f t="shared" si="59"/>
        <v>Paid</v>
      </c>
      <c r="AH318" t="s">
        <v>66</v>
      </c>
    </row>
    <row r="319" spans="1:34">
      <c r="A319" t="s">
        <v>1071</v>
      </c>
      <c r="B319">
        <f>COUNTIF($A:$A,A319)</f>
        <v>1</v>
      </c>
      <c r="C319" t="str">
        <f t="shared" si="50"/>
        <v>Unique</v>
      </c>
      <c r="D319" s="4">
        <v>45898</v>
      </c>
      <c r="E319">
        <f t="shared" si="51"/>
        <v>-142</v>
      </c>
      <c r="F319" s="4">
        <v>45756</v>
      </c>
      <c r="G319" t="s">
        <v>1072</v>
      </c>
      <c r="H319" t="s">
        <v>77</v>
      </c>
      <c r="I319" t="str">
        <f t="shared" si="52"/>
        <v>Neha Gupta</v>
      </c>
      <c r="J319" t="s">
        <v>88</v>
      </c>
      <c r="K319" t="str">
        <f t="shared" si="53"/>
        <v>Corporate</v>
      </c>
      <c r="L319" t="s">
        <v>52</v>
      </c>
      <c r="M319" t="str">
        <f t="shared" si="61"/>
        <v>South</v>
      </c>
      <c r="N319" t="s">
        <v>183</v>
      </c>
      <c r="O319" t="str">
        <f t="shared" si="54"/>
        <v>Kerala</v>
      </c>
      <c r="P319" t="s">
        <v>184</v>
      </c>
      <c r="Q319" t="str">
        <f t="shared" si="55"/>
        <v>Kochi</v>
      </c>
      <c r="R319" t="s">
        <v>39</v>
      </c>
      <c r="S319" t="str">
        <f t="shared" si="56"/>
        <v>Furniture</v>
      </c>
      <c r="T319" t="s">
        <v>40</v>
      </c>
      <c r="U319" t="str">
        <f t="shared" si="57"/>
        <v>Tables</v>
      </c>
      <c r="V319" t="s">
        <v>1073</v>
      </c>
      <c r="X319" t="s">
        <v>48</v>
      </c>
      <c r="Y319" t="str">
        <f t="shared" si="58"/>
        <v>First Class</v>
      </c>
      <c r="Z319">
        <v>9</v>
      </c>
      <c r="AA319">
        <v>2996.97</v>
      </c>
      <c r="AB319">
        <v>0.15</v>
      </c>
      <c r="AC319">
        <v>22926.82</v>
      </c>
      <c r="AD319">
        <v>14621.59</v>
      </c>
      <c r="AE319">
        <v>8305.23</v>
      </c>
      <c r="AF319" t="s">
        <v>30</v>
      </c>
      <c r="AG319" t="str">
        <f t="shared" si="59"/>
        <v>Paid</v>
      </c>
      <c r="AH319" t="s">
        <v>31</v>
      </c>
    </row>
    <row r="320" spans="1:34">
      <c r="A320" t="s">
        <v>1074</v>
      </c>
      <c r="B320">
        <f>COUNTIF($A:$A,A320)</f>
        <v>1</v>
      </c>
      <c r="C320" t="str">
        <f t="shared" si="50"/>
        <v>Unique</v>
      </c>
      <c r="D320" s="4">
        <v>45407</v>
      </c>
      <c r="E320">
        <f t="shared" si="51"/>
        <v>5</v>
      </c>
      <c r="F320" s="4">
        <v>45412</v>
      </c>
      <c r="G320" t="s">
        <v>1075</v>
      </c>
      <c r="H320" t="s">
        <v>34</v>
      </c>
      <c r="I320" t="str">
        <f t="shared" si="52"/>
        <v>Mira Das</v>
      </c>
      <c r="J320" t="s">
        <v>35</v>
      </c>
      <c r="K320" t="str">
        <f t="shared" si="53"/>
        <v>Small Business</v>
      </c>
      <c r="L320" t="s">
        <v>52</v>
      </c>
      <c r="M320" t="str">
        <f t="shared" si="61"/>
        <v>South</v>
      </c>
      <c r="N320" t="s">
        <v>173</v>
      </c>
      <c r="O320" t="str">
        <f t="shared" si="54"/>
        <v>Karnataka</v>
      </c>
      <c r="P320" t="s">
        <v>174</v>
      </c>
      <c r="Q320" t="str">
        <f t="shared" si="55"/>
        <v>Bengaluru</v>
      </c>
      <c r="R320" t="s">
        <v>72</v>
      </c>
      <c r="S320" t="str">
        <f t="shared" si="56"/>
        <v>Technology</v>
      </c>
      <c r="T320" t="s">
        <v>169</v>
      </c>
      <c r="U320" t="str">
        <f t="shared" si="57"/>
        <v>Phones</v>
      </c>
      <c r="V320" t="s">
        <v>1076</v>
      </c>
      <c r="X320" t="s">
        <v>57</v>
      </c>
      <c r="Y320" t="str">
        <f t="shared" si="58"/>
        <v>Standard Class</v>
      </c>
      <c r="Z320">
        <v>3</v>
      </c>
      <c r="AA320">
        <v>4149.46</v>
      </c>
      <c r="AB320">
        <v>0.1</v>
      </c>
      <c r="AC320">
        <v>11203.54</v>
      </c>
      <c r="AD320">
        <v>8452.93</v>
      </c>
      <c r="AE320">
        <v>2750.61</v>
      </c>
      <c r="AF320" t="s">
        <v>30</v>
      </c>
      <c r="AG320" t="str">
        <f t="shared" si="59"/>
        <v>Paid</v>
      </c>
      <c r="AH320" t="s">
        <v>31</v>
      </c>
    </row>
    <row r="321" spans="1:34">
      <c r="A321" t="s">
        <v>1077</v>
      </c>
      <c r="B321">
        <f>COUNTIF($A:$A,A321)</f>
        <v>1</v>
      </c>
      <c r="C321" t="str">
        <f t="shared" si="50"/>
        <v>Unique</v>
      </c>
      <c r="D321" s="4">
        <v>45525</v>
      </c>
      <c r="E321">
        <f t="shared" si="51"/>
        <v>4</v>
      </c>
      <c r="F321" s="4">
        <v>45529</v>
      </c>
      <c r="G321" t="s">
        <v>1078</v>
      </c>
      <c r="H321" t="s">
        <v>160</v>
      </c>
      <c r="I321" t="str">
        <f t="shared" si="52"/>
        <v>Diya Patel</v>
      </c>
      <c r="J321" t="s">
        <v>22</v>
      </c>
      <c r="K321" t="str">
        <f t="shared" si="53"/>
        <v>Consumer</v>
      </c>
      <c r="L321" t="s">
        <v>61</v>
      </c>
      <c r="M321" t="str">
        <f t="shared" si="61"/>
        <v>West</v>
      </c>
      <c r="N321" t="s">
        <v>178</v>
      </c>
      <c r="O321" t="str">
        <f t="shared" si="54"/>
        <v>Gujarat</v>
      </c>
      <c r="P321" t="s">
        <v>179</v>
      </c>
      <c r="Q321" t="str">
        <f t="shared" si="55"/>
        <v>Ahmedabad</v>
      </c>
      <c r="R321" t="s">
        <v>26</v>
      </c>
      <c r="S321" t="str">
        <f t="shared" si="56"/>
        <v>Office Supplies</v>
      </c>
      <c r="T321" t="s">
        <v>151</v>
      </c>
      <c r="U321" t="str">
        <f t="shared" si="57"/>
        <v>Binders</v>
      </c>
      <c r="V321" t="s">
        <v>1079</v>
      </c>
      <c r="X321" t="s">
        <v>48</v>
      </c>
      <c r="Y321" t="str">
        <f t="shared" si="58"/>
        <v>First Class</v>
      </c>
      <c r="Z321">
        <v>1</v>
      </c>
      <c r="AA321">
        <v>270.27999999999997</v>
      </c>
      <c r="AB321">
        <v>0</v>
      </c>
      <c r="AC321">
        <v>270.27999999999997</v>
      </c>
      <c r="AD321">
        <v>156.34</v>
      </c>
      <c r="AE321">
        <v>113.94</v>
      </c>
      <c r="AF321" t="s">
        <v>30</v>
      </c>
      <c r="AG321" t="str">
        <f t="shared" si="59"/>
        <v>Paid</v>
      </c>
      <c r="AH321" t="s">
        <v>31</v>
      </c>
    </row>
    <row r="322" spans="1:34">
      <c r="A322" t="s">
        <v>1080</v>
      </c>
      <c r="B322">
        <f>COUNTIF($A:$A,A322)</f>
        <v>1</v>
      </c>
      <c r="C322" t="str">
        <f t="shared" ref="C322:C385" si="62">IF(B322&gt;1,"Review Duplicate ID","Unique")</f>
        <v>Unique</v>
      </c>
      <c r="D322" s="4">
        <v>45630</v>
      </c>
      <c r="E322">
        <f t="shared" ref="E322:E385" si="63">F322-D322</f>
        <v>2</v>
      </c>
      <c r="F322" s="4">
        <v>45632</v>
      </c>
      <c r="G322" t="s">
        <v>1081</v>
      </c>
      <c r="H322" t="s">
        <v>126</v>
      </c>
      <c r="I322" t="str">
        <f t="shared" ref="I322:I385" si="64">PROPER(TRIM(H322))</f>
        <v>Aarav Sharma</v>
      </c>
      <c r="J322" t="s">
        <v>93</v>
      </c>
      <c r="K322" t="str">
        <f t="shared" ref="K322:K385" si="65">PROPER(TRIM(J322))</f>
        <v>Home Office</v>
      </c>
      <c r="L322" t="s">
        <v>36</v>
      </c>
      <c r="M322" t="str">
        <f t="shared" si="61"/>
        <v>East</v>
      </c>
      <c r="N322" t="s">
        <v>97</v>
      </c>
      <c r="O322" t="str">
        <f t="shared" ref="O322:O385" si="66">PROPER(TRIM(N322))</f>
        <v>West Bengal</v>
      </c>
      <c r="P322" t="s">
        <v>98</v>
      </c>
      <c r="Q322" t="str">
        <f t="shared" ref="Q322:Q385" si="67">PROPER(TRIM(P322))</f>
        <v>Kolkata</v>
      </c>
      <c r="R322" t="s">
        <v>26</v>
      </c>
      <c r="S322" t="str">
        <f t="shared" ref="S322:S385" si="68">PROPER(TRIM(R322))</f>
        <v>Office Supplies</v>
      </c>
      <c r="T322" t="s">
        <v>46</v>
      </c>
      <c r="U322" t="str">
        <f t="shared" ref="U322:U385" si="69">PROPER(TRIM(T322))</f>
        <v>Art</v>
      </c>
      <c r="V322" t="s">
        <v>1082</v>
      </c>
      <c r="X322" t="s">
        <v>29</v>
      </c>
      <c r="Y322" t="str">
        <f t="shared" si="58"/>
        <v>Second Class</v>
      </c>
      <c r="Z322">
        <v>3</v>
      </c>
      <c r="AA322">
        <v>876.14</v>
      </c>
      <c r="AB322" t="s">
        <v>462</v>
      </c>
      <c r="AC322">
        <v>2628.42</v>
      </c>
      <c r="AD322">
        <v>1541.54</v>
      </c>
      <c r="AE322">
        <v>1086.8800000000001</v>
      </c>
      <c r="AF322" t="s">
        <v>109</v>
      </c>
      <c r="AG322" t="str">
        <f t="shared" si="59"/>
        <v>Pending</v>
      </c>
      <c r="AH322" t="s">
        <v>101</v>
      </c>
    </row>
    <row r="323" spans="1:34">
      <c r="A323" t="s">
        <v>1083</v>
      </c>
      <c r="B323">
        <f>COUNTIF($A:$A,A323)</f>
        <v>1</v>
      </c>
      <c r="C323" t="str">
        <f t="shared" si="62"/>
        <v>Unique</v>
      </c>
      <c r="D323" s="4">
        <v>45466</v>
      </c>
      <c r="E323">
        <f t="shared" si="63"/>
        <v>7</v>
      </c>
      <c r="F323" s="4">
        <v>45473</v>
      </c>
      <c r="G323" t="s">
        <v>1084</v>
      </c>
      <c r="H323" t="s">
        <v>77</v>
      </c>
      <c r="I323" t="str">
        <f t="shared" si="64"/>
        <v>Neha Gupta</v>
      </c>
      <c r="J323" t="s">
        <v>35</v>
      </c>
      <c r="K323" t="str">
        <f t="shared" si="65"/>
        <v>Small Business</v>
      </c>
      <c r="L323" t="s">
        <v>61</v>
      </c>
      <c r="M323" t="str">
        <f t="shared" si="61"/>
        <v>West</v>
      </c>
      <c r="N323" t="s">
        <v>188</v>
      </c>
      <c r="O323" t="str">
        <f t="shared" si="66"/>
        <v>Goa</v>
      </c>
      <c r="P323" t="s">
        <v>189</v>
      </c>
      <c r="Q323" t="str">
        <f t="shared" si="67"/>
        <v>Panaji</v>
      </c>
      <c r="R323" t="s">
        <v>72</v>
      </c>
      <c r="S323" t="str">
        <f t="shared" si="68"/>
        <v>Technology</v>
      </c>
      <c r="T323" t="s">
        <v>73</v>
      </c>
      <c r="U323" t="str">
        <f t="shared" si="69"/>
        <v>Accessories</v>
      </c>
      <c r="V323" t="s">
        <v>1085</v>
      </c>
      <c r="X323" t="s">
        <v>42</v>
      </c>
      <c r="Y323" t="str">
        <f t="shared" ref="Y323:Y386" si="70">PROPER(TRIM(X323))</f>
        <v>Same Day</v>
      </c>
      <c r="Z323">
        <v>4</v>
      </c>
      <c r="AA323">
        <v>674.82</v>
      </c>
      <c r="AB323">
        <v>0</v>
      </c>
      <c r="AC323">
        <v>2699.28</v>
      </c>
      <c r="AD323">
        <v>1759.76</v>
      </c>
      <c r="AE323">
        <v>939.52</v>
      </c>
      <c r="AF323" t="s">
        <v>153</v>
      </c>
      <c r="AG323" t="str">
        <f t="shared" ref="AG323:AG386" si="71">PROPER(TRIM(AF323))</f>
        <v>Failed</v>
      </c>
      <c r="AH323" t="s">
        <v>66</v>
      </c>
    </row>
    <row r="324" spans="1:34">
      <c r="A324" t="s">
        <v>1086</v>
      </c>
      <c r="B324">
        <f>COUNTIF($A:$A,A324)</f>
        <v>1</v>
      </c>
      <c r="C324" t="str">
        <f t="shared" si="62"/>
        <v>Unique</v>
      </c>
      <c r="D324" s="4">
        <v>45637</v>
      </c>
      <c r="E324">
        <f t="shared" si="63"/>
        <v>0</v>
      </c>
      <c r="F324" s="4">
        <v>45637</v>
      </c>
      <c r="G324" t="s">
        <v>1087</v>
      </c>
      <c r="H324" t="s">
        <v>45</v>
      </c>
      <c r="I324" t="str">
        <f t="shared" si="64"/>
        <v>Isha Nair</v>
      </c>
      <c r="J324" t="s">
        <v>22</v>
      </c>
      <c r="K324" t="str">
        <f t="shared" si="65"/>
        <v>Consumer</v>
      </c>
      <c r="L324" t="s">
        <v>23</v>
      </c>
      <c r="M324" t="str">
        <f t="shared" si="61"/>
        <v>North</v>
      </c>
      <c r="N324" t="s">
        <v>134</v>
      </c>
      <c r="O324" t="str">
        <f t="shared" si="66"/>
        <v>Uttar Pradesh</v>
      </c>
      <c r="P324" t="s">
        <v>135</v>
      </c>
      <c r="Q324" t="str">
        <f t="shared" si="67"/>
        <v>Noida</v>
      </c>
      <c r="R324" t="s">
        <v>72</v>
      </c>
      <c r="S324" t="str">
        <f t="shared" si="68"/>
        <v>Technology</v>
      </c>
      <c r="T324" t="s">
        <v>169</v>
      </c>
      <c r="U324" t="str">
        <f t="shared" si="69"/>
        <v>Phones</v>
      </c>
      <c r="V324" t="s">
        <v>1088</v>
      </c>
      <c r="X324" t="s">
        <v>29</v>
      </c>
      <c r="Y324" t="str">
        <f t="shared" si="70"/>
        <v>Second Class</v>
      </c>
      <c r="Z324">
        <v>6</v>
      </c>
      <c r="AA324">
        <v>1369.48</v>
      </c>
      <c r="AB324">
        <v>0.15</v>
      </c>
      <c r="AC324">
        <v>6984.35</v>
      </c>
      <c r="AD324">
        <v>4023.63</v>
      </c>
      <c r="AE324">
        <v>2960.72</v>
      </c>
      <c r="AF324" t="s">
        <v>30</v>
      </c>
      <c r="AG324" t="str">
        <f t="shared" si="71"/>
        <v>Paid</v>
      </c>
      <c r="AH324" t="s">
        <v>31</v>
      </c>
    </row>
    <row r="325" spans="1:34">
      <c r="A325" t="s">
        <v>1089</v>
      </c>
      <c r="B325">
        <f>COUNTIF($A:$A,A325)</f>
        <v>1</v>
      </c>
      <c r="C325" t="str">
        <f t="shared" si="62"/>
        <v>Unique</v>
      </c>
      <c r="D325" s="4">
        <v>45347</v>
      </c>
      <c r="E325">
        <f t="shared" si="63"/>
        <v>4</v>
      </c>
      <c r="F325" s="4">
        <v>45351</v>
      </c>
      <c r="G325" t="s">
        <v>1090</v>
      </c>
      <c r="H325" t="s">
        <v>45</v>
      </c>
      <c r="I325" t="str">
        <f t="shared" si="64"/>
        <v>Isha Nair</v>
      </c>
      <c r="J325" t="s">
        <v>35</v>
      </c>
      <c r="K325" t="str">
        <f t="shared" si="65"/>
        <v>Small Business</v>
      </c>
      <c r="L325" t="s">
        <v>61</v>
      </c>
      <c r="M325" t="str">
        <f t="shared" si="61"/>
        <v>West</v>
      </c>
      <c r="N325" t="s">
        <v>188</v>
      </c>
      <c r="O325" t="str">
        <f t="shared" si="66"/>
        <v>Goa</v>
      </c>
      <c r="P325" t="s">
        <v>189</v>
      </c>
      <c r="Q325" t="str">
        <f t="shared" si="67"/>
        <v>Panaji</v>
      </c>
      <c r="R325" t="s">
        <v>39</v>
      </c>
      <c r="S325" t="str">
        <f t="shared" si="68"/>
        <v>Furniture</v>
      </c>
      <c r="T325" t="s">
        <v>55</v>
      </c>
      <c r="U325" t="str">
        <f t="shared" si="69"/>
        <v>Furnishings</v>
      </c>
      <c r="V325" t="s">
        <v>148</v>
      </c>
      <c r="X325" t="s">
        <v>57</v>
      </c>
      <c r="Y325" t="str">
        <f t="shared" si="70"/>
        <v>Standard Class</v>
      </c>
      <c r="Z325">
        <v>9</v>
      </c>
      <c r="AA325">
        <v>1331.46</v>
      </c>
      <c r="AB325">
        <v>0.15</v>
      </c>
      <c r="AC325">
        <v>10185.67</v>
      </c>
      <c r="AD325">
        <v>6479.31</v>
      </c>
      <c r="AE325">
        <v>3706.36</v>
      </c>
      <c r="AF325" t="s">
        <v>30</v>
      </c>
      <c r="AG325" t="str">
        <f t="shared" si="71"/>
        <v>Paid</v>
      </c>
      <c r="AH325" t="s">
        <v>31</v>
      </c>
    </row>
    <row r="326" spans="1:34">
      <c r="A326" t="s">
        <v>1091</v>
      </c>
      <c r="B326">
        <f>COUNTIF($A:$A,A326)</f>
        <v>1</v>
      </c>
      <c r="C326" t="str">
        <f t="shared" si="62"/>
        <v>Unique</v>
      </c>
      <c r="D326" s="4">
        <v>45869</v>
      </c>
      <c r="E326">
        <f t="shared" si="63"/>
        <v>-173</v>
      </c>
      <c r="F326" s="4">
        <v>45696</v>
      </c>
      <c r="G326" t="s">
        <v>1092</v>
      </c>
      <c r="H326" t="s">
        <v>139</v>
      </c>
      <c r="I326" t="str">
        <f t="shared" si="64"/>
        <v>Rohan Mehta</v>
      </c>
      <c r="J326" t="s">
        <v>93</v>
      </c>
      <c r="K326" t="str">
        <f t="shared" si="65"/>
        <v>Home Office</v>
      </c>
      <c r="L326" t="s">
        <v>52</v>
      </c>
      <c r="M326" t="str">
        <f t="shared" si="61"/>
        <v>South</v>
      </c>
      <c r="N326" t="s">
        <v>82</v>
      </c>
      <c r="O326" t="str">
        <f t="shared" si="66"/>
        <v>Andhra Pradesh</v>
      </c>
      <c r="P326" t="s">
        <v>83</v>
      </c>
      <c r="Q326" t="str">
        <f t="shared" si="67"/>
        <v>Vijayawada</v>
      </c>
      <c r="R326" t="s">
        <v>26</v>
      </c>
      <c r="S326" t="str">
        <f t="shared" si="68"/>
        <v>Office Supplies</v>
      </c>
      <c r="T326" t="s">
        <v>89</v>
      </c>
      <c r="U326" t="str">
        <f t="shared" si="69"/>
        <v>Labels</v>
      </c>
      <c r="V326" t="s">
        <v>1093</v>
      </c>
      <c r="X326" t="s">
        <v>42</v>
      </c>
      <c r="Y326" t="str">
        <f t="shared" si="70"/>
        <v>Same Day</v>
      </c>
      <c r="Z326">
        <v>1</v>
      </c>
      <c r="AA326">
        <v>1947.88</v>
      </c>
      <c r="AB326">
        <v>0.15</v>
      </c>
      <c r="AC326">
        <v>1655.7</v>
      </c>
      <c r="AD326">
        <v>1354.8</v>
      </c>
      <c r="AE326">
        <v>300.89999999999998</v>
      </c>
      <c r="AF326" t="s">
        <v>30</v>
      </c>
      <c r="AG326" t="str">
        <f t="shared" si="71"/>
        <v>Paid</v>
      </c>
      <c r="AH326" t="s">
        <v>101</v>
      </c>
    </row>
    <row r="327" spans="1:34">
      <c r="A327" t="s">
        <v>1094</v>
      </c>
      <c r="B327">
        <f>COUNTIF($A:$A,A327)</f>
        <v>1</v>
      </c>
      <c r="C327" t="str">
        <f t="shared" si="62"/>
        <v>Unique</v>
      </c>
      <c r="D327" s="4">
        <v>45916</v>
      </c>
      <c r="E327">
        <f t="shared" si="63"/>
        <v>6</v>
      </c>
      <c r="F327" s="4">
        <v>45922</v>
      </c>
      <c r="G327" t="s">
        <v>1095</v>
      </c>
      <c r="H327" t="s">
        <v>130</v>
      </c>
      <c r="I327" t="str">
        <f t="shared" si="64"/>
        <v>Sneha Kapoor</v>
      </c>
      <c r="J327" t="s">
        <v>93</v>
      </c>
      <c r="K327" t="str">
        <f t="shared" si="65"/>
        <v>Home Office</v>
      </c>
      <c r="L327" t="s">
        <v>36</v>
      </c>
      <c r="M327" t="str">
        <f t="shared" si="61"/>
        <v>East</v>
      </c>
      <c r="N327" t="s">
        <v>97</v>
      </c>
      <c r="O327" t="str">
        <f t="shared" si="66"/>
        <v>West Bengal</v>
      </c>
      <c r="P327" t="s">
        <v>98</v>
      </c>
      <c r="Q327" t="str">
        <f t="shared" si="67"/>
        <v>Kolkata</v>
      </c>
      <c r="R327" t="s">
        <v>72</v>
      </c>
      <c r="S327" t="str">
        <f t="shared" si="68"/>
        <v>Technology</v>
      </c>
      <c r="T327" t="s">
        <v>78</v>
      </c>
      <c r="U327" t="str">
        <f t="shared" si="69"/>
        <v>Copiers</v>
      </c>
      <c r="V327" t="s">
        <v>1096</v>
      </c>
      <c r="X327" t="s">
        <v>29</v>
      </c>
      <c r="Y327" t="str">
        <f t="shared" si="70"/>
        <v>Second Class</v>
      </c>
      <c r="Z327">
        <v>5</v>
      </c>
      <c r="AA327">
        <v>3671.2</v>
      </c>
      <c r="AB327">
        <v>0.15</v>
      </c>
      <c r="AC327">
        <v>15602.6</v>
      </c>
      <c r="AD327">
        <v>11908.52</v>
      </c>
      <c r="AE327">
        <v>3694.08</v>
      </c>
      <c r="AF327" t="s">
        <v>30</v>
      </c>
      <c r="AG327" t="str">
        <f t="shared" si="71"/>
        <v>Paid</v>
      </c>
      <c r="AH327" t="s">
        <v>31</v>
      </c>
    </row>
    <row r="328" spans="1:34">
      <c r="A328" t="s">
        <v>1097</v>
      </c>
      <c r="B328">
        <f>COUNTIF($A:$A,A328)</f>
        <v>1</v>
      </c>
      <c r="C328" t="str">
        <f t="shared" si="62"/>
        <v>Unique</v>
      </c>
      <c r="D328" s="4">
        <v>45860</v>
      </c>
      <c r="E328">
        <f t="shared" si="63"/>
        <v>0</v>
      </c>
      <c r="F328" s="4">
        <v>45860</v>
      </c>
      <c r="G328" t="s">
        <v>1098</v>
      </c>
      <c r="H328" t="s">
        <v>130</v>
      </c>
      <c r="I328" t="str">
        <f t="shared" si="64"/>
        <v>Sneha Kapoor</v>
      </c>
      <c r="J328" t="s">
        <v>88</v>
      </c>
      <c r="K328" t="str">
        <f t="shared" si="65"/>
        <v>Corporate</v>
      </c>
      <c r="L328" t="s">
        <v>36</v>
      </c>
      <c r="M328" t="str">
        <f t="shared" si="61"/>
        <v>East</v>
      </c>
      <c r="N328" t="s">
        <v>227</v>
      </c>
      <c r="O328" t="str">
        <f t="shared" si="66"/>
        <v>Jharkhand</v>
      </c>
      <c r="P328" t="s">
        <v>228</v>
      </c>
      <c r="Q328" t="str">
        <f t="shared" si="67"/>
        <v>Ranchi</v>
      </c>
      <c r="R328" t="s">
        <v>39</v>
      </c>
      <c r="S328" t="str">
        <f t="shared" si="68"/>
        <v>Furniture</v>
      </c>
      <c r="T328" t="s">
        <v>55</v>
      </c>
      <c r="U328" t="str">
        <f t="shared" si="69"/>
        <v>Furnishings</v>
      </c>
      <c r="V328" t="s">
        <v>1099</v>
      </c>
      <c r="X328" t="s">
        <v>42</v>
      </c>
      <c r="Y328" t="str">
        <f t="shared" si="70"/>
        <v>Same Day</v>
      </c>
      <c r="Z328">
        <v>5</v>
      </c>
      <c r="AA328">
        <v>3187.05</v>
      </c>
      <c r="AB328">
        <v>0.05</v>
      </c>
      <c r="AC328">
        <v>15138.49</v>
      </c>
      <c r="AD328">
        <v>11235.72</v>
      </c>
      <c r="AE328">
        <v>3902.77</v>
      </c>
      <c r="AF328" t="s">
        <v>30</v>
      </c>
      <c r="AG328" t="str">
        <f t="shared" si="71"/>
        <v>Paid</v>
      </c>
      <c r="AH328" t="s">
        <v>31</v>
      </c>
    </row>
    <row r="329" spans="1:34">
      <c r="A329" t="s">
        <v>1100</v>
      </c>
      <c r="B329">
        <f>COUNTIF($A:$A,A329)</f>
        <v>1</v>
      </c>
      <c r="C329" t="str">
        <f t="shared" si="62"/>
        <v>Unique</v>
      </c>
      <c r="D329" s="4">
        <v>45497</v>
      </c>
      <c r="E329">
        <f t="shared" si="63"/>
        <v>3</v>
      </c>
      <c r="F329" s="4">
        <v>45500</v>
      </c>
      <c r="G329" t="s">
        <v>1101</v>
      </c>
      <c r="H329" t="s">
        <v>45</v>
      </c>
      <c r="I329" t="str">
        <f t="shared" si="64"/>
        <v>Isha Nair</v>
      </c>
      <c r="J329" t="s">
        <v>22</v>
      </c>
      <c r="K329" t="str">
        <f t="shared" si="65"/>
        <v>Consumer</v>
      </c>
      <c r="L329" t="s">
        <v>61</v>
      </c>
      <c r="M329" t="str">
        <f t="shared" si="61"/>
        <v>West</v>
      </c>
      <c r="N329" t="s">
        <v>24</v>
      </c>
      <c r="O329" t="str">
        <f t="shared" si="66"/>
        <v>Rajasthan</v>
      </c>
      <c r="P329" t="s">
        <v>107</v>
      </c>
      <c r="Q329" t="str">
        <f t="shared" si="67"/>
        <v>Udaipur</v>
      </c>
      <c r="R329" t="s">
        <v>72</v>
      </c>
      <c r="S329" t="str">
        <f t="shared" si="68"/>
        <v>Technology</v>
      </c>
      <c r="T329" t="s">
        <v>73</v>
      </c>
      <c r="U329" t="str">
        <f t="shared" si="69"/>
        <v>Accessories</v>
      </c>
      <c r="V329" t="s">
        <v>1102</v>
      </c>
      <c r="X329" t="s">
        <v>29</v>
      </c>
      <c r="Y329" t="str">
        <f t="shared" si="70"/>
        <v>Second Class</v>
      </c>
      <c r="Z329">
        <v>3</v>
      </c>
      <c r="AA329">
        <v>1834.55</v>
      </c>
      <c r="AB329">
        <v>0.2</v>
      </c>
      <c r="AC329">
        <v>4402.92</v>
      </c>
      <c r="AD329">
        <v>2993.94</v>
      </c>
      <c r="AE329">
        <v>1408.98</v>
      </c>
      <c r="AF329" t="s">
        <v>109</v>
      </c>
      <c r="AG329" t="str">
        <f t="shared" si="71"/>
        <v>Pending</v>
      </c>
      <c r="AH329" t="s">
        <v>66</v>
      </c>
    </row>
    <row r="330" spans="1:34">
      <c r="A330" t="s">
        <v>1103</v>
      </c>
      <c r="B330">
        <f>COUNTIF($A:$A,A330)</f>
        <v>1</v>
      </c>
      <c r="C330" t="str">
        <f t="shared" si="62"/>
        <v>Unique</v>
      </c>
      <c r="D330" s="4">
        <v>45806</v>
      </c>
      <c r="E330">
        <f t="shared" si="63"/>
        <v>-53</v>
      </c>
      <c r="F330" s="4">
        <v>45753</v>
      </c>
      <c r="G330" t="s">
        <v>1104</v>
      </c>
      <c r="H330" t="s">
        <v>160</v>
      </c>
      <c r="I330" t="str">
        <f t="shared" si="64"/>
        <v>Diya Patel</v>
      </c>
      <c r="J330" t="s">
        <v>22</v>
      </c>
      <c r="K330" t="str">
        <f t="shared" si="65"/>
        <v>Consumer</v>
      </c>
      <c r="L330" t="s">
        <v>61</v>
      </c>
      <c r="M330" t="str">
        <f t="shared" si="61"/>
        <v>West</v>
      </c>
      <c r="N330" t="s">
        <v>62</v>
      </c>
      <c r="O330" t="str">
        <f t="shared" si="66"/>
        <v>Maharashtra</v>
      </c>
      <c r="P330" t="s">
        <v>63</v>
      </c>
      <c r="Q330" t="str">
        <f t="shared" si="67"/>
        <v>Mumbai</v>
      </c>
      <c r="R330" t="s">
        <v>26</v>
      </c>
      <c r="S330" t="str">
        <f t="shared" si="68"/>
        <v>Office Supplies</v>
      </c>
      <c r="T330" t="s">
        <v>122</v>
      </c>
      <c r="U330" t="str">
        <f t="shared" si="69"/>
        <v>Storage</v>
      </c>
      <c r="V330" t="s">
        <v>1105</v>
      </c>
      <c r="X330" t="s">
        <v>48</v>
      </c>
      <c r="Y330" t="str">
        <f t="shared" si="70"/>
        <v>First Class</v>
      </c>
      <c r="Z330">
        <v>6</v>
      </c>
      <c r="AA330">
        <v>3100.68</v>
      </c>
      <c r="AB330">
        <v>0</v>
      </c>
      <c r="AC330">
        <v>18604.080000000002</v>
      </c>
      <c r="AD330">
        <v>15834.3</v>
      </c>
      <c r="AE330">
        <v>2769.78</v>
      </c>
      <c r="AF330" t="s">
        <v>30</v>
      </c>
      <c r="AG330" t="str">
        <f t="shared" si="71"/>
        <v>Paid</v>
      </c>
      <c r="AH330" t="s">
        <v>31</v>
      </c>
    </row>
    <row r="331" spans="1:34">
      <c r="A331" t="s">
        <v>1106</v>
      </c>
      <c r="B331">
        <f>COUNTIF($A:$A,A331)</f>
        <v>1</v>
      </c>
      <c r="C331" t="str">
        <f t="shared" si="62"/>
        <v>Unique</v>
      </c>
      <c r="D331" s="4">
        <v>45996</v>
      </c>
      <c r="E331">
        <f t="shared" si="63"/>
        <v>-201</v>
      </c>
      <c r="F331" s="4">
        <v>45795</v>
      </c>
      <c r="G331" t="s">
        <v>1107</v>
      </c>
      <c r="H331" t="s">
        <v>77</v>
      </c>
      <c r="I331" t="str">
        <f t="shared" si="64"/>
        <v>Neha Gupta</v>
      </c>
      <c r="J331" t="s">
        <v>35</v>
      </c>
      <c r="K331" t="str">
        <f t="shared" si="65"/>
        <v>Small Business</v>
      </c>
      <c r="L331" t="s">
        <v>61</v>
      </c>
      <c r="M331" t="str">
        <f t="shared" si="61"/>
        <v>West</v>
      </c>
      <c r="N331" t="s">
        <v>62</v>
      </c>
      <c r="O331" t="str">
        <f t="shared" si="66"/>
        <v>Maharashtra</v>
      </c>
      <c r="P331" t="s">
        <v>63</v>
      </c>
      <c r="Q331" t="str">
        <f t="shared" si="67"/>
        <v>Mumbai</v>
      </c>
      <c r="R331" t="s">
        <v>26</v>
      </c>
      <c r="S331" t="str">
        <f t="shared" si="68"/>
        <v>Office Supplies</v>
      </c>
      <c r="T331" t="s">
        <v>122</v>
      </c>
      <c r="U331" t="str">
        <f t="shared" si="69"/>
        <v>Storage</v>
      </c>
      <c r="V331" t="s">
        <v>1108</v>
      </c>
      <c r="X331" t="s">
        <v>57</v>
      </c>
      <c r="Y331" t="str">
        <f t="shared" si="70"/>
        <v>Standard Class</v>
      </c>
      <c r="Z331">
        <v>4</v>
      </c>
      <c r="AA331">
        <v>4053.03</v>
      </c>
      <c r="AB331">
        <v>0.05</v>
      </c>
      <c r="AC331">
        <v>15401.51</v>
      </c>
      <c r="AD331">
        <v>8650.42</v>
      </c>
      <c r="AE331">
        <v>6751.09</v>
      </c>
      <c r="AF331" t="s">
        <v>30</v>
      </c>
      <c r="AG331" t="str">
        <f t="shared" si="71"/>
        <v>Paid</v>
      </c>
      <c r="AH331" t="s">
        <v>31</v>
      </c>
    </row>
    <row r="332" spans="1:34">
      <c r="A332" t="s">
        <v>1109</v>
      </c>
      <c r="B332">
        <f>COUNTIF($A:$A,A332)</f>
        <v>1</v>
      </c>
      <c r="C332" t="str">
        <f t="shared" si="62"/>
        <v>Unique</v>
      </c>
      <c r="D332" s="4">
        <v>45428</v>
      </c>
      <c r="E332">
        <f t="shared" si="63"/>
        <v>8</v>
      </c>
      <c r="F332" s="4">
        <v>45436</v>
      </c>
      <c r="G332" t="s">
        <v>1110</v>
      </c>
      <c r="H332" t="s">
        <v>51</v>
      </c>
      <c r="I332" t="str">
        <f t="shared" si="64"/>
        <v>Arjun Bose</v>
      </c>
      <c r="J332" t="s">
        <v>93</v>
      </c>
      <c r="K332" t="str">
        <f t="shared" si="65"/>
        <v>Home Office</v>
      </c>
      <c r="L332" t="s">
        <v>23</v>
      </c>
      <c r="M332" t="str">
        <f t="shared" si="61"/>
        <v>North</v>
      </c>
      <c r="N332" t="s">
        <v>120</v>
      </c>
      <c r="O332" t="str">
        <f t="shared" si="66"/>
        <v>Punjab</v>
      </c>
      <c r="P332" t="s">
        <v>121</v>
      </c>
      <c r="Q332" t="str">
        <f t="shared" si="67"/>
        <v>Ludhiana</v>
      </c>
      <c r="R332" t="s">
        <v>72</v>
      </c>
      <c r="S332" t="str">
        <f t="shared" si="68"/>
        <v>Technology</v>
      </c>
      <c r="T332" t="s">
        <v>73</v>
      </c>
      <c r="U332" t="str">
        <f t="shared" si="69"/>
        <v>Accessories</v>
      </c>
      <c r="V332" t="s">
        <v>1111</v>
      </c>
      <c r="X332" t="s">
        <v>42</v>
      </c>
      <c r="Y332" t="str">
        <f t="shared" si="70"/>
        <v>Same Day</v>
      </c>
      <c r="Z332">
        <v>1</v>
      </c>
      <c r="AA332">
        <v>783.09</v>
      </c>
      <c r="AB332">
        <v>0</v>
      </c>
      <c r="AC332">
        <v>783.09</v>
      </c>
      <c r="AD332">
        <v>503.89</v>
      </c>
      <c r="AE332">
        <v>279.2</v>
      </c>
      <c r="AF332" t="s">
        <v>153</v>
      </c>
      <c r="AG332" t="str">
        <f t="shared" si="71"/>
        <v>Failed</v>
      </c>
      <c r="AH332" t="s">
        <v>66</v>
      </c>
    </row>
    <row r="333" spans="1:34">
      <c r="A333" t="s">
        <v>1112</v>
      </c>
      <c r="B333">
        <f>COUNTIF($A:$A,A333)</f>
        <v>1</v>
      </c>
      <c r="C333" t="str">
        <f t="shared" si="62"/>
        <v>Unique</v>
      </c>
      <c r="D333" s="4">
        <v>45394</v>
      </c>
      <c r="E333">
        <f t="shared" si="63"/>
        <v>61</v>
      </c>
      <c r="F333" s="4">
        <v>45455</v>
      </c>
      <c r="G333" t="s">
        <v>1113</v>
      </c>
      <c r="H333" t="s">
        <v>130</v>
      </c>
      <c r="I333" t="str">
        <f t="shared" si="64"/>
        <v>Sneha Kapoor</v>
      </c>
      <c r="J333" t="s">
        <v>93</v>
      </c>
      <c r="K333" t="str">
        <f t="shared" si="65"/>
        <v>Home Office</v>
      </c>
      <c r="L333" t="s">
        <v>36</v>
      </c>
      <c r="M333" t="str">
        <f t="shared" si="61"/>
        <v>East</v>
      </c>
      <c r="N333" t="s">
        <v>37</v>
      </c>
      <c r="O333" t="str">
        <f t="shared" si="66"/>
        <v>Odisha</v>
      </c>
      <c r="P333" t="s">
        <v>38</v>
      </c>
      <c r="Q333" t="str">
        <f t="shared" si="67"/>
        <v>Bhubaneswar</v>
      </c>
      <c r="R333" t="s">
        <v>26</v>
      </c>
      <c r="S333" t="str">
        <f t="shared" si="68"/>
        <v>Office Supplies</v>
      </c>
      <c r="T333" t="s">
        <v>151</v>
      </c>
      <c r="U333" t="str">
        <f t="shared" si="69"/>
        <v>Binders</v>
      </c>
      <c r="V333" t="s">
        <v>1114</v>
      </c>
      <c r="X333" t="s">
        <v>29</v>
      </c>
      <c r="Y333" t="str">
        <f t="shared" si="70"/>
        <v>Second Class</v>
      </c>
      <c r="Z333">
        <v>4</v>
      </c>
      <c r="AA333">
        <v>2685.66</v>
      </c>
      <c r="AB333">
        <v>0</v>
      </c>
      <c r="AC333">
        <v>10742.64</v>
      </c>
      <c r="AD333">
        <v>6477.37</v>
      </c>
      <c r="AE333">
        <v>4265.2700000000004</v>
      </c>
      <c r="AF333" t="s">
        <v>30</v>
      </c>
      <c r="AG333" t="str">
        <f t="shared" si="71"/>
        <v>Paid</v>
      </c>
      <c r="AH333" t="s">
        <v>101</v>
      </c>
    </row>
    <row r="334" spans="1:34">
      <c r="A334" t="s">
        <v>1115</v>
      </c>
      <c r="B334">
        <f>COUNTIF($A:$A,A334)</f>
        <v>1</v>
      </c>
      <c r="C334" t="str">
        <f t="shared" si="62"/>
        <v>Unique</v>
      </c>
      <c r="D334" s="4">
        <v>45804</v>
      </c>
      <c r="E334">
        <f t="shared" si="63"/>
        <v>1</v>
      </c>
      <c r="F334" s="4">
        <v>45805</v>
      </c>
      <c r="G334" t="s">
        <v>1116</v>
      </c>
      <c r="H334" t="s">
        <v>126</v>
      </c>
      <c r="I334" t="str">
        <f t="shared" si="64"/>
        <v>Aarav Sharma</v>
      </c>
      <c r="J334" t="s">
        <v>22</v>
      </c>
      <c r="K334" t="str">
        <f t="shared" si="65"/>
        <v>Consumer</v>
      </c>
      <c r="L334" t="s">
        <v>52</v>
      </c>
      <c r="M334" t="str">
        <f t="shared" si="61"/>
        <v>South</v>
      </c>
      <c r="N334" t="s">
        <v>82</v>
      </c>
      <c r="O334" t="str">
        <f t="shared" si="66"/>
        <v>Andhra Pradesh</v>
      </c>
      <c r="P334" t="s">
        <v>83</v>
      </c>
      <c r="Q334" t="str">
        <f t="shared" si="67"/>
        <v>Vijayawada</v>
      </c>
      <c r="R334" t="s">
        <v>72</v>
      </c>
      <c r="S334" t="str">
        <f t="shared" si="68"/>
        <v>Technology</v>
      </c>
      <c r="T334" t="s">
        <v>1117</v>
      </c>
      <c r="U334" t="str">
        <f t="shared" si="69"/>
        <v>Machines</v>
      </c>
      <c r="V334" t="s">
        <v>1118</v>
      </c>
      <c r="X334" t="s">
        <v>29</v>
      </c>
      <c r="Y334" t="str">
        <f t="shared" si="70"/>
        <v>Second Class</v>
      </c>
      <c r="Z334">
        <v>2</v>
      </c>
      <c r="AA334">
        <v>3911.96</v>
      </c>
      <c r="AB334">
        <v>0</v>
      </c>
      <c r="AC334">
        <v>7823.92</v>
      </c>
      <c r="AD334">
        <v>6034.63</v>
      </c>
      <c r="AE334">
        <v>1789.29</v>
      </c>
      <c r="AF334" t="s">
        <v>30</v>
      </c>
      <c r="AG334" t="str">
        <f t="shared" si="71"/>
        <v>Paid</v>
      </c>
      <c r="AH334" t="s">
        <v>31</v>
      </c>
    </row>
    <row r="335" spans="1:34">
      <c r="A335" t="s">
        <v>1119</v>
      </c>
      <c r="B335">
        <f>COUNTIF($A:$A,A335)</f>
        <v>1</v>
      </c>
      <c r="C335" t="str">
        <f t="shared" si="62"/>
        <v>Unique</v>
      </c>
      <c r="D335" s="4">
        <v>45830</v>
      </c>
      <c r="E335">
        <f t="shared" si="63"/>
        <v>5</v>
      </c>
      <c r="F335" s="4">
        <v>45835</v>
      </c>
      <c r="G335" t="s">
        <v>1120</v>
      </c>
      <c r="H335" t="s">
        <v>139</v>
      </c>
      <c r="I335" t="str">
        <f t="shared" si="64"/>
        <v>Rohan Mehta</v>
      </c>
      <c r="J335" t="s">
        <v>93</v>
      </c>
      <c r="K335" t="str">
        <f t="shared" si="65"/>
        <v>Home Office</v>
      </c>
      <c r="M335" t="s">
        <v>2828</v>
      </c>
      <c r="N335" t="s">
        <v>349</v>
      </c>
      <c r="O335" t="str">
        <f t="shared" si="66"/>
        <v>Delhi</v>
      </c>
      <c r="P335" t="s">
        <v>350</v>
      </c>
      <c r="Q335" t="str">
        <f t="shared" si="67"/>
        <v>New Delhi</v>
      </c>
      <c r="R335" t="s">
        <v>72</v>
      </c>
      <c r="S335" t="str">
        <f t="shared" si="68"/>
        <v>Technology</v>
      </c>
      <c r="T335" t="s">
        <v>169</v>
      </c>
      <c r="U335" t="str">
        <f t="shared" si="69"/>
        <v>Phones</v>
      </c>
      <c r="V335" t="s">
        <v>1121</v>
      </c>
      <c r="X335" t="s">
        <v>48</v>
      </c>
      <c r="Y335" t="str">
        <f t="shared" si="70"/>
        <v>First Class</v>
      </c>
      <c r="Z335">
        <v>2</v>
      </c>
      <c r="AA335">
        <v>1468.05</v>
      </c>
      <c r="AB335">
        <v>0</v>
      </c>
      <c r="AC335">
        <v>2936.1</v>
      </c>
      <c r="AD335">
        <v>1923.1</v>
      </c>
      <c r="AE335">
        <v>1013</v>
      </c>
      <c r="AF335" t="s">
        <v>30</v>
      </c>
      <c r="AG335" t="str">
        <f t="shared" si="71"/>
        <v>Paid</v>
      </c>
      <c r="AH335" t="s">
        <v>31</v>
      </c>
    </row>
    <row r="336" spans="1:34">
      <c r="A336" t="s">
        <v>1122</v>
      </c>
      <c r="B336">
        <f>COUNTIF($A:$A,A336)</f>
        <v>1</v>
      </c>
      <c r="C336" t="str">
        <f t="shared" si="62"/>
        <v>Unique</v>
      </c>
      <c r="D336" s="4">
        <v>45635</v>
      </c>
      <c r="E336">
        <f t="shared" si="63"/>
        <v>-83</v>
      </c>
      <c r="F336" s="4">
        <v>45552</v>
      </c>
      <c r="G336" t="s">
        <v>1123</v>
      </c>
      <c r="H336" t="s">
        <v>60</v>
      </c>
      <c r="I336" t="str">
        <f t="shared" si="64"/>
        <v>Ananya Rao</v>
      </c>
      <c r="J336" t="s">
        <v>22</v>
      </c>
      <c r="K336" t="str">
        <f t="shared" si="65"/>
        <v>Consumer</v>
      </c>
      <c r="L336" t="s">
        <v>36</v>
      </c>
      <c r="M336" t="str">
        <f t="shared" ref="M336:M367" si="72">PROPER(TRIM(L336))</f>
        <v>East</v>
      </c>
      <c r="N336" t="s">
        <v>227</v>
      </c>
      <c r="O336" t="str">
        <f t="shared" si="66"/>
        <v>Jharkhand</v>
      </c>
      <c r="P336" t="s">
        <v>228</v>
      </c>
      <c r="Q336" t="str">
        <f t="shared" si="67"/>
        <v>Ranchi</v>
      </c>
      <c r="R336" t="s">
        <v>26</v>
      </c>
      <c r="S336" t="str">
        <f t="shared" si="68"/>
        <v>Office Supplies</v>
      </c>
      <c r="T336" t="s">
        <v>122</v>
      </c>
      <c r="U336" t="str">
        <f t="shared" si="69"/>
        <v>Storage</v>
      </c>
      <c r="V336" t="s">
        <v>1124</v>
      </c>
      <c r="X336" t="s">
        <v>48</v>
      </c>
      <c r="Y336" t="str">
        <f t="shared" si="70"/>
        <v>First Class</v>
      </c>
      <c r="Z336">
        <v>9</v>
      </c>
      <c r="AA336">
        <v>1921.47</v>
      </c>
      <c r="AB336">
        <v>0.25</v>
      </c>
      <c r="AC336">
        <v>12969.92</v>
      </c>
      <c r="AD336">
        <v>9398.4599999999991</v>
      </c>
      <c r="AE336">
        <v>3571.46</v>
      </c>
      <c r="AF336" t="s">
        <v>30</v>
      </c>
      <c r="AG336" t="str">
        <f t="shared" si="71"/>
        <v>Paid</v>
      </c>
      <c r="AH336" t="s">
        <v>31</v>
      </c>
    </row>
    <row r="337" spans="1:34">
      <c r="A337" t="s">
        <v>1125</v>
      </c>
      <c r="B337">
        <f>COUNTIF($A:$A,A337)</f>
        <v>1</v>
      </c>
      <c r="C337" t="str">
        <f t="shared" si="62"/>
        <v>Unique</v>
      </c>
      <c r="D337" s="4">
        <v>45824</v>
      </c>
      <c r="E337">
        <f t="shared" si="63"/>
        <v>2</v>
      </c>
      <c r="F337" s="4">
        <v>45826</v>
      </c>
      <c r="G337" t="s">
        <v>1126</v>
      </c>
      <c r="H337" t="s">
        <v>116</v>
      </c>
      <c r="I337" t="str">
        <f t="shared" si="64"/>
        <v>Rahul Verma</v>
      </c>
      <c r="J337" t="s">
        <v>93</v>
      </c>
      <c r="K337" t="str">
        <f t="shared" si="65"/>
        <v>Home Office</v>
      </c>
      <c r="L337" t="s">
        <v>61</v>
      </c>
      <c r="M337" t="str">
        <f t="shared" si="72"/>
        <v>West</v>
      </c>
      <c r="N337" t="s">
        <v>70</v>
      </c>
      <c r="O337" t="str">
        <f t="shared" si="66"/>
        <v>Madhya Pradesh</v>
      </c>
      <c r="P337" t="s">
        <v>71</v>
      </c>
      <c r="Q337" t="str">
        <f t="shared" si="67"/>
        <v>Indore</v>
      </c>
      <c r="R337" t="s">
        <v>26</v>
      </c>
      <c r="S337" t="str">
        <f t="shared" si="68"/>
        <v>Office Supplies</v>
      </c>
      <c r="T337" t="s">
        <v>27</v>
      </c>
      <c r="U337" t="str">
        <f t="shared" si="69"/>
        <v>Paper</v>
      </c>
      <c r="V337" t="s">
        <v>1127</v>
      </c>
      <c r="X337" t="s">
        <v>48</v>
      </c>
      <c r="Y337" t="str">
        <f t="shared" si="70"/>
        <v>First Class</v>
      </c>
      <c r="Z337">
        <v>3</v>
      </c>
      <c r="AA337">
        <v>4289.37</v>
      </c>
      <c r="AB337">
        <v>0.1</v>
      </c>
      <c r="AC337">
        <v>11581.3</v>
      </c>
      <c r="AD337">
        <v>6829.43</v>
      </c>
      <c r="AE337">
        <v>4751.87</v>
      </c>
      <c r="AF337" t="s">
        <v>30</v>
      </c>
      <c r="AG337" t="str">
        <f t="shared" si="71"/>
        <v>Paid</v>
      </c>
      <c r="AH337" t="s">
        <v>31</v>
      </c>
    </row>
    <row r="338" spans="1:34">
      <c r="A338" t="s">
        <v>1128</v>
      </c>
      <c r="B338">
        <f>COUNTIF($A:$A,A338)</f>
        <v>1</v>
      </c>
      <c r="C338" t="str">
        <f t="shared" si="62"/>
        <v>Unique</v>
      </c>
      <c r="D338" s="4">
        <v>45368</v>
      </c>
      <c r="E338">
        <f t="shared" si="63"/>
        <v>4</v>
      </c>
      <c r="F338" s="4">
        <v>45372</v>
      </c>
      <c r="G338" t="s">
        <v>878</v>
      </c>
      <c r="H338" t="s">
        <v>126</v>
      </c>
      <c r="I338" t="str">
        <f t="shared" si="64"/>
        <v>Aarav Sharma</v>
      </c>
      <c r="J338" t="s">
        <v>22</v>
      </c>
      <c r="K338" t="str">
        <f t="shared" si="65"/>
        <v>Consumer</v>
      </c>
      <c r="L338" t="s">
        <v>23</v>
      </c>
      <c r="M338" t="str">
        <f t="shared" si="72"/>
        <v>North</v>
      </c>
      <c r="N338" t="s">
        <v>24</v>
      </c>
      <c r="O338" t="str">
        <f t="shared" si="66"/>
        <v>Rajasthan</v>
      </c>
      <c r="P338" t="s">
        <v>25</v>
      </c>
      <c r="Q338" t="str">
        <f t="shared" si="67"/>
        <v>Jaipur</v>
      </c>
      <c r="R338" t="s">
        <v>72</v>
      </c>
      <c r="S338" t="str">
        <f t="shared" si="68"/>
        <v>Technology</v>
      </c>
      <c r="T338" t="s">
        <v>78</v>
      </c>
      <c r="U338" t="str">
        <f t="shared" si="69"/>
        <v>Copiers</v>
      </c>
      <c r="V338" t="s">
        <v>1129</v>
      </c>
      <c r="X338" t="s">
        <v>48</v>
      </c>
      <c r="Y338" t="str">
        <f t="shared" si="70"/>
        <v>First Class</v>
      </c>
      <c r="Z338">
        <v>8</v>
      </c>
      <c r="AA338">
        <v>1992.57</v>
      </c>
      <c r="AB338">
        <v>0</v>
      </c>
      <c r="AC338">
        <v>15940.56</v>
      </c>
      <c r="AD338">
        <v>12347.15</v>
      </c>
      <c r="AE338">
        <v>3593.41</v>
      </c>
      <c r="AF338" t="s">
        <v>30</v>
      </c>
      <c r="AG338" t="str">
        <f t="shared" si="71"/>
        <v>Paid</v>
      </c>
      <c r="AH338" t="s">
        <v>31</v>
      </c>
    </row>
    <row r="339" spans="1:34">
      <c r="A339" t="s">
        <v>1130</v>
      </c>
      <c r="B339">
        <f>COUNTIF($A:$A,A339)</f>
        <v>1</v>
      </c>
      <c r="C339" t="str">
        <f t="shared" si="62"/>
        <v>Unique</v>
      </c>
      <c r="D339" s="4">
        <v>45634</v>
      </c>
      <c r="E339">
        <f t="shared" si="63"/>
        <v>-112</v>
      </c>
      <c r="F339" s="4">
        <v>45522</v>
      </c>
      <c r="G339" t="s">
        <v>1131</v>
      </c>
      <c r="H339" t="s">
        <v>60</v>
      </c>
      <c r="I339" t="str">
        <f t="shared" si="64"/>
        <v>Ananya Rao</v>
      </c>
      <c r="J339" t="s">
        <v>22</v>
      </c>
      <c r="K339" t="str">
        <f t="shared" si="65"/>
        <v>Consumer</v>
      </c>
      <c r="L339" t="s">
        <v>36</v>
      </c>
      <c r="M339" t="str">
        <f t="shared" si="72"/>
        <v>East</v>
      </c>
      <c r="N339" t="s">
        <v>164</v>
      </c>
      <c r="O339" t="str">
        <f t="shared" si="66"/>
        <v>Assam</v>
      </c>
      <c r="P339" t="s">
        <v>165</v>
      </c>
      <c r="Q339" t="str">
        <f t="shared" si="67"/>
        <v>Guwahati</v>
      </c>
      <c r="R339" t="s">
        <v>26</v>
      </c>
      <c r="S339" t="str">
        <f t="shared" si="68"/>
        <v>Office Supplies</v>
      </c>
      <c r="T339" t="s">
        <v>89</v>
      </c>
      <c r="U339" t="str">
        <f t="shared" si="69"/>
        <v>Labels</v>
      </c>
      <c r="V339" t="s">
        <v>1132</v>
      </c>
      <c r="X339" t="s">
        <v>42</v>
      </c>
      <c r="Y339" t="str">
        <f t="shared" si="70"/>
        <v>Same Day</v>
      </c>
      <c r="Z339">
        <v>6</v>
      </c>
      <c r="AA339">
        <v>1181.74</v>
      </c>
      <c r="AB339">
        <v>0</v>
      </c>
      <c r="AC339">
        <v>7090.44</v>
      </c>
      <c r="AD339">
        <v>5672.27</v>
      </c>
      <c r="AE339">
        <v>1262.8699999999999</v>
      </c>
      <c r="AF339" t="s">
        <v>30</v>
      </c>
      <c r="AG339" t="str">
        <f t="shared" si="71"/>
        <v>Paid</v>
      </c>
      <c r="AH339" t="s">
        <v>31</v>
      </c>
    </row>
    <row r="340" spans="1:34">
      <c r="A340" t="s">
        <v>1133</v>
      </c>
      <c r="B340">
        <f>COUNTIF($A:$A,A340)</f>
        <v>1</v>
      </c>
      <c r="C340" t="str">
        <f t="shared" si="62"/>
        <v>Unique</v>
      </c>
      <c r="D340" s="4">
        <v>45516</v>
      </c>
      <c r="E340">
        <f t="shared" si="63"/>
        <v>118</v>
      </c>
      <c r="F340" s="4">
        <v>45634</v>
      </c>
      <c r="G340" t="s">
        <v>1134</v>
      </c>
      <c r="H340" t="s">
        <v>51</v>
      </c>
      <c r="I340" t="str">
        <f t="shared" si="64"/>
        <v>Arjun Bose</v>
      </c>
      <c r="J340" t="s">
        <v>35</v>
      </c>
      <c r="K340" t="str">
        <f t="shared" si="65"/>
        <v>Small Business</v>
      </c>
      <c r="L340" t="s">
        <v>52</v>
      </c>
      <c r="M340" t="str">
        <f t="shared" si="72"/>
        <v>South</v>
      </c>
      <c r="N340" t="s">
        <v>82</v>
      </c>
      <c r="O340" t="str">
        <f t="shared" si="66"/>
        <v>Andhra Pradesh</v>
      </c>
      <c r="P340" t="s">
        <v>83</v>
      </c>
      <c r="Q340" t="str">
        <f t="shared" si="67"/>
        <v>Vijayawada</v>
      </c>
      <c r="R340" t="s">
        <v>72</v>
      </c>
      <c r="S340" t="str">
        <f t="shared" si="68"/>
        <v>Technology</v>
      </c>
      <c r="T340" t="s">
        <v>73</v>
      </c>
      <c r="U340" t="str">
        <f t="shared" si="69"/>
        <v>Accessories</v>
      </c>
      <c r="V340" t="s">
        <v>1135</v>
      </c>
      <c r="X340" t="s">
        <v>48</v>
      </c>
      <c r="Y340" t="str">
        <f t="shared" si="70"/>
        <v>First Class</v>
      </c>
      <c r="Z340">
        <v>8</v>
      </c>
      <c r="AA340">
        <v>4402.3599999999997</v>
      </c>
      <c r="AB340">
        <v>0.25</v>
      </c>
      <c r="AC340">
        <v>26414.16</v>
      </c>
      <c r="AD340">
        <v>21822.53</v>
      </c>
      <c r="AE340">
        <v>4591.63</v>
      </c>
      <c r="AF340" t="s">
        <v>30</v>
      </c>
      <c r="AG340" t="str">
        <f t="shared" si="71"/>
        <v>Paid</v>
      </c>
      <c r="AH340" t="s">
        <v>31</v>
      </c>
    </row>
    <row r="341" spans="1:34">
      <c r="A341" t="s">
        <v>1136</v>
      </c>
      <c r="B341">
        <f>COUNTIF($A:$A,A341)</f>
        <v>1</v>
      </c>
      <c r="C341" t="str">
        <f t="shared" si="62"/>
        <v>Unique</v>
      </c>
      <c r="D341" s="4">
        <v>45708</v>
      </c>
      <c r="E341">
        <f t="shared" si="63"/>
        <v>2</v>
      </c>
      <c r="F341" s="4">
        <v>45710</v>
      </c>
      <c r="G341" t="s">
        <v>1137</v>
      </c>
      <c r="H341" t="s">
        <v>77</v>
      </c>
      <c r="I341" t="str">
        <f t="shared" si="64"/>
        <v>Neha Gupta</v>
      </c>
      <c r="J341" t="s">
        <v>88</v>
      </c>
      <c r="K341" t="str">
        <f t="shared" si="65"/>
        <v>Corporate</v>
      </c>
      <c r="L341" t="s">
        <v>36</v>
      </c>
      <c r="M341" t="str">
        <f t="shared" si="72"/>
        <v>East</v>
      </c>
      <c r="N341" t="s">
        <v>227</v>
      </c>
      <c r="O341" t="str">
        <f t="shared" si="66"/>
        <v>Jharkhand</v>
      </c>
      <c r="P341" t="s">
        <v>228</v>
      </c>
      <c r="Q341" t="str">
        <f t="shared" si="67"/>
        <v>Ranchi</v>
      </c>
      <c r="R341" t="s">
        <v>39</v>
      </c>
      <c r="S341" t="str">
        <f t="shared" si="68"/>
        <v>Furniture</v>
      </c>
      <c r="T341" t="s">
        <v>156</v>
      </c>
      <c r="U341" t="str">
        <f t="shared" si="69"/>
        <v>Bookcases</v>
      </c>
      <c r="V341" t="s">
        <v>1138</v>
      </c>
      <c r="X341" t="s">
        <v>57</v>
      </c>
      <c r="Y341" t="str">
        <f t="shared" si="70"/>
        <v>Standard Class</v>
      </c>
      <c r="Z341">
        <v>8</v>
      </c>
      <c r="AA341">
        <v>3265.76</v>
      </c>
      <c r="AB341">
        <v>0.2</v>
      </c>
      <c r="AC341">
        <v>20900.86</v>
      </c>
      <c r="AD341">
        <v>12513.14</v>
      </c>
      <c r="AE341">
        <v>8387.7199999999993</v>
      </c>
      <c r="AF341" t="s">
        <v>30</v>
      </c>
      <c r="AG341" t="str">
        <f t="shared" si="71"/>
        <v>Paid</v>
      </c>
      <c r="AH341" t="s">
        <v>31</v>
      </c>
    </row>
    <row r="342" spans="1:34">
      <c r="A342" t="s">
        <v>1139</v>
      </c>
      <c r="B342">
        <f>COUNTIF($A:$A,A342)</f>
        <v>1</v>
      </c>
      <c r="C342" t="str">
        <f t="shared" si="62"/>
        <v>Unique</v>
      </c>
      <c r="D342" s="4">
        <v>45312</v>
      </c>
      <c r="E342">
        <f t="shared" si="63"/>
        <v>8</v>
      </c>
      <c r="F342" s="4">
        <v>45320</v>
      </c>
      <c r="G342" t="s">
        <v>1140</v>
      </c>
      <c r="H342" t="s">
        <v>77</v>
      </c>
      <c r="I342" t="str">
        <f t="shared" si="64"/>
        <v>Neha Gupta</v>
      </c>
      <c r="J342" t="s">
        <v>22</v>
      </c>
      <c r="K342" t="str">
        <f t="shared" si="65"/>
        <v>Consumer</v>
      </c>
      <c r="L342" t="s">
        <v>52</v>
      </c>
      <c r="M342" t="str">
        <f t="shared" si="72"/>
        <v>South</v>
      </c>
      <c r="N342" t="s">
        <v>173</v>
      </c>
      <c r="O342" t="str">
        <f t="shared" si="66"/>
        <v>Karnataka</v>
      </c>
      <c r="P342" t="s">
        <v>174</v>
      </c>
      <c r="Q342" t="str">
        <f t="shared" si="67"/>
        <v>Bengaluru</v>
      </c>
      <c r="R342" t="s">
        <v>26</v>
      </c>
      <c r="S342" t="str">
        <f t="shared" si="68"/>
        <v>Office Supplies</v>
      </c>
      <c r="T342" t="s">
        <v>151</v>
      </c>
      <c r="U342" t="str">
        <f t="shared" si="69"/>
        <v>Binders</v>
      </c>
      <c r="V342" t="s">
        <v>1141</v>
      </c>
      <c r="X342" t="s">
        <v>57</v>
      </c>
      <c r="Y342" t="str">
        <f t="shared" si="70"/>
        <v>Standard Class</v>
      </c>
      <c r="Z342">
        <v>5</v>
      </c>
      <c r="AA342">
        <v>4058.08</v>
      </c>
      <c r="AB342">
        <v>0.1</v>
      </c>
      <c r="AC342">
        <v>18261.36</v>
      </c>
      <c r="AD342">
        <v>11399.94</v>
      </c>
      <c r="AE342">
        <v>6861.42</v>
      </c>
      <c r="AF342" t="s">
        <v>30</v>
      </c>
      <c r="AG342" t="str">
        <f t="shared" si="71"/>
        <v>Paid</v>
      </c>
      <c r="AH342" t="s">
        <v>31</v>
      </c>
    </row>
    <row r="343" spans="1:34">
      <c r="A343" t="s">
        <v>1142</v>
      </c>
      <c r="B343">
        <f>COUNTIF($A:$A,A343)</f>
        <v>1</v>
      </c>
      <c r="C343" t="str">
        <f t="shared" si="62"/>
        <v>Unique</v>
      </c>
      <c r="D343" s="4">
        <v>45878</v>
      </c>
      <c r="E343">
        <f t="shared" si="63"/>
        <v>31</v>
      </c>
      <c r="F343" s="4">
        <v>45909</v>
      </c>
      <c r="G343" t="s">
        <v>1143</v>
      </c>
      <c r="H343" t="s">
        <v>139</v>
      </c>
      <c r="I343" t="str">
        <f t="shared" si="64"/>
        <v>Rohan Mehta</v>
      </c>
      <c r="J343" t="s">
        <v>93</v>
      </c>
      <c r="K343" t="str">
        <f t="shared" si="65"/>
        <v>Home Office</v>
      </c>
      <c r="L343" t="s">
        <v>61</v>
      </c>
      <c r="M343" t="str">
        <f t="shared" si="72"/>
        <v>West</v>
      </c>
      <c r="N343" t="s">
        <v>178</v>
      </c>
      <c r="O343" t="str">
        <f t="shared" si="66"/>
        <v>Gujarat</v>
      </c>
      <c r="P343" t="s">
        <v>179</v>
      </c>
      <c r="Q343" t="str">
        <f t="shared" si="67"/>
        <v>Ahmedabad</v>
      </c>
      <c r="R343" t="s">
        <v>39</v>
      </c>
      <c r="S343" t="str">
        <f t="shared" si="68"/>
        <v>Furniture</v>
      </c>
      <c r="T343" t="s">
        <v>64</v>
      </c>
      <c r="U343" t="str">
        <f t="shared" si="69"/>
        <v>Chairs</v>
      </c>
      <c r="V343" t="s">
        <v>1144</v>
      </c>
      <c r="X343" t="s">
        <v>29</v>
      </c>
      <c r="Y343" t="str">
        <f t="shared" si="70"/>
        <v>Second Class</v>
      </c>
      <c r="Z343">
        <v>2</v>
      </c>
      <c r="AA343">
        <v>3960.33</v>
      </c>
      <c r="AB343">
        <v>0.05</v>
      </c>
      <c r="AC343">
        <v>7524.63</v>
      </c>
      <c r="AD343">
        <v>6229.6</v>
      </c>
      <c r="AE343">
        <v>1295.03</v>
      </c>
      <c r="AF343" t="s">
        <v>30</v>
      </c>
      <c r="AG343" t="str">
        <f t="shared" si="71"/>
        <v>Paid</v>
      </c>
      <c r="AH343" t="s">
        <v>31</v>
      </c>
    </row>
    <row r="344" spans="1:34">
      <c r="A344" t="s">
        <v>1145</v>
      </c>
      <c r="B344">
        <f>COUNTIF($A:$A,A344)</f>
        <v>1</v>
      </c>
      <c r="C344" t="str">
        <f t="shared" si="62"/>
        <v>Unique</v>
      </c>
      <c r="D344" s="4">
        <v>45862</v>
      </c>
      <c r="E344">
        <f t="shared" si="63"/>
        <v>-197</v>
      </c>
      <c r="F344" s="4">
        <v>45665</v>
      </c>
      <c r="G344" t="s">
        <v>1146</v>
      </c>
      <c r="H344" t="s">
        <v>263</v>
      </c>
      <c r="I344" t="str">
        <f t="shared" si="64"/>
        <v>Kabir Singh</v>
      </c>
      <c r="J344" t="s">
        <v>35</v>
      </c>
      <c r="K344" t="str">
        <f t="shared" si="65"/>
        <v>Small Business</v>
      </c>
      <c r="L344" t="s">
        <v>36</v>
      </c>
      <c r="M344" t="str">
        <f t="shared" si="72"/>
        <v>East</v>
      </c>
      <c r="N344" t="s">
        <v>227</v>
      </c>
      <c r="O344" t="str">
        <f t="shared" si="66"/>
        <v>Jharkhand</v>
      </c>
      <c r="P344" t="s">
        <v>228</v>
      </c>
      <c r="Q344" t="str">
        <f t="shared" si="67"/>
        <v>Ranchi</v>
      </c>
      <c r="R344" t="s">
        <v>26</v>
      </c>
      <c r="S344" t="str">
        <f t="shared" si="68"/>
        <v>Office Supplies</v>
      </c>
      <c r="T344" t="s">
        <v>151</v>
      </c>
      <c r="U344" t="str">
        <f t="shared" si="69"/>
        <v>Binders</v>
      </c>
      <c r="V344" t="s">
        <v>1147</v>
      </c>
      <c r="X344" t="s">
        <v>48</v>
      </c>
      <c r="Y344" t="str">
        <f t="shared" si="70"/>
        <v>First Class</v>
      </c>
      <c r="Z344">
        <v>8</v>
      </c>
      <c r="AA344">
        <v>1528.92</v>
      </c>
      <c r="AB344">
        <v>0</v>
      </c>
      <c r="AC344">
        <v>12231.36</v>
      </c>
      <c r="AD344">
        <v>8766.9</v>
      </c>
      <c r="AE344">
        <v>3464.46</v>
      </c>
      <c r="AF344" t="s">
        <v>30</v>
      </c>
      <c r="AG344" t="str">
        <f t="shared" si="71"/>
        <v>Paid</v>
      </c>
      <c r="AH344" t="s">
        <v>31</v>
      </c>
    </row>
    <row r="345" spans="1:34">
      <c r="A345" t="s">
        <v>1148</v>
      </c>
      <c r="B345">
        <f>COUNTIF($A:$A,A345)</f>
        <v>1</v>
      </c>
      <c r="C345" t="str">
        <f t="shared" si="62"/>
        <v>Unique</v>
      </c>
      <c r="D345" s="4">
        <v>45933</v>
      </c>
      <c r="E345">
        <f t="shared" si="63"/>
        <v>-54</v>
      </c>
      <c r="F345" s="4">
        <v>45879</v>
      </c>
      <c r="G345" t="s">
        <v>1149</v>
      </c>
      <c r="H345" t="s">
        <v>126</v>
      </c>
      <c r="I345" t="str">
        <f t="shared" si="64"/>
        <v>Aarav Sharma</v>
      </c>
      <c r="J345" t="s">
        <v>88</v>
      </c>
      <c r="K345" t="str">
        <f t="shared" si="65"/>
        <v>Corporate</v>
      </c>
      <c r="L345" t="s">
        <v>61</v>
      </c>
      <c r="M345" t="str">
        <f t="shared" si="72"/>
        <v>West</v>
      </c>
      <c r="N345" t="s">
        <v>70</v>
      </c>
      <c r="O345" t="str">
        <f t="shared" si="66"/>
        <v>Madhya Pradesh</v>
      </c>
      <c r="P345" t="s">
        <v>71</v>
      </c>
      <c r="Q345" t="str">
        <f t="shared" si="67"/>
        <v>Indore</v>
      </c>
      <c r="R345" t="s">
        <v>72</v>
      </c>
      <c r="S345" t="str">
        <f t="shared" si="68"/>
        <v>Technology</v>
      </c>
      <c r="T345" t="s">
        <v>273</v>
      </c>
      <c r="U345" t="str">
        <f t="shared" si="69"/>
        <v>Machines</v>
      </c>
      <c r="V345" t="s">
        <v>1150</v>
      </c>
      <c r="X345" t="s">
        <v>42</v>
      </c>
      <c r="Y345" t="str">
        <f t="shared" si="70"/>
        <v>Same Day</v>
      </c>
      <c r="Z345">
        <v>9</v>
      </c>
      <c r="AA345">
        <v>3837</v>
      </c>
      <c r="AB345">
        <v>0.1</v>
      </c>
      <c r="AC345">
        <v>31079.7</v>
      </c>
      <c r="AD345">
        <v>17758.25</v>
      </c>
      <c r="AE345">
        <v>13321.45</v>
      </c>
      <c r="AF345" t="s">
        <v>30</v>
      </c>
      <c r="AG345" t="str">
        <f t="shared" si="71"/>
        <v>Paid</v>
      </c>
      <c r="AH345" t="s">
        <v>31</v>
      </c>
    </row>
    <row r="346" spans="1:34">
      <c r="A346" t="s">
        <v>1151</v>
      </c>
      <c r="B346">
        <f>COUNTIF($A:$A,A346)</f>
        <v>1</v>
      </c>
      <c r="C346" t="str">
        <f t="shared" si="62"/>
        <v>Unique</v>
      </c>
      <c r="D346" s="4">
        <v>45599</v>
      </c>
      <c r="E346">
        <f t="shared" si="63"/>
        <v>0</v>
      </c>
      <c r="F346" s="4">
        <v>45599</v>
      </c>
      <c r="G346" t="s">
        <v>1152</v>
      </c>
      <c r="H346" t="s">
        <v>112</v>
      </c>
      <c r="I346" t="str">
        <f t="shared" si="64"/>
        <v>Priya Menon</v>
      </c>
      <c r="J346" t="s">
        <v>22</v>
      </c>
      <c r="K346" t="str">
        <f t="shared" si="65"/>
        <v>Consumer</v>
      </c>
      <c r="L346" t="s">
        <v>23</v>
      </c>
      <c r="M346" t="str">
        <f t="shared" si="72"/>
        <v>North</v>
      </c>
      <c r="N346" t="s">
        <v>120</v>
      </c>
      <c r="O346" t="str">
        <f t="shared" si="66"/>
        <v>Punjab</v>
      </c>
      <c r="P346" t="s">
        <v>121</v>
      </c>
      <c r="Q346" t="str">
        <f t="shared" si="67"/>
        <v>Ludhiana</v>
      </c>
      <c r="R346" t="s">
        <v>39</v>
      </c>
      <c r="S346" t="str">
        <f t="shared" si="68"/>
        <v>Furniture</v>
      </c>
      <c r="T346" t="s">
        <v>156</v>
      </c>
      <c r="U346" t="str">
        <f t="shared" si="69"/>
        <v>Bookcases</v>
      </c>
      <c r="V346" t="s">
        <v>1153</v>
      </c>
      <c r="X346" t="s">
        <v>42</v>
      </c>
      <c r="Y346" t="str">
        <f t="shared" si="70"/>
        <v>Same Day</v>
      </c>
      <c r="Z346">
        <v>9</v>
      </c>
      <c r="AA346">
        <v>3456.38</v>
      </c>
      <c r="AB346">
        <v>0</v>
      </c>
      <c r="AC346">
        <v>31107.42</v>
      </c>
      <c r="AD346">
        <v>20146.66</v>
      </c>
      <c r="AE346">
        <v>10960.76</v>
      </c>
      <c r="AF346" t="s">
        <v>109</v>
      </c>
      <c r="AG346" t="str">
        <f t="shared" si="71"/>
        <v>Pending</v>
      </c>
      <c r="AH346" t="s">
        <v>101</v>
      </c>
    </row>
    <row r="347" spans="1:34">
      <c r="A347" t="s">
        <v>1154</v>
      </c>
      <c r="B347">
        <f>COUNTIF($A:$A,A347)</f>
        <v>1</v>
      </c>
      <c r="C347" t="str">
        <f t="shared" si="62"/>
        <v>Unique</v>
      </c>
      <c r="D347" s="4">
        <v>45549</v>
      </c>
      <c r="E347">
        <f t="shared" si="63"/>
        <v>8</v>
      </c>
      <c r="F347" s="4">
        <v>45557</v>
      </c>
      <c r="G347" t="s">
        <v>1155</v>
      </c>
      <c r="H347" t="s">
        <v>21</v>
      </c>
      <c r="I347" t="str">
        <f t="shared" si="64"/>
        <v>Karan Malhotra</v>
      </c>
      <c r="J347" t="s">
        <v>22</v>
      </c>
      <c r="K347" t="str">
        <f t="shared" si="65"/>
        <v>Consumer</v>
      </c>
      <c r="L347" t="s">
        <v>61</v>
      </c>
      <c r="M347" t="str">
        <f t="shared" si="72"/>
        <v>West</v>
      </c>
      <c r="N347" t="s">
        <v>70</v>
      </c>
      <c r="O347" t="str">
        <f t="shared" si="66"/>
        <v>Madhya Pradesh</v>
      </c>
      <c r="P347" t="s">
        <v>71</v>
      </c>
      <c r="Q347" t="str">
        <f t="shared" si="67"/>
        <v>Indore</v>
      </c>
      <c r="R347" t="s">
        <v>39</v>
      </c>
      <c r="S347" t="str">
        <f t="shared" si="68"/>
        <v>Furniture</v>
      </c>
      <c r="T347" t="s">
        <v>55</v>
      </c>
      <c r="U347" t="str">
        <f t="shared" si="69"/>
        <v>Furnishings</v>
      </c>
      <c r="V347" t="s">
        <v>1156</v>
      </c>
      <c r="X347" t="s">
        <v>29</v>
      </c>
      <c r="Y347" t="str">
        <f t="shared" si="70"/>
        <v>Second Class</v>
      </c>
      <c r="Z347">
        <v>2</v>
      </c>
      <c r="AA347">
        <v>2765.3</v>
      </c>
      <c r="AB347">
        <v>0</v>
      </c>
      <c r="AC347">
        <v>5530.6</v>
      </c>
      <c r="AD347">
        <v>4453.1099999999997</v>
      </c>
      <c r="AE347">
        <v>1077.49</v>
      </c>
      <c r="AF347" t="s">
        <v>30</v>
      </c>
      <c r="AG347" t="str">
        <f t="shared" si="71"/>
        <v>Paid</v>
      </c>
      <c r="AH347" t="s">
        <v>31</v>
      </c>
    </row>
    <row r="348" spans="1:34">
      <c r="A348" t="s">
        <v>1157</v>
      </c>
      <c r="B348">
        <f>COUNTIF($A:$A,A348)</f>
        <v>1</v>
      </c>
      <c r="C348" t="str">
        <f t="shared" si="62"/>
        <v>Unique</v>
      </c>
      <c r="D348" s="4">
        <v>45860</v>
      </c>
      <c r="E348">
        <f t="shared" si="63"/>
        <v>6</v>
      </c>
      <c r="F348" s="4">
        <v>45866</v>
      </c>
      <c r="G348" t="s">
        <v>1158</v>
      </c>
      <c r="H348" t="s">
        <v>116</v>
      </c>
      <c r="I348" t="str">
        <f t="shared" si="64"/>
        <v>Rahul Verma</v>
      </c>
      <c r="J348" t="s">
        <v>88</v>
      </c>
      <c r="K348" t="str">
        <f t="shared" si="65"/>
        <v>Corporate</v>
      </c>
      <c r="L348" t="s">
        <v>52</v>
      </c>
      <c r="M348" t="str">
        <f t="shared" si="72"/>
        <v>South</v>
      </c>
      <c r="N348" t="s">
        <v>183</v>
      </c>
      <c r="O348" t="str">
        <f t="shared" si="66"/>
        <v>Kerala</v>
      </c>
      <c r="P348" t="s">
        <v>184</v>
      </c>
      <c r="Q348" t="str">
        <f t="shared" si="67"/>
        <v>Kochi</v>
      </c>
      <c r="R348" t="s">
        <v>39</v>
      </c>
      <c r="S348" t="str">
        <f t="shared" si="68"/>
        <v>Furniture</v>
      </c>
      <c r="T348" t="s">
        <v>64</v>
      </c>
      <c r="U348" t="str">
        <f t="shared" si="69"/>
        <v>Chairs</v>
      </c>
      <c r="V348" t="s">
        <v>1159</v>
      </c>
      <c r="X348" t="s">
        <v>29</v>
      </c>
      <c r="Y348" t="str">
        <f t="shared" si="70"/>
        <v>Second Class</v>
      </c>
      <c r="Z348">
        <v>6</v>
      </c>
      <c r="AA348">
        <v>1607.46</v>
      </c>
      <c r="AB348">
        <v>0.2</v>
      </c>
      <c r="AC348">
        <v>7715.81</v>
      </c>
      <c r="AD348">
        <v>4258.42</v>
      </c>
      <c r="AE348">
        <v>3457.39</v>
      </c>
      <c r="AF348" t="s">
        <v>30</v>
      </c>
      <c r="AG348" t="str">
        <f t="shared" si="71"/>
        <v>Paid</v>
      </c>
      <c r="AH348" t="s">
        <v>31</v>
      </c>
    </row>
    <row r="349" spans="1:34">
      <c r="A349" t="s">
        <v>1160</v>
      </c>
      <c r="B349">
        <f>COUNTIF($A:$A,A349)</f>
        <v>1</v>
      </c>
      <c r="C349" t="str">
        <f t="shared" si="62"/>
        <v>Unique</v>
      </c>
      <c r="D349" s="4">
        <v>45303</v>
      </c>
      <c r="E349">
        <f t="shared" si="63"/>
        <v>331</v>
      </c>
      <c r="F349" s="4">
        <v>45634</v>
      </c>
      <c r="G349" t="s">
        <v>1161</v>
      </c>
      <c r="H349" t="s">
        <v>126</v>
      </c>
      <c r="I349" t="str">
        <f t="shared" si="64"/>
        <v>Aarav Sharma</v>
      </c>
      <c r="J349" t="s">
        <v>35</v>
      </c>
      <c r="K349" t="str">
        <f t="shared" si="65"/>
        <v>Small Business</v>
      </c>
      <c r="L349" t="s">
        <v>61</v>
      </c>
      <c r="M349" t="str">
        <f t="shared" si="72"/>
        <v>West</v>
      </c>
      <c r="N349" t="s">
        <v>188</v>
      </c>
      <c r="O349" t="str">
        <f t="shared" si="66"/>
        <v>Goa</v>
      </c>
      <c r="P349" t="s">
        <v>189</v>
      </c>
      <c r="Q349" t="str">
        <f t="shared" si="67"/>
        <v>Panaji</v>
      </c>
      <c r="R349" t="s">
        <v>39</v>
      </c>
      <c r="S349" t="str">
        <f t="shared" si="68"/>
        <v>Furniture</v>
      </c>
      <c r="T349" t="s">
        <v>64</v>
      </c>
      <c r="U349" t="str">
        <f t="shared" si="69"/>
        <v>Chairs</v>
      </c>
      <c r="V349" t="s">
        <v>1162</v>
      </c>
      <c r="X349" t="s">
        <v>29</v>
      </c>
      <c r="Y349" t="str">
        <f t="shared" si="70"/>
        <v>Second Class</v>
      </c>
      <c r="Z349">
        <v>5</v>
      </c>
      <c r="AA349">
        <v>2981.49</v>
      </c>
      <c r="AB349">
        <v>0.2</v>
      </c>
      <c r="AC349">
        <v>11925.96</v>
      </c>
      <c r="AD349">
        <v>10103.51</v>
      </c>
      <c r="AE349">
        <v>1822.45</v>
      </c>
      <c r="AF349" t="s">
        <v>100</v>
      </c>
      <c r="AG349" t="str">
        <f t="shared" si="71"/>
        <v>Refunded</v>
      </c>
      <c r="AH349" t="s">
        <v>101</v>
      </c>
    </row>
    <row r="350" spans="1:34">
      <c r="A350" t="s">
        <v>1163</v>
      </c>
      <c r="B350">
        <f>COUNTIF($A:$A,A350)</f>
        <v>1</v>
      </c>
      <c r="C350" t="str">
        <f t="shared" si="62"/>
        <v>Unique</v>
      </c>
      <c r="D350" s="4">
        <v>45445</v>
      </c>
      <c r="E350">
        <f t="shared" si="63"/>
        <v>5</v>
      </c>
      <c r="F350" s="4">
        <v>45450</v>
      </c>
      <c r="G350" t="s">
        <v>1164</v>
      </c>
      <c r="H350" t="s">
        <v>126</v>
      </c>
      <c r="I350" t="str">
        <f t="shared" si="64"/>
        <v>Aarav Sharma</v>
      </c>
      <c r="J350" t="s">
        <v>88</v>
      </c>
      <c r="K350" t="str">
        <f t="shared" si="65"/>
        <v>Corporate</v>
      </c>
      <c r="L350" t="s">
        <v>52</v>
      </c>
      <c r="M350" t="str">
        <f t="shared" si="72"/>
        <v>South</v>
      </c>
      <c r="N350" t="s">
        <v>173</v>
      </c>
      <c r="O350" t="str">
        <f t="shared" si="66"/>
        <v>Karnataka</v>
      </c>
      <c r="P350" t="s">
        <v>174</v>
      </c>
      <c r="Q350" t="str">
        <f t="shared" si="67"/>
        <v>Bengaluru</v>
      </c>
      <c r="R350" t="s">
        <v>72</v>
      </c>
      <c r="S350" t="str">
        <f t="shared" si="68"/>
        <v>Technology</v>
      </c>
      <c r="T350" t="s">
        <v>169</v>
      </c>
      <c r="U350" t="str">
        <f t="shared" si="69"/>
        <v>Phones</v>
      </c>
      <c r="V350" t="s">
        <v>1165</v>
      </c>
      <c r="X350" t="s">
        <v>42</v>
      </c>
      <c r="Y350" t="str">
        <f t="shared" si="70"/>
        <v>Same Day</v>
      </c>
      <c r="Z350">
        <v>9</v>
      </c>
      <c r="AA350">
        <v>2860.26</v>
      </c>
      <c r="AB350">
        <v>0.25</v>
      </c>
      <c r="AC350">
        <v>19306.759999999998</v>
      </c>
      <c r="AD350">
        <v>14442.38</v>
      </c>
      <c r="AE350">
        <v>4864.38</v>
      </c>
      <c r="AF350" t="s">
        <v>30</v>
      </c>
      <c r="AG350" t="str">
        <f t="shared" si="71"/>
        <v>Paid</v>
      </c>
      <c r="AH350" t="s">
        <v>31</v>
      </c>
    </row>
    <row r="351" spans="1:34">
      <c r="A351" t="s">
        <v>1166</v>
      </c>
      <c r="B351">
        <f>COUNTIF($A:$A,A351)</f>
        <v>1</v>
      </c>
      <c r="C351" t="str">
        <f t="shared" si="62"/>
        <v>Unique</v>
      </c>
      <c r="D351" s="4">
        <v>45927</v>
      </c>
      <c r="E351">
        <f t="shared" si="63"/>
        <v>2</v>
      </c>
      <c r="F351" s="4">
        <v>45929</v>
      </c>
      <c r="G351" t="s">
        <v>1167</v>
      </c>
      <c r="H351" t="s">
        <v>263</v>
      </c>
      <c r="I351" t="str">
        <f t="shared" si="64"/>
        <v>Kabir Singh</v>
      </c>
      <c r="J351" t="s">
        <v>93</v>
      </c>
      <c r="K351" t="str">
        <f t="shared" si="65"/>
        <v>Home Office</v>
      </c>
      <c r="L351" t="s">
        <v>36</v>
      </c>
      <c r="M351" t="str">
        <f t="shared" si="72"/>
        <v>East</v>
      </c>
      <c r="N351" t="s">
        <v>227</v>
      </c>
      <c r="O351" t="str">
        <f t="shared" si="66"/>
        <v>Jharkhand</v>
      </c>
      <c r="P351" t="s">
        <v>228</v>
      </c>
      <c r="Q351" t="str">
        <f t="shared" si="67"/>
        <v>Ranchi</v>
      </c>
      <c r="R351" t="s">
        <v>39</v>
      </c>
      <c r="S351" t="str">
        <f t="shared" si="68"/>
        <v>Furniture</v>
      </c>
      <c r="T351" t="s">
        <v>55</v>
      </c>
      <c r="U351" t="str">
        <f t="shared" si="69"/>
        <v>Furnishings</v>
      </c>
      <c r="V351" t="s">
        <v>1168</v>
      </c>
      <c r="X351" t="s">
        <v>29</v>
      </c>
      <c r="Y351" t="str">
        <f t="shared" si="70"/>
        <v>Second Class</v>
      </c>
      <c r="Z351">
        <v>9</v>
      </c>
      <c r="AA351">
        <v>2867.55</v>
      </c>
      <c r="AB351">
        <v>0.25</v>
      </c>
      <c r="AC351">
        <v>19355.96</v>
      </c>
      <c r="AD351">
        <v>15012.45</v>
      </c>
      <c r="AE351">
        <v>4017.4</v>
      </c>
      <c r="AF351" t="s">
        <v>30</v>
      </c>
      <c r="AG351" t="str">
        <f t="shared" si="71"/>
        <v>Paid</v>
      </c>
      <c r="AH351" t="s">
        <v>31</v>
      </c>
    </row>
    <row r="352" spans="1:34">
      <c r="A352" t="s">
        <v>1169</v>
      </c>
      <c r="B352">
        <f>COUNTIF($A:$A,A352)</f>
        <v>1</v>
      </c>
      <c r="C352" t="str">
        <f t="shared" si="62"/>
        <v>Unique</v>
      </c>
      <c r="D352" s="4">
        <v>45474</v>
      </c>
      <c r="E352">
        <f t="shared" si="63"/>
        <v>-169</v>
      </c>
      <c r="F352" s="4">
        <v>45305</v>
      </c>
      <c r="G352" t="s">
        <v>1170</v>
      </c>
      <c r="H352" t="s">
        <v>130</v>
      </c>
      <c r="I352" t="str">
        <f t="shared" si="64"/>
        <v>Sneha Kapoor</v>
      </c>
      <c r="J352" t="s">
        <v>35</v>
      </c>
      <c r="K352" t="str">
        <f t="shared" si="65"/>
        <v>Small Business</v>
      </c>
      <c r="L352" t="s">
        <v>36</v>
      </c>
      <c r="M352" t="str">
        <f t="shared" si="72"/>
        <v>East</v>
      </c>
      <c r="N352" t="s">
        <v>227</v>
      </c>
      <c r="O352" t="str">
        <f t="shared" si="66"/>
        <v>Jharkhand</v>
      </c>
      <c r="P352" t="s">
        <v>228</v>
      </c>
      <c r="Q352" t="str">
        <f t="shared" si="67"/>
        <v>Ranchi</v>
      </c>
      <c r="R352" t="s">
        <v>39</v>
      </c>
      <c r="S352" t="str">
        <f t="shared" si="68"/>
        <v>Furniture</v>
      </c>
      <c r="T352" t="s">
        <v>55</v>
      </c>
      <c r="U352" t="str">
        <f t="shared" si="69"/>
        <v>Furnishings</v>
      </c>
      <c r="V352" t="s">
        <v>1171</v>
      </c>
      <c r="X352" t="s">
        <v>29</v>
      </c>
      <c r="Y352" t="str">
        <f t="shared" si="70"/>
        <v>Second Class</v>
      </c>
      <c r="Z352">
        <v>4</v>
      </c>
      <c r="AA352">
        <v>3309.54</v>
      </c>
      <c r="AB352">
        <v>0.1</v>
      </c>
      <c r="AC352">
        <v>11914.34</v>
      </c>
      <c r="AD352">
        <v>9771.24</v>
      </c>
      <c r="AE352">
        <v>2143.1</v>
      </c>
      <c r="AF352" t="s">
        <v>100</v>
      </c>
      <c r="AG352" t="str">
        <f t="shared" si="71"/>
        <v>Refunded</v>
      </c>
      <c r="AH352" t="s">
        <v>101</v>
      </c>
    </row>
    <row r="353" spans="1:34">
      <c r="A353" t="s">
        <v>1172</v>
      </c>
      <c r="B353">
        <f>COUNTIF($A:$A,A353)</f>
        <v>1</v>
      </c>
      <c r="C353" t="str">
        <f t="shared" si="62"/>
        <v>Unique</v>
      </c>
      <c r="D353" s="4">
        <v>45800</v>
      </c>
      <c r="E353">
        <f t="shared" si="63"/>
        <v>4</v>
      </c>
      <c r="F353" s="4">
        <v>45804</v>
      </c>
      <c r="G353" t="s">
        <v>1173</v>
      </c>
      <c r="H353" t="s">
        <v>69</v>
      </c>
      <c r="I353" t="str">
        <f t="shared" si="64"/>
        <v>Vikram Iyer</v>
      </c>
      <c r="J353" t="s">
        <v>35</v>
      </c>
      <c r="K353" t="str">
        <f t="shared" si="65"/>
        <v>Small Business</v>
      </c>
      <c r="L353" t="s">
        <v>52</v>
      </c>
      <c r="M353" t="str">
        <f t="shared" si="72"/>
        <v>South</v>
      </c>
      <c r="N353" t="s">
        <v>53</v>
      </c>
      <c r="O353" t="str">
        <f t="shared" si="66"/>
        <v>Telangana</v>
      </c>
      <c r="P353" t="s">
        <v>54</v>
      </c>
      <c r="Q353" t="str">
        <f t="shared" si="67"/>
        <v>Hyderabad</v>
      </c>
      <c r="R353" t="s">
        <v>26</v>
      </c>
      <c r="S353" t="str">
        <f t="shared" si="68"/>
        <v>Office Supplies</v>
      </c>
      <c r="T353" t="s">
        <v>122</v>
      </c>
      <c r="U353" t="str">
        <f t="shared" si="69"/>
        <v>Storage</v>
      </c>
      <c r="V353" t="s">
        <v>1174</v>
      </c>
      <c r="X353" t="s">
        <v>48</v>
      </c>
      <c r="Y353" t="str">
        <f t="shared" si="70"/>
        <v>First Class</v>
      </c>
      <c r="Z353">
        <v>6</v>
      </c>
      <c r="AA353">
        <v>719.44</v>
      </c>
      <c r="AB353">
        <v>0.25</v>
      </c>
      <c r="AC353">
        <v>3237.48</v>
      </c>
      <c r="AD353">
        <v>2118.34</v>
      </c>
      <c r="AE353">
        <v>1119.1400000000001</v>
      </c>
      <c r="AF353" t="s">
        <v>109</v>
      </c>
      <c r="AG353" t="str">
        <f t="shared" si="71"/>
        <v>Pending</v>
      </c>
      <c r="AH353" t="s">
        <v>66</v>
      </c>
    </row>
    <row r="354" spans="1:34">
      <c r="A354" t="s">
        <v>1175</v>
      </c>
      <c r="B354">
        <f>COUNTIF($A:$A,A354)</f>
        <v>1</v>
      </c>
      <c r="C354" t="str">
        <f t="shared" si="62"/>
        <v>Unique</v>
      </c>
      <c r="D354" s="4">
        <v>45884</v>
      </c>
      <c r="E354">
        <f t="shared" si="63"/>
        <v>2</v>
      </c>
      <c r="F354" s="4">
        <v>45886</v>
      </c>
      <c r="G354" t="s">
        <v>1176</v>
      </c>
      <c r="H354" t="s">
        <v>160</v>
      </c>
      <c r="I354" t="str">
        <f t="shared" si="64"/>
        <v>Diya Patel</v>
      </c>
      <c r="J354" t="s">
        <v>35</v>
      </c>
      <c r="K354" t="str">
        <f t="shared" si="65"/>
        <v>Small Business</v>
      </c>
      <c r="L354" t="s">
        <v>36</v>
      </c>
      <c r="M354" t="str">
        <f t="shared" si="72"/>
        <v>East</v>
      </c>
      <c r="N354" t="s">
        <v>164</v>
      </c>
      <c r="O354" t="str">
        <f t="shared" si="66"/>
        <v>Assam</v>
      </c>
      <c r="P354" t="s">
        <v>165</v>
      </c>
      <c r="Q354" t="str">
        <f t="shared" si="67"/>
        <v>Guwahati</v>
      </c>
      <c r="R354" t="s">
        <v>72</v>
      </c>
      <c r="S354" t="str">
        <f t="shared" si="68"/>
        <v>Technology</v>
      </c>
      <c r="T354" t="s">
        <v>78</v>
      </c>
      <c r="U354" t="str">
        <f t="shared" si="69"/>
        <v>Copiers</v>
      </c>
      <c r="V354" t="s">
        <v>1177</v>
      </c>
      <c r="X354" t="s">
        <v>48</v>
      </c>
      <c r="Y354" t="str">
        <f t="shared" si="70"/>
        <v>First Class</v>
      </c>
      <c r="Z354">
        <v>5</v>
      </c>
      <c r="AA354">
        <v>2862.6</v>
      </c>
      <c r="AB354">
        <v>0.25</v>
      </c>
      <c r="AC354">
        <v>10734.75</v>
      </c>
      <c r="AD354">
        <v>6475.73</v>
      </c>
      <c r="AE354">
        <v>4259.0200000000004</v>
      </c>
      <c r="AF354" t="s">
        <v>30</v>
      </c>
      <c r="AG354" t="str">
        <f t="shared" si="71"/>
        <v>Paid</v>
      </c>
      <c r="AH354" t="s">
        <v>31</v>
      </c>
    </row>
    <row r="355" spans="1:34">
      <c r="A355" t="s">
        <v>1178</v>
      </c>
      <c r="B355">
        <f>COUNTIF($A:$A,A355)</f>
        <v>1</v>
      </c>
      <c r="C355" t="str">
        <f t="shared" si="62"/>
        <v>Unique</v>
      </c>
      <c r="D355" s="4">
        <v>45709</v>
      </c>
      <c r="E355">
        <f t="shared" si="63"/>
        <v>6</v>
      </c>
      <c r="F355" s="4">
        <v>45715</v>
      </c>
      <c r="G355" t="s">
        <v>1179</v>
      </c>
      <c r="H355" t="s">
        <v>60</v>
      </c>
      <c r="I355" t="str">
        <f t="shared" si="64"/>
        <v>Ananya Rao</v>
      </c>
      <c r="J355" t="s">
        <v>22</v>
      </c>
      <c r="K355" t="str">
        <f t="shared" si="65"/>
        <v>Consumer</v>
      </c>
      <c r="L355" t="s">
        <v>23</v>
      </c>
      <c r="M355" t="str">
        <f t="shared" si="72"/>
        <v>North</v>
      </c>
      <c r="N355" t="s">
        <v>24</v>
      </c>
      <c r="O355" t="str">
        <f t="shared" si="66"/>
        <v>Rajasthan</v>
      </c>
      <c r="P355" t="s">
        <v>25</v>
      </c>
      <c r="Q355" t="str">
        <f t="shared" si="67"/>
        <v>Jaipur</v>
      </c>
      <c r="R355" t="s">
        <v>26</v>
      </c>
      <c r="S355" t="str">
        <f t="shared" si="68"/>
        <v>Office Supplies</v>
      </c>
      <c r="T355" t="s">
        <v>46</v>
      </c>
      <c r="U355" t="str">
        <f t="shared" si="69"/>
        <v>Art</v>
      </c>
      <c r="V355" t="s">
        <v>1180</v>
      </c>
      <c r="X355" t="s">
        <v>42</v>
      </c>
      <c r="Y355" t="str">
        <f t="shared" si="70"/>
        <v>Same Day</v>
      </c>
      <c r="Z355">
        <v>9</v>
      </c>
      <c r="AA355">
        <v>1431.67</v>
      </c>
      <c r="AB355">
        <v>0.2</v>
      </c>
      <c r="AC355">
        <v>10308.02</v>
      </c>
      <c r="AD355">
        <v>5822.31</v>
      </c>
      <c r="AE355">
        <v>4485.71</v>
      </c>
      <c r="AF355" t="s">
        <v>30</v>
      </c>
      <c r="AG355" t="str">
        <f t="shared" si="71"/>
        <v>Paid</v>
      </c>
      <c r="AH355" t="s">
        <v>31</v>
      </c>
    </row>
    <row r="356" spans="1:34">
      <c r="A356" t="s">
        <v>1181</v>
      </c>
      <c r="B356">
        <f>COUNTIF($A:$A,A356)</f>
        <v>1</v>
      </c>
      <c r="C356" t="str">
        <f t="shared" si="62"/>
        <v>Unique</v>
      </c>
      <c r="D356" s="4">
        <v>45653</v>
      </c>
      <c r="E356">
        <f t="shared" si="63"/>
        <v>4</v>
      </c>
      <c r="F356" s="4">
        <v>45657</v>
      </c>
      <c r="G356" t="s">
        <v>1182</v>
      </c>
      <c r="H356" t="s">
        <v>263</v>
      </c>
      <c r="I356" t="str">
        <f t="shared" si="64"/>
        <v>Kabir Singh</v>
      </c>
      <c r="J356" t="s">
        <v>1183</v>
      </c>
      <c r="K356" t="str">
        <f t="shared" si="65"/>
        <v>Corporate</v>
      </c>
      <c r="L356" t="s">
        <v>23</v>
      </c>
      <c r="M356" t="str">
        <f t="shared" si="72"/>
        <v>North</v>
      </c>
      <c r="N356" t="s">
        <v>120</v>
      </c>
      <c r="O356" t="str">
        <f t="shared" si="66"/>
        <v>Punjab</v>
      </c>
      <c r="P356" t="s">
        <v>121</v>
      </c>
      <c r="Q356" t="str">
        <f t="shared" si="67"/>
        <v>Ludhiana</v>
      </c>
      <c r="R356" t="s">
        <v>39</v>
      </c>
      <c r="S356" t="str">
        <f t="shared" si="68"/>
        <v>Furniture</v>
      </c>
      <c r="T356" t="s">
        <v>55</v>
      </c>
      <c r="U356" t="str">
        <f t="shared" si="69"/>
        <v>Furnishings</v>
      </c>
      <c r="V356" t="s">
        <v>1184</v>
      </c>
      <c r="X356" t="s">
        <v>57</v>
      </c>
      <c r="Y356" t="str">
        <f t="shared" si="70"/>
        <v>Standard Class</v>
      </c>
      <c r="Z356">
        <v>6</v>
      </c>
      <c r="AA356">
        <v>3346.78</v>
      </c>
      <c r="AB356">
        <v>-0.06</v>
      </c>
      <c r="AC356">
        <v>20080.68</v>
      </c>
      <c r="AD356">
        <v>12908.84</v>
      </c>
      <c r="AE356">
        <v>7171.84</v>
      </c>
      <c r="AF356" t="s">
        <v>109</v>
      </c>
      <c r="AG356" t="str">
        <f t="shared" si="71"/>
        <v>Pending</v>
      </c>
      <c r="AH356" t="s">
        <v>66</v>
      </c>
    </row>
    <row r="357" spans="1:34">
      <c r="A357" t="s">
        <v>1185</v>
      </c>
      <c r="B357">
        <f>COUNTIF($A:$A,A357)</f>
        <v>1</v>
      </c>
      <c r="C357" t="str">
        <f t="shared" si="62"/>
        <v>Unique</v>
      </c>
      <c r="D357" s="4">
        <v>45631</v>
      </c>
      <c r="E357">
        <f t="shared" si="63"/>
        <v>-91</v>
      </c>
      <c r="F357" s="4">
        <v>45540</v>
      </c>
      <c r="G357" t="s">
        <v>1186</v>
      </c>
      <c r="H357" t="s">
        <v>112</v>
      </c>
      <c r="I357" t="str">
        <f t="shared" si="64"/>
        <v>Priya Menon</v>
      </c>
      <c r="J357" t="s">
        <v>88</v>
      </c>
      <c r="K357" t="str">
        <f t="shared" si="65"/>
        <v>Corporate</v>
      </c>
      <c r="L357" t="s">
        <v>61</v>
      </c>
      <c r="M357" t="str">
        <f t="shared" si="72"/>
        <v>West</v>
      </c>
      <c r="N357" t="s">
        <v>24</v>
      </c>
      <c r="O357" t="str">
        <f t="shared" si="66"/>
        <v>Rajasthan</v>
      </c>
      <c r="P357" t="s">
        <v>107</v>
      </c>
      <c r="Q357" t="str">
        <f t="shared" si="67"/>
        <v>Udaipur</v>
      </c>
      <c r="R357" t="s">
        <v>39</v>
      </c>
      <c r="S357" t="str">
        <f t="shared" si="68"/>
        <v>Furniture</v>
      </c>
      <c r="T357" t="s">
        <v>40</v>
      </c>
      <c r="U357" t="str">
        <f t="shared" si="69"/>
        <v>Tables</v>
      </c>
      <c r="V357" t="s">
        <v>1187</v>
      </c>
      <c r="X357" t="s">
        <v>57</v>
      </c>
      <c r="Y357" t="str">
        <f t="shared" si="70"/>
        <v>Standard Class</v>
      </c>
      <c r="Z357">
        <v>5</v>
      </c>
      <c r="AA357">
        <v>3203.48</v>
      </c>
      <c r="AB357">
        <v>0</v>
      </c>
      <c r="AC357">
        <v>16017.4</v>
      </c>
      <c r="AD357">
        <v>9557.7999999999993</v>
      </c>
      <c r="AE357">
        <v>6459.6</v>
      </c>
      <c r="AF357" t="s">
        <v>109</v>
      </c>
      <c r="AG357" t="str">
        <f t="shared" si="71"/>
        <v>Pending</v>
      </c>
      <c r="AH357" t="s">
        <v>66</v>
      </c>
    </row>
    <row r="358" spans="1:34">
      <c r="A358" t="s">
        <v>1188</v>
      </c>
      <c r="B358">
        <f>COUNTIF($A:$A,A358)</f>
        <v>1</v>
      </c>
      <c r="C358" t="str">
        <f t="shared" si="62"/>
        <v>Unique</v>
      </c>
      <c r="D358" s="4">
        <v>45835</v>
      </c>
      <c r="E358">
        <f t="shared" si="63"/>
        <v>2</v>
      </c>
      <c r="F358" s="4">
        <v>45837</v>
      </c>
      <c r="G358" t="s">
        <v>1189</v>
      </c>
      <c r="H358" t="s">
        <v>139</v>
      </c>
      <c r="I358" t="str">
        <f t="shared" si="64"/>
        <v>Rohan Mehta</v>
      </c>
      <c r="J358" t="s">
        <v>93</v>
      </c>
      <c r="K358" t="str">
        <f t="shared" si="65"/>
        <v>Home Office</v>
      </c>
      <c r="L358" t="s">
        <v>52</v>
      </c>
      <c r="M358" t="str">
        <f t="shared" si="72"/>
        <v>South</v>
      </c>
      <c r="N358" t="s">
        <v>53</v>
      </c>
      <c r="O358" t="str">
        <f t="shared" si="66"/>
        <v>Telangana</v>
      </c>
      <c r="P358" t="s">
        <v>54</v>
      </c>
      <c r="Q358" t="str">
        <f t="shared" si="67"/>
        <v>Hyderabad</v>
      </c>
      <c r="R358" t="s">
        <v>39</v>
      </c>
      <c r="S358" t="str">
        <f t="shared" si="68"/>
        <v>Furniture</v>
      </c>
      <c r="T358" t="s">
        <v>64</v>
      </c>
      <c r="U358" t="str">
        <f t="shared" si="69"/>
        <v>Chairs</v>
      </c>
      <c r="V358" t="s">
        <v>1190</v>
      </c>
      <c r="X358" t="s">
        <v>48</v>
      </c>
      <c r="Y358" t="str">
        <f t="shared" si="70"/>
        <v>First Class</v>
      </c>
      <c r="Z358">
        <v>5</v>
      </c>
      <c r="AA358">
        <v>621.70000000000005</v>
      </c>
      <c r="AB358">
        <v>0.2</v>
      </c>
      <c r="AC358">
        <v>2486.8000000000002</v>
      </c>
      <c r="AD358">
        <v>2131.73</v>
      </c>
      <c r="AE358">
        <v>355.07</v>
      </c>
      <c r="AF358" t="s">
        <v>109</v>
      </c>
      <c r="AG358" t="str">
        <f t="shared" si="71"/>
        <v>Pending</v>
      </c>
      <c r="AH358" t="s">
        <v>101</v>
      </c>
    </row>
    <row r="359" spans="1:34">
      <c r="A359" t="s">
        <v>1191</v>
      </c>
      <c r="B359">
        <f>COUNTIF($A:$A,A359)</f>
        <v>1</v>
      </c>
      <c r="C359" t="str">
        <f t="shared" si="62"/>
        <v>Unique</v>
      </c>
      <c r="D359" s="4">
        <v>45678</v>
      </c>
      <c r="E359">
        <f t="shared" si="63"/>
        <v>8</v>
      </c>
      <c r="F359" s="4">
        <v>45686</v>
      </c>
      <c r="G359" t="s">
        <v>1192</v>
      </c>
      <c r="H359" t="s">
        <v>34</v>
      </c>
      <c r="I359" t="str">
        <f t="shared" si="64"/>
        <v>Mira Das</v>
      </c>
      <c r="J359" t="s">
        <v>93</v>
      </c>
      <c r="K359" t="str">
        <f t="shared" si="65"/>
        <v>Home Office</v>
      </c>
      <c r="L359" t="s">
        <v>52</v>
      </c>
      <c r="M359" t="str">
        <f t="shared" si="72"/>
        <v>South</v>
      </c>
      <c r="N359" t="s">
        <v>82</v>
      </c>
      <c r="O359" t="str">
        <f t="shared" si="66"/>
        <v>Andhra Pradesh</v>
      </c>
      <c r="P359" t="s">
        <v>83</v>
      </c>
      <c r="Q359" t="str">
        <f t="shared" si="67"/>
        <v>Vijayawada</v>
      </c>
      <c r="R359" t="s">
        <v>72</v>
      </c>
      <c r="S359" t="str">
        <f t="shared" si="68"/>
        <v>Technology</v>
      </c>
      <c r="T359" t="s">
        <v>273</v>
      </c>
      <c r="U359" t="str">
        <f t="shared" si="69"/>
        <v>Machines</v>
      </c>
      <c r="V359" t="s">
        <v>1193</v>
      </c>
      <c r="X359" t="s">
        <v>29</v>
      </c>
      <c r="Y359" t="str">
        <f t="shared" si="70"/>
        <v>Second Class</v>
      </c>
      <c r="Z359">
        <v>8</v>
      </c>
      <c r="AA359">
        <v>546.13</v>
      </c>
      <c r="AB359">
        <v>0</v>
      </c>
      <c r="AC359">
        <v>4369.04</v>
      </c>
      <c r="AD359">
        <v>3716.88</v>
      </c>
      <c r="AE359">
        <v>652.16</v>
      </c>
      <c r="AF359" t="s">
        <v>30</v>
      </c>
      <c r="AG359" t="str">
        <f t="shared" si="71"/>
        <v>Paid</v>
      </c>
      <c r="AH359" t="s">
        <v>66</v>
      </c>
    </row>
    <row r="360" spans="1:34">
      <c r="A360" t="s">
        <v>1194</v>
      </c>
      <c r="B360">
        <f>COUNTIF($A:$A,A360)</f>
        <v>1</v>
      </c>
      <c r="C360" t="str">
        <f t="shared" si="62"/>
        <v>Unique</v>
      </c>
      <c r="D360" s="4">
        <v>45878</v>
      </c>
      <c r="E360">
        <f t="shared" si="63"/>
        <v>-32</v>
      </c>
      <c r="F360" s="4">
        <v>45846</v>
      </c>
      <c r="G360" t="s">
        <v>1195</v>
      </c>
      <c r="H360" t="s">
        <v>69</v>
      </c>
      <c r="I360" t="str">
        <f t="shared" si="64"/>
        <v>Vikram Iyer</v>
      </c>
      <c r="J360" t="s">
        <v>93</v>
      </c>
      <c r="K360" t="str">
        <f t="shared" si="65"/>
        <v>Home Office</v>
      </c>
      <c r="L360" t="s">
        <v>61</v>
      </c>
      <c r="M360" t="str">
        <f t="shared" si="72"/>
        <v>West</v>
      </c>
      <c r="N360" t="s">
        <v>178</v>
      </c>
      <c r="O360" t="str">
        <f t="shared" si="66"/>
        <v>Gujarat</v>
      </c>
      <c r="P360" t="s">
        <v>179</v>
      </c>
      <c r="Q360" t="str">
        <f t="shared" si="67"/>
        <v>Ahmedabad</v>
      </c>
      <c r="R360" t="s">
        <v>39</v>
      </c>
      <c r="S360" t="str">
        <f t="shared" si="68"/>
        <v>Furniture</v>
      </c>
      <c r="T360" t="s">
        <v>156</v>
      </c>
      <c r="U360" t="str">
        <f t="shared" si="69"/>
        <v>Bookcases</v>
      </c>
      <c r="V360" t="s">
        <v>1196</v>
      </c>
      <c r="X360" t="s">
        <v>29</v>
      </c>
      <c r="Y360" t="str">
        <f t="shared" si="70"/>
        <v>Second Class</v>
      </c>
      <c r="Z360">
        <v>5</v>
      </c>
      <c r="AA360">
        <v>1253.92</v>
      </c>
      <c r="AB360">
        <v>0.05</v>
      </c>
      <c r="AC360">
        <v>5956.12</v>
      </c>
      <c r="AD360">
        <v>4379.18</v>
      </c>
      <c r="AE360">
        <v>1576.94</v>
      </c>
      <c r="AF360" t="s">
        <v>109</v>
      </c>
      <c r="AG360" t="str">
        <f t="shared" si="71"/>
        <v>Pending</v>
      </c>
      <c r="AH360" t="s">
        <v>101</v>
      </c>
    </row>
    <row r="361" spans="1:34">
      <c r="A361" t="s">
        <v>1197</v>
      </c>
      <c r="B361">
        <f>COUNTIF($A:$A,A361)</f>
        <v>1</v>
      </c>
      <c r="C361" t="str">
        <f t="shared" si="62"/>
        <v>Unique</v>
      </c>
      <c r="D361" s="4">
        <v>45525</v>
      </c>
      <c r="E361">
        <f t="shared" si="63"/>
        <v>1</v>
      </c>
      <c r="F361" s="4">
        <v>45526</v>
      </c>
      <c r="G361" t="s">
        <v>1198</v>
      </c>
      <c r="H361" t="s">
        <v>45</v>
      </c>
      <c r="I361" t="str">
        <f t="shared" si="64"/>
        <v>Isha Nair</v>
      </c>
      <c r="J361" t="s">
        <v>22</v>
      </c>
      <c r="K361" t="str">
        <f t="shared" si="65"/>
        <v>Consumer</v>
      </c>
      <c r="L361" t="s">
        <v>52</v>
      </c>
      <c r="M361" t="str">
        <f t="shared" si="72"/>
        <v>South</v>
      </c>
      <c r="N361" t="s">
        <v>246</v>
      </c>
      <c r="O361" t="str">
        <f t="shared" si="66"/>
        <v>Tamil Nadu</v>
      </c>
      <c r="P361" t="s">
        <v>247</v>
      </c>
      <c r="Q361" t="str">
        <f t="shared" si="67"/>
        <v>Chennai</v>
      </c>
      <c r="R361" t="s">
        <v>72</v>
      </c>
      <c r="S361" t="str">
        <f t="shared" si="68"/>
        <v>Technology</v>
      </c>
      <c r="T361" t="s">
        <v>169</v>
      </c>
      <c r="U361" t="str">
        <f t="shared" si="69"/>
        <v>Phones</v>
      </c>
      <c r="V361" t="s">
        <v>1199</v>
      </c>
      <c r="X361" t="s">
        <v>42</v>
      </c>
      <c r="Y361" t="str">
        <f t="shared" si="70"/>
        <v>Same Day</v>
      </c>
      <c r="Z361">
        <v>9</v>
      </c>
      <c r="AA361">
        <v>616.96</v>
      </c>
      <c r="AB361">
        <v>0.1</v>
      </c>
      <c r="AC361">
        <v>4997.38</v>
      </c>
      <c r="AD361">
        <v>2971.39</v>
      </c>
      <c r="AE361">
        <v>2025.99</v>
      </c>
      <c r="AF361" t="s">
        <v>30</v>
      </c>
      <c r="AG361" t="str">
        <f t="shared" si="71"/>
        <v>Paid</v>
      </c>
      <c r="AH361" t="s">
        <v>31</v>
      </c>
    </row>
    <row r="362" spans="1:34">
      <c r="A362" t="s">
        <v>1200</v>
      </c>
      <c r="B362">
        <f>COUNTIF($A:$A,A362)</f>
        <v>1</v>
      </c>
      <c r="C362" t="str">
        <f t="shared" si="62"/>
        <v>Unique</v>
      </c>
      <c r="D362" s="4">
        <v>45460</v>
      </c>
      <c r="E362">
        <f t="shared" si="63"/>
        <v>3</v>
      </c>
      <c r="F362" s="4">
        <v>45463</v>
      </c>
      <c r="G362" t="s">
        <v>1201</v>
      </c>
      <c r="H362" t="s">
        <v>130</v>
      </c>
      <c r="I362" t="str">
        <f t="shared" si="64"/>
        <v>Sneha Kapoor</v>
      </c>
      <c r="J362" t="s">
        <v>35</v>
      </c>
      <c r="K362" t="str">
        <f t="shared" si="65"/>
        <v>Small Business</v>
      </c>
      <c r="L362" t="s">
        <v>61</v>
      </c>
      <c r="M362" t="str">
        <f t="shared" si="72"/>
        <v>West</v>
      </c>
      <c r="N362" t="s">
        <v>178</v>
      </c>
      <c r="O362" t="str">
        <f t="shared" si="66"/>
        <v>Gujarat</v>
      </c>
      <c r="P362" t="s">
        <v>179</v>
      </c>
      <c r="Q362" t="str">
        <f t="shared" si="67"/>
        <v>Ahmedabad</v>
      </c>
      <c r="R362" t="s">
        <v>39</v>
      </c>
      <c r="S362" t="str">
        <f t="shared" si="68"/>
        <v>Furniture</v>
      </c>
      <c r="T362" t="s">
        <v>55</v>
      </c>
      <c r="U362" t="str">
        <f t="shared" si="69"/>
        <v>Furnishings</v>
      </c>
      <c r="V362" t="s">
        <v>1202</v>
      </c>
      <c r="X362" t="s">
        <v>57</v>
      </c>
      <c r="Y362" t="str">
        <f t="shared" si="70"/>
        <v>Standard Class</v>
      </c>
      <c r="Z362">
        <v>7</v>
      </c>
      <c r="AA362">
        <v>3155.25</v>
      </c>
      <c r="AB362">
        <v>0.2</v>
      </c>
      <c r="AC362">
        <v>17669.400000000001</v>
      </c>
      <c r="AD362">
        <v>13718.77</v>
      </c>
      <c r="AE362">
        <v>3950.63</v>
      </c>
      <c r="AF362" t="s">
        <v>100</v>
      </c>
      <c r="AG362" t="str">
        <f t="shared" si="71"/>
        <v>Refunded</v>
      </c>
      <c r="AH362" t="s">
        <v>66</v>
      </c>
    </row>
    <row r="363" spans="1:34">
      <c r="A363" t="s">
        <v>1203</v>
      </c>
      <c r="B363">
        <f>COUNTIF($A:$A,A363)</f>
        <v>1</v>
      </c>
      <c r="C363" t="str">
        <f t="shared" si="62"/>
        <v>Unique</v>
      </c>
      <c r="D363" s="4">
        <v>45661</v>
      </c>
      <c r="E363">
        <f t="shared" si="63"/>
        <v>31</v>
      </c>
      <c r="F363" s="4">
        <v>45692</v>
      </c>
      <c r="G363" t="s">
        <v>1204</v>
      </c>
      <c r="H363" t="s">
        <v>139</v>
      </c>
      <c r="I363" t="str">
        <f t="shared" si="64"/>
        <v>Rohan Mehta</v>
      </c>
      <c r="J363" t="s">
        <v>88</v>
      </c>
      <c r="K363" t="str">
        <f t="shared" si="65"/>
        <v>Corporate</v>
      </c>
      <c r="L363" t="s">
        <v>36</v>
      </c>
      <c r="M363" t="str">
        <f t="shared" si="72"/>
        <v>East</v>
      </c>
      <c r="N363" t="s">
        <v>37</v>
      </c>
      <c r="O363" t="str">
        <f t="shared" si="66"/>
        <v>Odisha</v>
      </c>
      <c r="P363" t="s">
        <v>38</v>
      </c>
      <c r="Q363" t="str">
        <f t="shared" si="67"/>
        <v>Bhubaneswar</v>
      </c>
      <c r="R363" t="s">
        <v>39</v>
      </c>
      <c r="S363" t="str">
        <f t="shared" si="68"/>
        <v>Furniture</v>
      </c>
      <c r="T363" t="s">
        <v>64</v>
      </c>
      <c r="U363" t="str">
        <f t="shared" si="69"/>
        <v>Chairs</v>
      </c>
      <c r="V363" t="s">
        <v>1205</v>
      </c>
      <c r="X363" t="s">
        <v>29</v>
      </c>
      <c r="Y363" t="str">
        <f t="shared" si="70"/>
        <v>Second Class</v>
      </c>
      <c r="Z363">
        <v>9</v>
      </c>
      <c r="AA363">
        <v>4165.58</v>
      </c>
      <c r="AB363">
        <v>0.05</v>
      </c>
      <c r="AC363">
        <v>35615.71</v>
      </c>
      <c r="AD363">
        <v>20389.71</v>
      </c>
      <c r="AE363">
        <v>15226</v>
      </c>
      <c r="AF363" t="s">
        <v>109</v>
      </c>
      <c r="AG363" t="str">
        <f t="shared" si="71"/>
        <v>Pending</v>
      </c>
      <c r="AH363" t="s">
        <v>101</v>
      </c>
    </row>
    <row r="364" spans="1:34">
      <c r="A364" t="s">
        <v>1206</v>
      </c>
      <c r="B364">
        <f>COUNTIF($A:$A,A364)</f>
        <v>1</v>
      </c>
      <c r="C364" t="str">
        <f t="shared" si="62"/>
        <v>Unique</v>
      </c>
      <c r="D364" s="4">
        <v>45527</v>
      </c>
      <c r="E364">
        <f t="shared" si="63"/>
        <v>2</v>
      </c>
      <c r="F364" s="4">
        <v>45529</v>
      </c>
      <c r="G364" t="s">
        <v>1207</v>
      </c>
      <c r="H364" t="s">
        <v>69</v>
      </c>
      <c r="I364" t="str">
        <f t="shared" si="64"/>
        <v>Vikram Iyer</v>
      </c>
      <c r="J364" t="s">
        <v>22</v>
      </c>
      <c r="K364" t="str">
        <f t="shared" si="65"/>
        <v>Consumer</v>
      </c>
      <c r="L364" t="s">
        <v>61</v>
      </c>
      <c r="M364" t="str">
        <f t="shared" si="72"/>
        <v>West</v>
      </c>
      <c r="N364" t="s">
        <v>188</v>
      </c>
      <c r="O364" t="str">
        <f t="shared" si="66"/>
        <v>Goa</v>
      </c>
      <c r="P364" t="s">
        <v>189</v>
      </c>
      <c r="Q364" t="str">
        <f t="shared" si="67"/>
        <v>Panaji</v>
      </c>
      <c r="R364" t="s">
        <v>72</v>
      </c>
      <c r="S364" t="str">
        <f t="shared" si="68"/>
        <v>Technology</v>
      </c>
      <c r="T364" t="s">
        <v>273</v>
      </c>
      <c r="U364" t="str">
        <f t="shared" si="69"/>
        <v>Machines</v>
      </c>
      <c r="V364" t="s">
        <v>1208</v>
      </c>
      <c r="X364" t="s">
        <v>42</v>
      </c>
      <c r="Y364" t="str">
        <f t="shared" si="70"/>
        <v>Same Day</v>
      </c>
      <c r="Z364">
        <v>4</v>
      </c>
      <c r="AA364">
        <v>491.16</v>
      </c>
      <c r="AB364">
        <v>0.05</v>
      </c>
      <c r="AC364">
        <v>1866.41</v>
      </c>
      <c r="AD364">
        <v>1576.49</v>
      </c>
      <c r="AE364">
        <v>289.92</v>
      </c>
      <c r="AF364" t="s">
        <v>30</v>
      </c>
      <c r="AG364" t="str">
        <f t="shared" si="71"/>
        <v>Paid</v>
      </c>
      <c r="AH364" t="s">
        <v>31</v>
      </c>
    </row>
    <row r="365" spans="1:34">
      <c r="A365" t="s">
        <v>1209</v>
      </c>
      <c r="B365">
        <f>COUNTIF($A:$A,A365)</f>
        <v>1</v>
      </c>
      <c r="C365" t="str">
        <f t="shared" si="62"/>
        <v>Unique</v>
      </c>
      <c r="D365" s="4">
        <v>45845</v>
      </c>
      <c r="E365">
        <f t="shared" si="63"/>
        <v>5</v>
      </c>
      <c r="F365" s="4">
        <v>45850</v>
      </c>
      <c r="G365" t="s">
        <v>1210</v>
      </c>
      <c r="H365" t="s">
        <v>160</v>
      </c>
      <c r="I365" t="str">
        <f t="shared" si="64"/>
        <v>Diya Patel</v>
      </c>
      <c r="J365" t="s">
        <v>88</v>
      </c>
      <c r="K365" t="str">
        <f t="shared" si="65"/>
        <v>Corporate</v>
      </c>
      <c r="L365" t="s">
        <v>36</v>
      </c>
      <c r="M365" t="str">
        <f t="shared" si="72"/>
        <v>East</v>
      </c>
      <c r="N365" t="s">
        <v>97</v>
      </c>
      <c r="O365" t="str">
        <f t="shared" si="66"/>
        <v>West Bengal</v>
      </c>
      <c r="P365" t="s">
        <v>98</v>
      </c>
      <c r="Q365" t="str">
        <f t="shared" si="67"/>
        <v>Kolkata</v>
      </c>
      <c r="R365" t="s">
        <v>39</v>
      </c>
      <c r="S365" t="str">
        <f t="shared" si="68"/>
        <v>Furniture</v>
      </c>
      <c r="T365" t="s">
        <v>40</v>
      </c>
      <c r="U365" t="str">
        <f t="shared" si="69"/>
        <v>Tables</v>
      </c>
      <c r="V365" t="s">
        <v>1211</v>
      </c>
      <c r="X365" t="s">
        <v>29</v>
      </c>
      <c r="Y365" t="str">
        <f t="shared" si="70"/>
        <v>Second Class</v>
      </c>
      <c r="Z365">
        <v>5</v>
      </c>
      <c r="AA365">
        <v>1831.37</v>
      </c>
      <c r="AB365">
        <v>0.25</v>
      </c>
      <c r="AC365">
        <v>6867.64</v>
      </c>
      <c r="AD365">
        <v>5205.3599999999997</v>
      </c>
      <c r="AE365">
        <v>1662.28</v>
      </c>
      <c r="AF365" t="s">
        <v>30</v>
      </c>
      <c r="AG365" t="str">
        <f t="shared" si="71"/>
        <v>Paid</v>
      </c>
      <c r="AH365" t="s">
        <v>31</v>
      </c>
    </row>
    <row r="366" spans="1:34">
      <c r="A366" t="s">
        <v>1212</v>
      </c>
      <c r="B366">
        <f>COUNTIF($A:$A,A366)</f>
        <v>1</v>
      </c>
      <c r="C366" t="str">
        <f t="shared" si="62"/>
        <v>Unique</v>
      </c>
      <c r="D366" s="4">
        <v>45737</v>
      </c>
      <c r="E366">
        <f t="shared" si="63"/>
        <v>3</v>
      </c>
      <c r="F366" s="4">
        <v>45740</v>
      </c>
      <c r="G366" t="s">
        <v>1213</v>
      </c>
      <c r="H366" t="s">
        <v>126</v>
      </c>
      <c r="I366" t="str">
        <f t="shared" si="64"/>
        <v>Aarav Sharma</v>
      </c>
      <c r="J366" t="s">
        <v>35</v>
      </c>
      <c r="K366" t="str">
        <f t="shared" si="65"/>
        <v>Small Business</v>
      </c>
      <c r="L366" t="s">
        <v>52</v>
      </c>
      <c r="M366" t="str">
        <f t="shared" si="72"/>
        <v>South</v>
      </c>
      <c r="N366" t="s">
        <v>82</v>
      </c>
      <c r="O366" t="str">
        <f t="shared" si="66"/>
        <v>Andhra Pradesh</v>
      </c>
      <c r="P366" t="s">
        <v>83</v>
      </c>
      <c r="Q366" t="str">
        <f t="shared" si="67"/>
        <v>Vijayawada</v>
      </c>
      <c r="R366" t="s">
        <v>39</v>
      </c>
      <c r="S366" t="str">
        <f t="shared" si="68"/>
        <v>Furniture</v>
      </c>
      <c r="T366" t="s">
        <v>64</v>
      </c>
      <c r="U366" t="str">
        <f t="shared" si="69"/>
        <v>Chairs</v>
      </c>
      <c r="V366" t="s">
        <v>1214</v>
      </c>
      <c r="X366" t="s">
        <v>29</v>
      </c>
      <c r="Y366" t="str">
        <f t="shared" si="70"/>
        <v>Second Class</v>
      </c>
      <c r="Z366">
        <v>5</v>
      </c>
      <c r="AA366">
        <v>1239.1500000000001</v>
      </c>
      <c r="AB366">
        <v>0</v>
      </c>
      <c r="AC366">
        <v>6195.75</v>
      </c>
      <c r="AD366">
        <v>3967.02</v>
      </c>
      <c r="AE366">
        <v>2228.73</v>
      </c>
      <c r="AF366" t="s">
        <v>30</v>
      </c>
      <c r="AG366" t="str">
        <f t="shared" si="71"/>
        <v>Paid</v>
      </c>
      <c r="AH366" t="s">
        <v>31</v>
      </c>
    </row>
    <row r="367" spans="1:34">
      <c r="A367" t="s">
        <v>1215</v>
      </c>
      <c r="B367">
        <f>COUNTIF($A:$A,A367)</f>
        <v>1</v>
      </c>
      <c r="C367" t="str">
        <f t="shared" si="62"/>
        <v>Unique</v>
      </c>
      <c r="D367" s="4">
        <v>45458</v>
      </c>
      <c r="E367">
        <f t="shared" si="63"/>
        <v>6</v>
      </c>
      <c r="F367" s="4">
        <v>45464</v>
      </c>
      <c r="G367" t="s">
        <v>1216</v>
      </c>
      <c r="H367" t="s">
        <v>87</v>
      </c>
      <c r="I367" t="str">
        <f t="shared" si="64"/>
        <v>Aditi Sen</v>
      </c>
      <c r="J367" t="s">
        <v>88</v>
      </c>
      <c r="K367" t="str">
        <f t="shared" si="65"/>
        <v>Corporate</v>
      </c>
      <c r="L367" t="s">
        <v>61</v>
      </c>
      <c r="M367" t="str">
        <f t="shared" si="72"/>
        <v>West</v>
      </c>
      <c r="N367" t="s">
        <v>188</v>
      </c>
      <c r="O367" t="str">
        <f t="shared" si="66"/>
        <v>Goa</v>
      </c>
      <c r="P367" t="s">
        <v>189</v>
      </c>
      <c r="Q367" t="str">
        <f t="shared" si="67"/>
        <v>Panaji</v>
      </c>
      <c r="R367" t="s">
        <v>72</v>
      </c>
      <c r="S367" t="str">
        <f t="shared" si="68"/>
        <v>Technology</v>
      </c>
      <c r="T367" t="s">
        <v>73</v>
      </c>
      <c r="U367" t="str">
        <f t="shared" si="69"/>
        <v>Accessories</v>
      </c>
      <c r="V367" t="s">
        <v>1217</v>
      </c>
      <c r="X367" t="s">
        <v>48</v>
      </c>
      <c r="Y367" t="str">
        <f t="shared" si="70"/>
        <v>First Class</v>
      </c>
      <c r="Z367">
        <v>8</v>
      </c>
      <c r="AA367">
        <v>1706.4</v>
      </c>
      <c r="AC367">
        <v>12968.64</v>
      </c>
      <c r="AD367">
        <v>10119.61</v>
      </c>
      <c r="AE367">
        <v>2849.03</v>
      </c>
      <c r="AF367" t="s">
        <v>30</v>
      </c>
      <c r="AG367" t="str">
        <f t="shared" si="71"/>
        <v>Paid</v>
      </c>
      <c r="AH367" t="s">
        <v>31</v>
      </c>
    </row>
    <row r="368" spans="1:34">
      <c r="A368" t="s">
        <v>1218</v>
      </c>
      <c r="B368">
        <f>COUNTIF($A:$A,A368)</f>
        <v>1</v>
      </c>
      <c r="C368" t="str">
        <f t="shared" si="62"/>
        <v>Unique</v>
      </c>
      <c r="D368" s="4">
        <v>45673</v>
      </c>
      <c r="E368">
        <f t="shared" si="63"/>
        <v>6</v>
      </c>
      <c r="F368" s="4">
        <v>45679</v>
      </c>
      <c r="G368" t="s">
        <v>1219</v>
      </c>
      <c r="H368" t="s">
        <v>130</v>
      </c>
      <c r="I368" t="str">
        <f t="shared" si="64"/>
        <v>Sneha Kapoor</v>
      </c>
      <c r="J368" t="s">
        <v>88</v>
      </c>
      <c r="K368" t="str">
        <f t="shared" si="65"/>
        <v>Corporate</v>
      </c>
      <c r="L368" t="s">
        <v>23</v>
      </c>
      <c r="M368" t="str">
        <f t="shared" ref="M368:M399" si="73">PROPER(TRIM(L368))</f>
        <v>North</v>
      </c>
      <c r="N368" t="s">
        <v>24</v>
      </c>
      <c r="O368" t="str">
        <f t="shared" si="66"/>
        <v>Rajasthan</v>
      </c>
      <c r="P368" t="s">
        <v>25</v>
      </c>
      <c r="Q368" t="str">
        <f t="shared" si="67"/>
        <v>Jaipur</v>
      </c>
      <c r="R368" t="s">
        <v>39</v>
      </c>
      <c r="S368" t="str">
        <f t="shared" si="68"/>
        <v>Furniture</v>
      </c>
      <c r="T368" t="s">
        <v>40</v>
      </c>
      <c r="U368" t="str">
        <f t="shared" si="69"/>
        <v>Tables</v>
      </c>
      <c r="V368" t="s">
        <v>1220</v>
      </c>
      <c r="X368" t="s">
        <v>42</v>
      </c>
      <c r="Y368" t="str">
        <f t="shared" si="70"/>
        <v>Same Day</v>
      </c>
      <c r="Z368">
        <v>2</v>
      </c>
      <c r="AA368">
        <v>4418.28</v>
      </c>
      <c r="AB368">
        <v>0</v>
      </c>
      <c r="AC368">
        <v>8836.56</v>
      </c>
      <c r="AD368">
        <v>5867.75</v>
      </c>
      <c r="AE368">
        <v>2968.81</v>
      </c>
      <c r="AF368" t="s">
        <v>30</v>
      </c>
      <c r="AG368" t="str">
        <f t="shared" si="71"/>
        <v>Paid</v>
      </c>
      <c r="AH368" t="s">
        <v>31</v>
      </c>
    </row>
    <row r="369" spans="1:34">
      <c r="A369" t="s">
        <v>1221</v>
      </c>
      <c r="B369">
        <f>COUNTIF($A:$A,A369)</f>
        <v>1</v>
      </c>
      <c r="C369" t="str">
        <f t="shared" si="62"/>
        <v>Unique</v>
      </c>
      <c r="D369" s="4">
        <v>45366</v>
      </c>
      <c r="E369">
        <f t="shared" si="63"/>
        <v>1</v>
      </c>
      <c r="F369" s="4">
        <v>45367</v>
      </c>
      <c r="G369" t="s">
        <v>1222</v>
      </c>
      <c r="H369" t="s">
        <v>139</v>
      </c>
      <c r="I369" t="str">
        <f t="shared" si="64"/>
        <v>Rohan Mehta</v>
      </c>
      <c r="J369" t="s">
        <v>22</v>
      </c>
      <c r="K369" t="str">
        <f t="shared" si="65"/>
        <v>Consumer</v>
      </c>
      <c r="L369" t="s">
        <v>23</v>
      </c>
      <c r="M369" t="str">
        <f t="shared" si="73"/>
        <v>North</v>
      </c>
      <c r="N369" t="s">
        <v>349</v>
      </c>
      <c r="O369" t="str">
        <f t="shared" si="66"/>
        <v>Delhi</v>
      </c>
      <c r="P369" t="s">
        <v>350</v>
      </c>
      <c r="Q369" t="str">
        <f t="shared" si="67"/>
        <v>New Delhi</v>
      </c>
      <c r="R369" t="s">
        <v>26</v>
      </c>
      <c r="S369" t="str">
        <f t="shared" si="68"/>
        <v>Office Supplies</v>
      </c>
      <c r="T369" t="s">
        <v>46</v>
      </c>
      <c r="U369" t="str">
        <f t="shared" si="69"/>
        <v>Art</v>
      </c>
      <c r="V369" t="s">
        <v>1223</v>
      </c>
      <c r="X369" t="s">
        <v>57</v>
      </c>
      <c r="Y369" t="str">
        <f t="shared" si="70"/>
        <v>Standard Class</v>
      </c>
      <c r="Z369">
        <v>6</v>
      </c>
      <c r="AA369">
        <v>3815.09</v>
      </c>
      <c r="AB369">
        <v>0.15</v>
      </c>
      <c r="AC369">
        <v>19456.96</v>
      </c>
      <c r="AD369">
        <v>14520.06</v>
      </c>
      <c r="AE369">
        <v>4936.8999999999996</v>
      </c>
      <c r="AF369" t="s">
        <v>153</v>
      </c>
      <c r="AG369" t="str">
        <f t="shared" si="71"/>
        <v>Failed</v>
      </c>
      <c r="AH369" t="s">
        <v>66</v>
      </c>
    </row>
    <row r="370" spans="1:34">
      <c r="A370" t="s">
        <v>1224</v>
      </c>
      <c r="B370">
        <f>COUNTIF($A:$A,A370)</f>
        <v>1</v>
      </c>
      <c r="C370" t="str">
        <f t="shared" si="62"/>
        <v>Unique</v>
      </c>
      <c r="D370" s="4">
        <v>45815</v>
      </c>
      <c r="E370">
        <f t="shared" si="63"/>
        <v>0</v>
      </c>
      <c r="F370" s="4">
        <v>45815</v>
      </c>
      <c r="G370" t="s">
        <v>1225</v>
      </c>
      <c r="H370" t="s">
        <v>126</v>
      </c>
      <c r="I370" t="str">
        <f t="shared" si="64"/>
        <v>Aarav Sharma</v>
      </c>
      <c r="J370" t="s">
        <v>93</v>
      </c>
      <c r="K370" t="str">
        <f t="shared" si="65"/>
        <v>Home Office</v>
      </c>
      <c r="L370" t="s">
        <v>23</v>
      </c>
      <c r="M370" t="str">
        <f t="shared" si="73"/>
        <v>North</v>
      </c>
      <c r="N370" t="s">
        <v>24</v>
      </c>
      <c r="O370" t="str">
        <f t="shared" si="66"/>
        <v>Rajasthan</v>
      </c>
      <c r="P370" t="s">
        <v>25</v>
      </c>
      <c r="Q370" t="str">
        <f t="shared" si="67"/>
        <v>Jaipur</v>
      </c>
      <c r="R370" t="s">
        <v>72</v>
      </c>
      <c r="S370" t="str">
        <f t="shared" si="68"/>
        <v>Technology</v>
      </c>
      <c r="T370" t="s">
        <v>73</v>
      </c>
      <c r="U370" t="str">
        <f t="shared" si="69"/>
        <v>Accessories</v>
      </c>
      <c r="V370" t="s">
        <v>1226</v>
      </c>
      <c r="X370" t="s">
        <v>42</v>
      </c>
      <c r="Y370" t="str">
        <f t="shared" si="70"/>
        <v>Same Day</v>
      </c>
      <c r="Z370">
        <v>9</v>
      </c>
      <c r="AA370">
        <v>243.19</v>
      </c>
      <c r="AB370">
        <v>0.05</v>
      </c>
      <c r="AC370">
        <v>2079.27</v>
      </c>
      <c r="AD370">
        <v>1512.17</v>
      </c>
      <c r="AE370">
        <v>567.1</v>
      </c>
      <c r="AF370" t="s">
        <v>100</v>
      </c>
      <c r="AG370" t="str">
        <f t="shared" si="71"/>
        <v>Refunded</v>
      </c>
      <c r="AH370" t="s">
        <v>101</v>
      </c>
    </row>
    <row r="371" spans="1:34">
      <c r="A371" t="s">
        <v>1227</v>
      </c>
      <c r="B371">
        <f>COUNTIF($A:$A,A371)</f>
        <v>1</v>
      </c>
      <c r="C371" t="str">
        <f t="shared" si="62"/>
        <v>Unique</v>
      </c>
      <c r="D371" s="4">
        <v>45680</v>
      </c>
      <c r="E371">
        <f t="shared" si="63"/>
        <v>7</v>
      </c>
      <c r="F371" s="4">
        <v>45687</v>
      </c>
      <c r="G371" t="s">
        <v>1228</v>
      </c>
      <c r="H371" t="s">
        <v>112</v>
      </c>
      <c r="I371" t="str">
        <f t="shared" si="64"/>
        <v>Priya Menon</v>
      </c>
      <c r="J371" t="s">
        <v>22</v>
      </c>
      <c r="K371" t="str">
        <f t="shared" si="65"/>
        <v>Consumer</v>
      </c>
      <c r="L371" t="s">
        <v>23</v>
      </c>
      <c r="M371" t="str">
        <f t="shared" si="73"/>
        <v>North</v>
      </c>
      <c r="N371" t="s">
        <v>349</v>
      </c>
      <c r="O371" t="str">
        <f t="shared" si="66"/>
        <v>Delhi</v>
      </c>
      <c r="P371" t="s">
        <v>350</v>
      </c>
      <c r="Q371" t="str">
        <f t="shared" si="67"/>
        <v>New Delhi</v>
      </c>
      <c r="R371" t="s">
        <v>26</v>
      </c>
      <c r="S371" t="str">
        <f t="shared" si="68"/>
        <v>Office Supplies</v>
      </c>
      <c r="T371" t="s">
        <v>89</v>
      </c>
      <c r="U371" t="str">
        <f t="shared" si="69"/>
        <v>Labels</v>
      </c>
      <c r="V371" t="s">
        <v>1229</v>
      </c>
      <c r="X371" t="s">
        <v>57</v>
      </c>
      <c r="Y371" t="str">
        <f t="shared" si="70"/>
        <v>Standard Class</v>
      </c>
      <c r="Z371">
        <v>9</v>
      </c>
      <c r="AA371">
        <v>1169.3699999999999</v>
      </c>
      <c r="AB371">
        <v>0.15</v>
      </c>
      <c r="AC371">
        <v>8945.68</v>
      </c>
      <c r="AD371">
        <v>6740.35</v>
      </c>
      <c r="AE371">
        <v>2205.33</v>
      </c>
      <c r="AF371" t="s">
        <v>30</v>
      </c>
      <c r="AG371" t="str">
        <f t="shared" si="71"/>
        <v>Paid</v>
      </c>
      <c r="AH371" t="s">
        <v>31</v>
      </c>
    </row>
    <row r="372" spans="1:34">
      <c r="A372" t="s">
        <v>1230</v>
      </c>
      <c r="B372">
        <f>COUNTIF($A:$A,A372)</f>
        <v>1</v>
      </c>
      <c r="C372" t="str">
        <f t="shared" si="62"/>
        <v>Unique</v>
      </c>
      <c r="D372" s="4">
        <v>45519</v>
      </c>
      <c r="E372">
        <f t="shared" si="63"/>
        <v>6</v>
      </c>
      <c r="F372" s="4">
        <v>45525</v>
      </c>
      <c r="G372" t="s">
        <v>1231</v>
      </c>
      <c r="H372" t="s">
        <v>60</v>
      </c>
      <c r="I372" t="str">
        <f t="shared" si="64"/>
        <v>Ananya Rao</v>
      </c>
      <c r="J372" t="s">
        <v>35</v>
      </c>
      <c r="K372" t="str">
        <f t="shared" si="65"/>
        <v>Small Business</v>
      </c>
      <c r="L372" t="s">
        <v>61</v>
      </c>
      <c r="M372" t="str">
        <f t="shared" si="73"/>
        <v>West</v>
      </c>
      <c r="N372" t="s">
        <v>24</v>
      </c>
      <c r="O372" t="str">
        <f t="shared" si="66"/>
        <v>Rajasthan</v>
      </c>
      <c r="P372" t="s">
        <v>107</v>
      </c>
      <c r="Q372" t="str">
        <f t="shared" si="67"/>
        <v>Udaipur</v>
      </c>
      <c r="R372" t="s">
        <v>72</v>
      </c>
      <c r="S372" t="str">
        <f t="shared" si="68"/>
        <v>Technology</v>
      </c>
      <c r="T372" t="s">
        <v>78</v>
      </c>
      <c r="U372" t="str">
        <f t="shared" si="69"/>
        <v>Copiers</v>
      </c>
      <c r="V372" t="s">
        <v>1232</v>
      </c>
      <c r="X372" t="s">
        <v>48</v>
      </c>
      <c r="Y372" t="str">
        <f t="shared" si="70"/>
        <v>First Class</v>
      </c>
      <c r="Z372">
        <v>7</v>
      </c>
      <c r="AA372">
        <v>2333.81</v>
      </c>
      <c r="AB372">
        <v>0.2</v>
      </c>
      <c r="AC372">
        <v>13069.34</v>
      </c>
      <c r="AD372">
        <v>8768.59</v>
      </c>
      <c r="AE372">
        <v>4300.75</v>
      </c>
      <c r="AF372" t="s">
        <v>30</v>
      </c>
      <c r="AG372" t="str">
        <f t="shared" si="71"/>
        <v>Paid</v>
      </c>
      <c r="AH372" t="s">
        <v>31</v>
      </c>
    </row>
    <row r="373" spans="1:34">
      <c r="A373" t="s">
        <v>1233</v>
      </c>
      <c r="B373">
        <f>COUNTIF($A:$A,A373)</f>
        <v>1</v>
      </c>
      <c r="C373" t="str">
        <f t="shared" si="62"/>
        <v>Unique</v>
      </c>
      <c r="D373" s="4">
        <v>45313</v>
      </c>
      <c r="E373">
        <f t="shared" si="63"/>
        <v>2</v>
      </c>
      <c r="F373" s="4">
        <v>45315</v>
      </c>
      <c r="G373" t="s">
        <v>1234</v>
      </c>
      <c r="H373" t="s">
        <v>160</v>
      </c>
      <c r="I373" t="str">
        <f t="shared" si="64"/>
        <v>Diya Patel</v>
      </c>
      <c r="J373" t="s">
        <v>93</v>
      </c>
      <c r="K373" t="str">
        <f t="shared" si="65"/>
        <v>Home Office</v>
      </c>
      <c r="L373" t="s">
        <v>61</v>
      </c>
      <c r="M373" t="str">
        <f t="shared" si="73"/>
        <v>West</v>
      </c>
      <c r="N373" t="s">
        <v>62</v>
      </c>
      <c r="O373" t="str">
        <f t="shared" si="66"/>
        <v>Maharashtra</v>
      </c>
      <c r="P373" t="s">
        <v>63</v>
      </c>
      <c r="Q373" t="str">
        <f t="shared" si="67"/>
        <v>Mumbai</v>
      </c>
      <c r="R373" t="s">
        <v>26</v>
      </c>
      <c r="S373" t="str">
        <f t="shared" si="68"/>
        <v>Office Supplies</v>
      </c>
      <c r="T373" t="s">
        <v>46</v>
      </c>
      <c r="U373" t="str">
        <f t="shared" si="69"/>
        <v>Art</v>
      </c>
      <c r="V373" t="s">
        <v>1235</v>
      </c>
      <c r="X373" t="s">
        <v>57</v>
      </c>
      <c r="Y373" t="str">
        <f t="shared" si="70"/>
        <v>Standard Class</v>
      </c>
      <c r="Z373">
        <v>6</v>
      </c>
      <c r="AA373">
        <v>1026.06</v>
      </c>
      <c r="AC373">
        <v>4617.2700000000004</v>
      </c>
      <c r="AD373">
        <v>2981.94</v>
      </c>
      <c r="AE373">
        <v>1635.33</v>
      </c>
      <c r="AF373" t="s">
        <v>100</v>
      </c>
      <c r="AG373" t="str">
        <f t="shared" si="71"/>
        <v>Refunded</v>
      </c>
      <c r="AH373" t="s">
        <v>66</v>
      </c>
    </row>
    <row r="374" spans="1:34">
      <c r="A374" t="s">
        <v>1236</v>
      </c>
      <c r="B374">
        <f>COUNTIF($A:$A,A374)</f>
        <v>1</v>
      </c>
      <c r="C374" t="str">
        <f t="shared" si="62"/>
        <v>Unique</v>
      </c>
      <c r="D374" s="4">
        <v>45885</v>
      </c>
      <c r="E374">
        <f t="shared" si="63"/>
        <v>2</v>
      </c>
      <c r="F374" s="4">
        <v>45887</v>
      </c>
      <c r="G374" t="s">
        <v>648</v>
      </c>
      <c r="H374" t="s">
        <v>263</v>
      </c>
      <c r="I374" t="str">
        <f t="shared" si="64"/>
        <v>Kabir Singh</v>
      </c>
      <c r="J374" t="s">
        <v>22</v>
      </c>
      <c r="K374" t="str">
        <f t="shared" si="65"/>
        <v>Consumer</v>
      </c>
      <c r="L374" t="s">
        <v>36</v>
      </c>
      <c r="M374" t="str">
        <f t="shared" si="73"/>
        <v>East</v>
      </c>
      <c r="N374" t="s">
        <v>227</v>
      </c>
      <c r="O374" t="str">
        <f t="shared" si="66"/>
        <v>Jharkhand</v>
      </c>
      <c r="P374" t="s">
        <v>228</v>
      </c>
      <c r="Q374" t="str">
        <f t="shared" si="67"/>
        <v>Ranchi</v>
      </c>
      <c r="R374" t="s">
        <v>39</v>
      </c>
      <c r="S374" t="str">
        <f t="shared" si="68"/>
        <v>Furniture</v>
      </c>
      <c r="T374" t="s">
        <v>64</v>
      </c>
      <c r="U374" t="str">
        <f t="shared" si="69"/>
        <v>Chairs</v>
      </c>
      <c r="V374" t="s">
        <v>1237</v>
      </c>
      <c r="X374" t="s">
        <v>42</v>
      </c>
      <c r="Y374" t="str">
        <f t="shared" si="70"/>
        <v>Same Day</v>
      </c>
      <c r="Z374">
        <v>5</v>
      </c>
      <c r="AA374">
        <v>1530.36</v>
      </c>
      <c r="AB374">
        <v>0</v>
      </c>
      <c r="AC374">
        <v>7651.8</v>
      </c>
      <c r="AD374">
        <v>5171.78</v>
      </c>
      <c r="AE374">
        <v>2480.02</v>
      </c>
      <c r="AF374" t="s">
        <v>30</v>
      </c>
      <c r="AG374" t="str">
        <f t="shared" si="71"/>
        <v>Paid</v>
      </c>
      <c r="AH374" t="s">
        <v>31</v>
      </c>
    </row>
    <row r="375" spans="1:34">
      <c r="A375" t="s">
        <v>1238</v>
      </c>
      <c r="B375">
        <f>COUNTIF($A:$A,A375)</f>
        <v>1</v>
      </c>
      <c r="C375" t="str">
        <f t="shared" si="62"/>
        <v>Unique</v>
      </c>
      <c r="D375" s="4">
        <v>45760</v>
      </c>
      <c r="E375">
        <f t="shared" si="63"/>
        <v>0</v>
      </c>
      <c r="F375" s="4">
        <v>45760</v>
      </c>
      <c r="G375" t="s">
        <v>1239</v>
      </c>
      <c r="H375" t="s">
        <v>130</v>
      </c>
      <c r="I375" t="str">
        <f t="shared" si="64"/>
        <v>Sneha Kapoor</v>
      </c>
      <c r="J375" t="s">
        <v>35</v>
      </c>
      <c r="K375" t="str">
        <f t="shared" si="65"/>
        <v>Small Business</v>
      </c>
      <c r="L375" t="s">
        <v>23</v>
      </c>
      <c r="M375" t="str">
        <f t="shared" si="73"/>
        <v>North</v>
      </c>
      <c r="N375" t="s">
        <v>134</v>
      </c>
      <c r="O375" t="str">
        <f t="shared" si="66"/>
        <v>Uttar Pradesh</v>
      </c>
      <c r="P375" t="s">
        <v>135</v>
      </c>
      <c r="Q375" t="str">
        <f t="shared" si="67"/>
        <v>Noida</v>
      </c>
      <c r="R375" t="s">
        <v>26</v>
      </c>
      <c r="S375" t="str">
        <f t="shared" si="68"/>
        <v>Office Supplies</v>
      </c>
      <c r="T375" t="s">
        <v>122</v>
      </c>
      <c r="U375" t="str">
        <f t="shared" si="69"/>
        <v>Storage</v>
      </c>
      <c r="V375" t="s">
        <v>1240</v>
      </c>
      <c r="X375" t="s">
        <v>29</v>
      </c>
      <c r="Y375" t="str">
        <f t="shared" si="70"/>
        <v>Second Class</v>
      </c>
      <c r="Z375">
        <v>9</v>
      </c>
      <c r="AA375">
        <v>1118.68</v>
      </c>
      <c r="AB375">
        <v>0</v>
      </c>
      <c r="AC375">
        <v>10068.120000000001</v>
      </c>
      <c r="AD375">
        <v>8595.3700000000008</v>
      </c>
      <c r="AE375">
        <v>1472.75</v>
      </c>
      <c r="AF375" t="s">
        <v>30</v>
      </c>
      <c r="AG375" t="str">
        <f t="shared" si="71"/>
        <v>Paid</v>
      </c>
      <c r="AH375" t="s">
        <v>31</v>
      </c>
    </row>
    <row r="376" spans="1:34">
      <c r="A376" t="s">
        <v>1241</v>
      </c>
      <c r="B376">
        <f>COUNTIF($A:$A,A376)</f>
        <v>1</v>
      </c>
      <c r="C376" t="str">
        <f t="shared" si="62"/>
        <v>Unique</v>
      </c>
      <c r="D376" s="4">
        <v>45715</v>
      </c>
      <c r="E376">
        <f t="shared" si="63"/>
        <v>1</v>
      </c>
      <c r="F376" s="4">
        <v>45716</v>
      </c>
      <c r="G376" t="s">
        <v>1242</v>
      </c>
      <c r="H376" t="s">
        <v>87</v>
      </c>
      <c r="I376" t="str">
        <f t="shared" si="64"/>
        <v>Aditi Sen</v>
      </c>
      <c r="J376" t="s">
        <v>35</v>
      </c>
      <c r="K376" t="str">
        <f t="shared" si="65"/>
        <v>Small Business</v>
      </c>
      <c r="L376" t="s">
        <v>23</v>
      </c>
      <c r="M376" t="str">
        <f t="shared" si="73"/>
        <v>North</v>
      </c>
      <c r="N376" t="s">
        <v>134</v>
      </c>
      <c r="O376" t="str">
        <f t="shared" si="66"/>
        <v>Uttar Pradesh</v>
      </c>
      <c r="P376" t="s">
        <v>135</v>
      </c>
      <c r="Q376" t="str">
        <f t="shared" si="67"/>
        <v>Noida</v>
      </c>
      <c r="R376" t="s">
        <v>26</v>
      </c>
      <c r="S376" t="str">
        <f t="shared" si="68"/>
        <v>Office Supplies</v>
      </c>
      <c r="T376" t="s">
        <v>89</v>
      </c>
      <c r="U376" t="str">
        <f t="shared" si="69"/>
        <v>Labels</v>
      </c>
      <c r="V376" t="s">
        <v>1243</v>
      </c>
      <c r="X376" t="s">
        <v>57</v>
      </c>
      <c r="Y376" t="str">
        <f t="shared" si="70"/>
        <v>Standard Class</v>
      </c>
      <c r="Z376">
        <v>6</v>
      </c>
      <c r="AA376">
        <v>2393.25</v>
      </c>
      <c r="AB376">
        <v>0</v>
      </c>
      <c r="AC376">
        <v>14359.5</v>
      </c>
      <c r="AD376">
        <v>8117.71</v>
      </c>
      <c r="AE376">
        <v>6241.79</v>
      </c>
      <c r="AF376" t="s">
        <v>30</v>
      </c>
      <c r="AG376" t="str">
        <f t="shared" si="71"/>
        <v>Paid</v>
      </c>
      <c r="AH376" t="s">
        <v>31</v>
      </c>
    </row>
    <row r="377" spans="1:34">
      <c r="A377" t="s">
        <v>1244</v>
      </c>
      <c r="B377">
        <f>COUNTIF($A:$A,A377)</f>
        <v>1</v>
      </c>
      <c r="C377" t="str">
        <f t="shared" si="62"/>
        <v>Unique</v>
      </c>
      <c r="D377" s="4">
        <v>45657</v>
      </c>
      <c r="E377">
        <f t="shared" si="63"/>
        <v>91</v>
      </c>
      <c r="F377" s="4">
        <v>45748</v>
      </c>
      <c r="G377" t="s">
        <v>1245</v>
      </c>
      <c r="H377" t="s">
        <v>69</v>
      </c>
      <c r="I377" t="str">
        <f t="shared" si="64"/>
        <v>Vikram Iyer</v>
      </c>
      <c r="J377" t="s">
        <v>22</v>
      </c>
      <c r="K377" t="str">
        <f t="shared" si="65"/>
        <v>Consumer</v>
      </c>
      <c r="L377" t="s">
        <v>23</v>
      </c>
      <c r="M377" t="str">
        <f t="shared" si="73"/>
        <v>North</v>
      </c>
      <c r="N377" t="s">
        <v>349</v>
      </c>
      <c r="O377" t="str">
        <f t="shared" si="66"/>
        <v>Delhi</v>
      </c>
      <c r="P377" t="s">
        <v>350</v>
      </c>
      <c r="Q377" t="str">
        <f t="shared" si="67"/>
        <v>New Delhi</v>
      </c>
      <c r="R377" t="s">
        <v>39</v>
      </c>
      <c r="S377" t="str">
        <f t="shared" si="68"/>
        <v>Furniture</v>
      </c>
      <c r="T377" t="s">
        <v>64</v>
      </c>
      <c r="U377" t="str">
        <f t="shared" si="69"/>
        <v>Chairs</v>
      </c>
      <c r="V377" t="s">
        <v>1246</v>
      </c>
      <c r="X377" t="s">
        <v>42</v>
      </c>
      <c r="Y377" t="str">
        <f t="shared" si="70"/>
        <v>Same Day</v>
      </c>
      <c r="Z377">
        <v>3</v>
      </c>
      <c r="AA377">
        <v>1166.6099999999999</v>
      </c>
      <c r="AB377">
        <v>0.25</v>
      </c>
      <c r="AC377">
        <v>2624.87</v>
      </c>
      <c r="AD377">
        <v>2253.88</v>
      </c>
      <c r="AE377">
        <v>370.99</v>
      </c>
      <c r="AF377" t="s">
        <v>30</v>
      </c>
      <c r="AG377" t="str">
        <f t="shared" si="71"/>
        <v>Paid</v>
      </c>
      <c r="AH377" t="s">
        <v>31</v>
      </c>
    </row>
    <row r="378" spans="1:34">
      <c r="A378" t="s">
        <v>1247</v>
      </c>
      <c r="B378">
        <f>COUNTIF($A:$A,A378)</f>
        <v>1</v>
      </c>
      <c r="C378" t="str">
        <f t="shared" si="62"/>
        <v>Unique</v>
      </c>
      <c r="D378" s="4">
        <v>45655</v>
      </c>
      <c r="E378">
        <f t="shared" si="63"/>
        <v>2</v>
      </c>
      <c r="F378" s="4">
        <v>45657</v>
      </c>
      <c r="G378" t="s">
        <v>1248</v>
      </c>
      <c r="H378" t="s">
        <v>45</v>
      </c>
      <c r="I378" t="str">
        <f t="shared" si="64"/>
        <v>Isha Nair</v>
      </c>
      <c r="J378" t="s">
        <v>35</v>
      </c>
      <c r="K378" t="str">
        <f t="shared" si="65"/>
        <v>Small Business</v>
      </c>
      <c r="L378" t="s">
        <v>36</v>
      </c>
      <c r="M378" t="str">
        <f t="shared" si="73"/>
        <v>East</v>
      </c>
      <c r="N378" t="s">
        <v>143</v>
      </c>
      <c r="O378" t="str">
        <f t="shared" si="66"/>
        <v>Bihar</v>
      </c>
      <c r="P378" t="s">
        <v>144</v>
      </c>
      <c r="Q378" t="str">
        <f t="shared" si="67"/>
        <v>Patna</v>
      </c>
      <c r="R378" t="s">
        <v>39</v>
      </c>
      <c r="S378" t="str">
        <f t="shared" si="68"/>
        <v>Furniture</v>
      </c>
      <c r="T378" t="s">
        <v>64</v>
      </c>
      <c r="U378" t="str">
        <f t="shared" si="69"/>
        <v>Chairs</v>
      </c>
      <c r="V378" t="s">
        <v>1249</v>
      </c>
      <c r="X378" t="s">
        <v>48</v>
      </c>
      <c r="Y378" t="str">
        <f t="shared" si="70"/>
        <v>First Class</v>
      </c>
      <c r="Z378">
        <v>6</v>
      </c>
      <c r="AA378">
        <v>1844.78</v>
      </c>
      <c r="AB378">
        <v>0.2</v>
      </c>
      <c r="AC378">
        <v>8854.94</v>
      </c>
      <c r="AD378">
        <v>7433.95</v>
      </c>
      <c r="AE378">
        <v>1420.99</v>
      </c>
      <c r="AF378" t="s">
        <v>30</v>
      </c>
      <c r="AG378" t="str">
        <f t="shared" si="71"/>
        <v>Paid</v>
      </c>
      <c r="AH378" t="s">
        <v>31</v>
      </c>
    </row>
    <row r="379" spans="1:34">
      <c r="A379" t="s">
        <v>1250</v>
      </c>
      <c r="B379">
        <f>COUNTIF($A:$A,A379)</f>
        <v>1</v>
      </c>
      <c r="C379" t="str">
        <f t="shared" si="62"/>
        <v>Unique</v>
      </c>
      <c r="D379" s="4">
        <v>45801</v>
      </c>
      <c r="E379">
        <f t="shared" si="63"/>
        <v>6</v>
      </c>
      <c r="F379" s="4">
        <v>45807</v>
      </c>
      <c r="G379" t="s">
        <v>1251</v>
      </c>
      <c r="H379" t="s">
        <v>263</v>
      </c>
      <c r="I379" t="str">
        <f t="shared" si="64"/>
        <v>Kabir Singh</v>
      </c>
      <c r="J379" t="s">
        <v>35</v>
      </c>
      <c r="K379" t="str">
        <f t="shared" si="65"/>
        <v>Small Business</v>
      </c>
      <c r="L379" t="s">
        <v>36</v>
      </c>
      <c r="M379" t="str">
        <f t="shared" si="73"/>
        <v>East</v>
      </c>
      <c r="N379" t="s">
        <v>37</v>
      </c>
      <c r="O379" t="str">
        <f t="shared" si="66"/>
        <v>Odisha</v>
      </c>
      <c r="P379" t="s">
        <v>38</v>
      </c>
      <c r="Q379" t="str">
        <f t="shared" si="67"/>
        <v>Bhubaneswar</v>
      </c>
      <c r="R379" t="s">
        <v>26</v>
      </c>
      <c r="S379" t="str">
        <f t="shared" si="68"/>
        <v>Office Supplies</v>
      </c>
      <c r="T379" t="s">
        <v>1252</v>
      </c>
      <c r="U379" t="str">
        <f t="shared" si="69"/>
        <v>Storage</v>
      </c>
      <c r="V379" t="s">
        <v>1253</v>
      </c>
      <c r="X379" t="s">
        <v>42</v>
      </c>
      <c r="Y379" t="str">
        <f t="shared" si="70"/>
        <v>Same Day</v>
      </c>
      <c r="Z379">
        <v>1</v>
      </c>
      <c r="AA379">
        <v>2564.7399999999998</v>
      </c>
      <c r="AB379">
        <v>0</v>
      </c>
      <c r="AC379">
        <v>2564.7399999999998</v>
      </c>
      <c r="AD379">
        <v>1754.58</v>
      </c>
      <c r="AE379">
        <v>810.16</v>
      </c>
      <c r="AF379" t="s">
        <v>30</v>
      </c>
      <c r="AG379" t="str">
        <f t="shared" si="71"/>
        <v>Paid</v>
      </c>
      <c r="AH379" t="s">
        <v>31</v>
      </c>
    </row>
    <row r="380" spans="1:34">
      <c r="A380" t="s">
        <v>1254</v>
      </c>
      <c r="B380">
        <f>COUNTIF($A:$A,A380)</f>
        <v>1</v>
      </c>
      <c r="C380" t="str">
        <f t="shared" si="62"/>
        <v>Unique</v>
      </c>
      <c r="D380" s="4">
        <v>45799</v>
      </c>
      <c r="E380">
        <f t="shared" si="63"/>
        <v>0</v>
      </c>
      <c r="F380" s="4">
        <v>45799</v>
      </c>
      <c r="G380" t="s">
        <v>1255</v>
      </c>
      <c r="H380" t="s">
        <v>34</v>
      </c>
      <c r="I380" t="str">
        <f t="shared" si="64"/>
        <v>Mira Das</v>
      </c>
      <c r="J380" t="s">
        <v>22</v>
      </c>
      <c r="K380" t="str">
        <f t="shared" si="65"/>
        <v>Consumer</v>
      </c>
      <c r="L380" t="s">
        <v>61</v>
      </c>
      <c r="M380" t="str">
        <f t="shared" si="73"/>
        <v>West</v>
      </c>
      <c r="N380" t="s">
        <v>188</v>
      </c>
      <c r="O380" t="str">
        <f t="shared" si="66"/>
        <v>Goa</v>
      </c>
      <c r="P380" t="s">
        <v>189</v>
      </c>
      <c r="Q380" t="str">
        <f t="shared" si="67"/>
        <v>Panaji</v>
      </c>
      <c r="R380" t="s">
        <v>72</v>
      </c>
      <c r="S380" t="str">
        <f t="shared" si="68"/>
        <v>Technology</v>
      </c>
      <c r="T380" t="s">
        <v>73</v>
      </c>
      <c r="U380" t="str">
        <f t="shared" si="69"/>
        <v>Accessories</v>
      </c>
      <c r="V380" t="s">
        <v>1256</v>
      </c>
      <c r="X380" t="s">
        <v>57</v>
      </c>
      <c r="Y380" t="str">
        <f t="shared" si="70"/>
        <v>Standard Class</v>
      </c>
      <c r="Z380">
        <v>2</v>
      </c>
      <c r="AA380">
        <v>3910.61</v>
      </c>
      <c r="AB380">
        <v>0</v>
      </c>
      <c r="AC380">
        <v>7821.22</v>
      </c>
      <c r="AD380">
        <v>4994.46</v>
      </c>
      <c r="AE380">
        <v>2826.76</v>
      </c>
      <c r="AF380" t="s">
        <v>30</v>
      </c>
      <c r="AG380" t="str">
        <f t="shared" si="71"/>
        <v>Paid</v>
      </c>
      <c r="AH380" t="s">
        <v>31</v>
      </c>
    </row>
    <row r="381" spans="1:34">
      <c r="A381" t="s">
        <v>1257</v>
      </c>
      <c r="B381">
        <f>COUNTIF($A:$A,A381)</f>
        <v>1</v>
      </c>
      <c r="C381" t="str">
        <f t="shared" si="62"/>
        <v>Unique</v>
      </c>
      <c r="D381" s="4">
        <v>45554</v>
      </c>
      <c r="E381">
        <f t="shared" si="63"/>
        <v>4</v>
      </c>
      <c r="F381" s="4">
        <v>45558</v>
      </c>
      <c r="G381" t="s">
        <v>1258</v>
      </c>
      <c r="H381" t="s">
        <v>34</v>
      </c>
      <c r="I381" t="str">
        <f t="shared" si="64"/>
        <v>Mira Das</v>
      </c>
      <c r="J381" t="s">
        <v>35</v>
      </c>
      <c r="K381" t="str">
        <f t="shared" si="65"/>
        <v>Small Business</v>
      </c>
      <c r="L381" t="s">
        <v>52</v>
      </c>
      <c r="M381" t="str">
        <f t="shared" si="73"/>
        <v>South</v>
      </c>
      <c r="N381" t="s">
        <v>183</v>
      </c>
      <c r="O381" t="str">
        <f t="shared" si="66"/>
        <v>Kerala</v>
      </c>
      <c r="P381" t="s">
        <v>184</v>
      </c>
      <c r="Q381" t="str">
        <f t="shared" si="67"/>
        <v>Kochi</v>
      </c>
      <c r="R381" t="s">
        <v>26</v>
      </c>
      <c r="S381" t="str">
        <f t="shared" si="68"/>
        <v>Office Supplies</v>
      </c>
      <c r="T381" t="s">
        <v>27</v>
      </c>
      <c r="U381" t="str">
        <f t="shared" si="69"/>
        <v>Paper</v>
      </c>
      <c r="V381" t="s">
        <v>1259</v>
      </c>
      <c r="X381" t="s">
        <v>57</v>
      </c>
      <c r="Y381" t="str">
        <f t="shared" si="70"/>
        <v>Standard Class</v>
      </c>
      <c r="Z381">
        <v>7</v>
      </c>
      <c r="AA381">
        <v>1136.68</v>
      </c>
      <c r="AC381">
        <v>7956.76</v>
      </c>
      <c r="AD381">
        <v>4799.54</v>
      </c>
      <c r="AE381">
        <v>3157.22</v>
      </c>
      <c r="AF381" t="s">
        <v>30</v>
      </c>
      <c r="AG381" t="str">
        <f t="shared" si="71"/>
        <v>Paid</v>
      </c>
      <c r="AH381" t="s">
        <v>31</v>
      </c>
    </row>
    <row r="382" spans="1:34">
      <c r="A382" t="s">
        <v>1260</v>
      </c>
      <c r="B382">
        <f>COUNTIF($A:$A,A382)</f>
        <v>1</v>
      </c>
      <c r="C382" t="str">
        <f t="shared" si="62"/>
        <v>Unique</v>
      </c>
      <c r="D382" s="4">
        <v>45477</v>
      </c>
      <c r="E382">
        <f t="shared" si="63"/>
        <v>-81</v>
      </c>
      <c r="F382" s="4">
        <v>45396</v>
      </c>
      <c r="G382" t="s">
        <v>1261</v>
      </c>
      <c r="H382" t="s">
        <v>69</v>
      </c>
      <c r="I382" t="str">
        <f t="shared" si="64"/>
        <v>Vikram Iyer</v>
      </c>
      <c r="J382" t="s">
        <v>22</v>
      </c>
      <c r="K382" t="str">
        <f t="shared" si="65"/>
        <v>Consumer</v>
      </c>
      <c r="L382" t="s">
        <v>61</v>
      </c>
      <c r="M382" t="str">
        <f t="shared" si="73"/>
        <v>West</v>
      </c>
      <c r="N382" t="s">
        <v>62</v>
      </c>
      <c r="O382" t="str">
        <f t="shared" si="66"/>
        <v>Maharashtra</v>
      </c>
      <c r="P382" t="s">
        <v>63</v>
      </c>
      <c r="Q382" t="str">
        <f t="shared" si="67"/>
        <v>Mumbai</v>
      </c>
      <c r="R382" t="s">
        <v>39</v>
      </c>
      <c r="S382" t="str">
        <f t="shared" si="68"/>
        <v>Furniture</v>
      </c>
      <c r="T382" t="s">
        <v>156</v>
      </c>
      <c r="U382" t="str">
        <f t="shared" si="69"/>
        <v>Bookcases</v>
      </c>
      <c r="V382" t="s">
        <v>1262</v>
      </c>
      <c r="X382" t="s">
        <v>42</v>
      </c>
      <c r="Y382" t="str">
        <f t="shared" si="70"/>
        <v>Same Day</v>
      </c>
      <c r="Z382">
        <v>5</v>
      </c>
      <c r="AA382">
        <v>2235.85</v>
      </c>
      <c r="AB382">
        <v>0.25</v>
      </c>
      <c r="AC382">
        <v>8384.44</v>
      </c>
      <c r="AD382">
        <v>4765.96</v>
      </c>
      <c r="AE382">
        <v>3618.48</v>
      </c>
      <c r="AF382" t="s">
        <v>30</v>
      </c>
      <c r="AG382" t="str">
        <f t="shared" si="71"/>
        <v>Paid</v>
      </c>
      <c r="AH382" t="s">
        <v>101</v>
      </c>
    </row>
    <row r="383" spans="1:34">
      <c r="A383" t="s">
        <v>1263</v>
      </c>
      <c r="B383">
        <f>COUNTIF($A:$A,A383)</f>
        <v>1</v>
      </c>
      <c r="C383" t="str">
        <f t="shared" si="62"/>
        <v>Unique</v>
      </c>
      <c r="D383" s="4">
        <v>45919</v>
      </c>
      <c r="E383">
        <f t="shared" si="63"/>
        <v>4</v>
      </c>
      <c r="F383" s="4">
        <v>45923</v>
      </c>
      <c r="G383" t="s">
        <v>1264</v>
      </c>
      <c r="H383" t="s">
        <v>51</v>
      </c>
      <c r="I383" t="str">
        <f t="shared" si="64"/>
        <v>Arjun Bose</v>
      </c>
      <c r="J383" t="s">
        <v>1265</v>
      </c>
      <c r="K383" t="str">
        <f t="shared" si="65"/>
        <v>Home Office</v>
      </c>
      <c r="L383" t="s">
        <v>23</v>
      </c>
      <c r="M383" t="str">
        <f t="shared" si="73"/>
        <v>North</v>
      </c>
      <c r="N383" t="s">
        <v>349</v>
      </c>
      <c r="O383" t="str">
        <f t="shared" si="66"/>
        <v>Delhi</v>
      </c>
      <c r="P383" t="s">
        <v>350</v>
      </c>
      <c r="Q383" t="str">
        <f t="shared" si="67"/>
        <v>New Delhi</v>
      </c>
      <c r="R383" t="s">
        <v>26</v>
      </c>
      <c r="S383" t="str">
        <f t="shared" si="68"/>
        <v>Office Supplies</v>
      </c>
      <c r="T383" t="s">
        <v>151</v>
      </c>
      <c r="U383" t="str">
        <f t="shared" si="69"/>
        <v>Binders</v>
      </c>
      <c r="V383" t="s">
        <v>1266</v>
      </c>
      <c r="X383" t="s">
        <v>57</v>
      </c>
      <c r="Y383" t="str">
        <f t="shared" si="70"/>
        <v>Standard Class</v>
      </c>
      <c r="Z383">
        <v>4</v>
      </c>
      <c r="AA383">
        <v>4387.1499999999996</v>
      </c>
      <c r="AB383">
        <v>0.05</v>
      </c>
      <c r="AC383">
        <v>16671.169999999998</v>
      </c>
      <c r="AD383">
        <v>10833.19</v>
      </c>
      <c r="AE383">
        <v>5837.98</v>
      </c>
      <c r="AF383" t="s">
        <v>153</v>
      </c>
      <c r="AG383" t="str">
        <f t="shared" si="71"/>
        <v>Failed</v>
      </c>
      <c r="AH383" t="s">
        <v>66</v>
      </c>
    </row>
    <row r="384" spans="1:34">
      <c r="A384" t="s">
        <v>1267</v>
      </c>
      <c r="B384">
        <f>COUNTIF($A:$A,A384)</f>
        <v>1</v>
      </c>
      <c r="C384" t="str">
        <f t="shared" si="62"/>
        <v>Unique</v>
      </c>
      <c r="D384" s="4">
        <v>45750</v>
      </c>
      <c r="E384">
        <f t="shared" si="63"/>
        <v>-26</v>
      </c>
      <c r="F384" s="4">
        <v>45724</v>
      </c>
      <c r="G384" t="s">
        <v>155</v>
      </c>
      <c r="H384" t="s">
        <v>51</v>
      </c>
      <c r="I384" t="str">
        <f t="shared" si="64"/>
        <v>Arjun Bose</v>
      </c>
      <c r="J384" t="s">
        <v>35</v>
      </c>
      <c r="K384" t="str">
        <f t="shared" si="65"/>
        <v>Small Business</v>
      </c>
      <c r="L384" t="s">
        <v>36</v>
      </c>
      <c r="M384" t="str">
        <f t="shared" si="73"/>
        <v>East</v>
      </c>
      <c r="N384" t="s">
        <v>143</v>
      </c>
      <c r="O384" t="str">
        <f t="shared" si="66"/>
        <v>Bihar</v>
      </c>
      <c r="P384" t="s">
        <v>144</v>
      </c>
      <c r="Q384" t="str">
        <f t="shared" si="67"/>
        <v>Patna</v>
      </c>
      <c r="R384" t="s">
        <v>1268</v>
      </c>
      <c r="S384" t="str">
        <f t="shared" si="68"/>
        <v>Technology</v>
      </c>
      <c r="T384" t="s">
        <v>169</v>
      </c>
      <c r="U384" t="str">
        <f t="shared" si="69"/>
        <v>Phones</v>
      </c>
      <c r="V384" t="s">
        <v>1269</v>
      </c>
      <c r="X384" t="s">
        <v>48</v>
      </c>
      <c r="Y384" t="str">
        <f t="shared" si="70"/>
        <v>First Class</v>
      </c>
      <c r="Z384">
        <v>3</v>
      </c>
      <c r="AA384">
        <v>4361.8500000000004</v>
      </c>
      <c r="AB384">
        <v>0.2</v>
      </c>
      <c r="AC384">
        <v>10468.44</v>
      </c>
      <c r="AD384">
        <v>8399.8700000000008</v>
      </c>
      <c r="AE384">
        <v>2068.5700000000002</v>
      </c>
      <c r="AF384" t="s">
        <v>30</v>
      </c>
      <c r="AG384" t="str">
        <f t="shared" si="71"/>
        <v>Paid</v>
      </c>
      <c r="AH384" t="s">
        <v>31</v>
      </c>
    </row>
    <row r="385" spans="1:34">
      <c r="A385" t="s">
        <v>1270</v>
      </c>
      <c r="B385">
        <f>COUNTIF($A:$A,A385)</f>
        <v>1</v>
      </c>
      <c r="C385" t="str">
        <f t="shared" si="62"/>
        <v>Unique</v>
      </c>
      <c r="D385" s="4">
        <v>45836</v>
      </c>
      <c r="E385">
        <f t="shared" si="63"/>
        <v>-52</v>
      </c>
      <c r="F385" s="4">
        <v>45784</v>
      </c>
      <c r="G385" t="s">
        <v>1271</v>
      </c>
      <c r="H385" t="s">
        <v>69</v>
      </c>
      <c r="I385" t="str">
        <f t="shared" si="64"/>
        <v>Vikram Iyer</v>
      </c>
      <c r="J385" t="s">
        <v>88</v>
      </c>
      <c r="K385" t="str">
        <f t="shared" si="65"/>
        <v>Corporate</v>
      </c>
      <c r="L385" t="s">
        <v>36</v>
      </c>
      <c r="M385" t="str">
        <f t="shared" si="73"/>
        <v>East</v>
      </c>
      <c r="N385" t="s">
        <v>97</v>
      </c>
      <c r="O385" t="str">
        <f t="shared" si="66"/>
        <v>West Bengal</v>
      </c>
      <c r="P385" t="s">
        <v>98</v>
      </c>
      <c r="Q385" t="str">
        <f t="shared" si="67"/>
        <v>Kolkata</v>
      </c>
      <c r="R385" t="s">
        <v>26</v>
      </c>
      <c r="S385" t="str">
        <f t="shared" si="68"/>
        <v>Office Supplies</v>
      </c>
      <c r="T385" t="s">
        <v>46</v>
      </c>
      <c r="U385" t="str">
        <f t="shared" si="69"/>
        <v>Art</v>
      </c>
      <c r="V385" t="s">
        <v>1272</v>
      </c>
      <c r="X385" t="s">
        <v>48</v>
      </c>
      <c r="Y385" t="str">
        <f t="shared" si="70"/>
        <v>First Class</v>
      </c>
      <c r="Z385">
        <v>2</v>
      </c>
      <c r="AA385">
        <v>2242.75</v>
      </c>
      <c r="AB385">
        <v>0</v>
      </c>
      <c r="AC385">
        <v>4485.5</v>
      </c>
      <c r="AD385">
        <v>3131.86</v>
      </c>
      <c r="AE385">
        <v>1353.64</v>
      </c>
      <c r="AF385" t="s">
        <v>30</v>
      </c>
      <c r="AG385" t="str">
        <f t="shared" si="71"/>
        <v>Paid</v>
      </c>
      <c r="AH385" t="s">
        <v>66</v>
      </c>
    </row>
    <row r="386" spans="1:34">
      <c r="A386" t="s">
        <v>1273</v>
      </c>
      <c r="B386">
        <f>COUNTIF($A:$A,A386)</f>
        <v>1</v>
      </c>
      <c r="C386" t="str">
        <f t="shared" ref="C386:C449" si="74">IF(B386&gt;1,"Review Duplicate ID","Unique")</f>
        <v>Unique</v>
      </c>
      <c r="D386" s="4">
        <v>45366</v>
      </c>
      <c r="E386">
        <f t="shared" ref="E386:E449" si="75">F386-D386</f>
        <v>5</v>
      </c>
      <c r="F386" s="4">
        <v>45371</v>
      </c>
      <c r="G386" t="s">
        <v>1274</v>
      </c>
      <c r="H386" t="s">
        <v>139</v>
      </c>
      <c r="I386" t="str">
        <f t="shared" ref="I386:I449" si="76">PROPER(TRIM(H386))</f>
        <v>Rohan Mehta</v>
      </c>
      <c r="J386" t="s">
        <v>22</v>
      </c>
      <c r="K386" t="str">
        <f t="shared" ref="K386:K449" si="77">PROPER(TRIM(J386))</f>
        <v>Consumer</v>
      </c>
      <c r="L386" t="s">
        <v>36</v>
      </c>
      <c r="M386" t="str">
        <f t="shared" si="73"/>
        <v>East</v>
      </c>
      <c r="N386" t="s">
        <v>227</v>
      </c>
      <c r="O386" t="str">
        <f t="shared" ref="O386:O449" si="78">PROPER(TRIM(N386))</f>
        <v>Jharkhand</v>
      </c>
      <c r="P386" t="s">
        <v>228</v>
      </c>
      <c r="Q386" t="str">
        <f t="shared" ref="Q386:Q449" si="79">PROPER(TRIM(P386))</f>
        <v>Ranchi</v>
      </c>
      <c r="R386" t="s">
        <v>72</v>
      </c>
      <c r="S386" t="str">
        <f t="shared" ref="S386:S449" si="80">PROPER(TRIM(R386))</f>
        <v>Technology</v>
      </c>
      <c r="T386" t="s">
        <v>78</v>
      </c>
      <c r="U386" t="str">
        <f t="shared" ref="U386:U449" si="81">PROPER(TRIM(T386))</f>
        <v>Copiers</v>
      </c>
      <c r="V386" t="s">
        <v>1275</v>
      </c>
      <c r="X386" t="s">
        <v>57</v>
      </c>
      <c r="Y386" t="str">
        <f t="shared" si="70"/>
        <v>Standard Class</v>
      </c>
      <c r="Z386">
        <v>2</v>
      </c>
      <c r="AA386">
        <v>1881.4</v>
      </c>
      <c r="AB386">
        <v>0.25</v>
      </c>
      <c r="AC386">
        <v>2822.1</v>
      </c>
      <c r="AD386">
        <v>1624.57</v>
      </c>
      <c r="AE386">
        <v>1197.53</v>
      </c>
      <c r="AF386" t="s">
        <v>30</v>
      </c>
      <c r="AG386" t="str">
        <f t="shared" si="71"/>
        <v>Paid</v>
      </c>
      <c r="AH386" t="s">
        <v>101</v>
      </c>
    </row>
    <row r="387" spans="1:34">
      <c r="A387" t="s">
        <v>1276</v>
      </c>
      <c r="B387">
        <f>COUNTIF($A:$A,A387)</f>
        <v>1</v>
      </c>
      <c r="C387" t="str">
        <f t="shared" si="74"/>
        <v>Unique</v>
      </c>
      <c r="D387" s="4">
        <v>45832</v>
      </c>
      <c r="E387">
        <f t="shared" si="75"/>
        <v>6</v>
      </c>
      <c r="F387" s="4">
        <v>45838</v>
      </c>
      <c r="G387" t="s">
        <v>1277</v>
      </c>
      <c r="H387" t="s">
        <v>51</v>
      </c>
      <c r="I387" t="str">
        <f t="shared" si="76"/>
        <v>Arjun Bose</v>
      </c>
      <c r="J387" t="s">
        <v>22</v>
      </c>
      <c r="K387" t="str">
        <f t="shared" si="77"/>
        <v>Consumer</v>
      </c>
      <c r="L387" t="s">
        <v>23</v>
      </c>
      <c r="M387" t="str">
        <f t="shared" si="73"/>
        <v>North</v>
      </c>
      <c r="N387" t="s">
        <v>235</v>
      </c>
      <c r="O387" t="str">
        <f t="shared" si="78"/>
        <v>Haryana</v>
      </c>
      <c r="P387" t="s">
        <v>236</v>
      </c>
      <c r="Q387" t="str">
        <f t="shared" si="79"/>
        <v>Gurugram</v>
      </c>
      <c r="R387" t="s">
        <v>26</v>
      </c>
      <c r="S387" t="str">
        <f t="shared" si="80"/>
        <v>Office Supplies</v>
      </c>
      <c r="T387" t="s">
        <v>89</v>
      </c>
      <c r="U387" t="str">
        <f t="shared" si="81"/>
        <v>Labels</v>
      </c>
      <c r="V387" t="s">
        <v>1278</v>
      </c>
      <c r="X387" t="s">
        <v>57</v>
      </c>
      <c r="Y387" t="str">
        <f t="shared" ref="Y387:Y450" si="82">PROPER(TRIM(X387))</f>
        <v>Standard Class</v>
      </c>
      <c r="Z387">
        <v>6</v>
      </c>
      <c r="AA387">
        <v>365.76</v>
      </c>
      <c r="AB387">
        <v>0.1</v>
      </c>
      <c r="AC387">
        <v>1975.1</v>
      </c>
      <c r="AD387">
        <v>1115.3499999999999</v>
      </c>
      <c r="AE387">
        <v>859.75</v>
      </c>
      <c r="AF387" t="s">
        <v>30</v>
      </c>
      <c r="AG387" t="str">
        <f t="shared" ref="AG387:AG450" si="83">PROPER(TRIM(AF387))</f>
        <v>Paid</v>
      </c>
      <c r="AH387" t="s">
        <v>31</v>
      </c>
    </row>
    <row r="388" spans="1:34">
      <c r="A388" t="s">
        <v>1279</v>
      </c>
      <c r="B388">
        <f>COUNTIF($A:$A,A388)</f>
        <v>1</v>
      </c>
      <c r="C388" t="str">
        <f t="shared" si="74"/>
        <v>Unique</v>
      </c>
      <c r="D388" s="4">
        <v>45700</v>
      </c>
      <c r="E388">
        <f t="shared" si="75"/>
        <v>2</v>
      </c>
      <c r="F388" s="4">
        <v>45702</v>
      </c>
      <c r="G388" t="s">
        <v>1280</v>
      </c>
      <c r="H388" t="s">
        <v>130</v>
      </c>
      <c r="I388" t="str">
        <f t="shared" si="76"/>
        <v>Sneha Kapoor</v>
      </c>
      <c r="J388" t="s">
        <v>22</v>
      </c>
      <c r="K388" t="str">
        <f t="shared" si="77"/>
        <v>Consumer</v>
      </c>
      <c r="L388" t="s">
        <v>61</v>
      </c>
      <c r="M388" t="str">
        <f t="shared" si="73"/>
        <v>West</v>
      </c>
      <c r="N388" t="s">
        <v>62</v>
      </c>
      <c r="O388" t="str">
        <f t="shared" si="78"/>
        <v>Maharashtra</v>
      </c>
      <c r="P388" t="s">
        <v>63</v>
      </c>
      <c r="Q388" t="str">
        <f t="shared" si="79"/>
        <v>Mumbai</v>
      </c>
      <c r="R388" t="s">
        <v>39</v>
      </c>
      <c r="S388" t="str">
        <f t="shared" si="80"/>
        <v>Furniture</v>
      </c>
      <c r="T388" t="s">
        <v>55</v>
      </c>
      <c r="U388" t="str">
        <f t="shared" si="81"/>
        <v>Furnishings</v>
      </c>
      <c r="V388" t="s">
        <v>1281</v>
      </c>
      <c r="X388" t="s">
        <v>29</v>
      </c>
      <c r="Y388" t="str">
        <f t="shared" si="82"/>
        <v>Second Class</v>
      </c>
      <c r="Z388">
        <v>8</v>
      </c>
      <c r="AA388">
        <v>2786.66</v>
      </c>
      <c r="AB388">
        <v>0.1</v>
      </c>
      <c r="AC388">
        <v>20063.95</v>
      </c>
      <c r="AD388">
        <v>14363.38</v>
      </c>
      <c r="AE388">
        <v>5700.57</v>
      </c>
      <c r="AF388" t="s">
        <v>30</v>
      </c>
      <c r="AG388" t="str">
        <f t="shared" si="83"/>
        <v>Paid</v>
      </c>
      <c r="AH388" t="s">
        <v>31</v>
      </c>
    </row>
    <row r="389" spans="1:34">
      <c r="A389" t="s">
        <v>1282</v>
      </c>
      <c r="B389">
        <f>COUNTIF($A:$A,A389)</f>
        <v>1</v>
      </c>
      <c r="C389" t="str">
        <f t="shared" si="74"/>
        <v>Unique</v>
      </c>
      <c r="D389" s="4">
        <v>45938</v>
      </c>
      <c r="E389">
        <f t="shared" si="75"/>
        <v>-56</v>
      </c>
      <c r="F389" s="4">
        <v>45882</v>
      </c>
      <c r="G389" t="s">
        <v>1283</v>
      </c>
      <c r="H389" t="s">
        <v>112</v>
      </c>
      <c r="I389" t="str">
        <f t="shared" si="76"/>
        <v>Priya Menon</v>
      </c>
      <c r="J389" t="s">
        <v>35</v>
      </c>
      <c r="K389" t="str">
        <f t="shared" si="77"/>
        <v>Small Business</v>
      </c>
      <c r="L389" t="s">
        <v>61</v>
      </c>
      <c r="M389" t="str">
        <f t="shared" si="73"/>
        <v>West</v>
      </c>
      <c r="N389" t="s">
        <v>70</v>
      </c>
      <c r="O389" t="str">
        <f t="shared" si="78"/>
        <v>Madhya Pradesh</v>
      </c>
      <c r="P389" t="s">
        <v>71</v>
      </c>
      <c r="Q389" t="str">
        <f t="shared" si="79"/>
        <v>Indore</v>
      </c>
      <c r="R389" t="s">
        <v>39</v>
      </c>
      <c r="S389" t="str">
        <f t="shared" si="80"/>
        <v>Furniture</v>
      </c>
      <c r="T389" t="s">
        <v>64</v>
      </c>
      <c r="U389" t="str">
        <f t="shared" si="81"/>
        <v>Chairs</v>
      </c>
      <c r="V389" t="s">
        <v>1284</v>
      </c>
      <c r="X389" t="s">
        <v>57</v>
      </c>
      <c r="Y389" t="str">
        <f t="shared" si="82"/>
        <v>Standard Class</v>
      </c>
      <c r="Z389">
        <v>5</v>
      </c>
      <c r="AA389">
        <v>352.86</v>
      </c>
      <c r="AB389">
        <v>0</v>
      </c>
      <c r="AC389">
        <v>1764.3</v>
      </c>
      <c r="AD389">
        <v>1332.49</v>
      </c>
      <c r="AE389">
        <v>431.81</v>
      </c>
      <c r="AF389" t="s">
        <v>109</v>
      </c>
      <c r="AG389" t="str">
        <f t="shared" si="83"/>
        <v>Pending</v>
      </c>
      <c r="AH389" t="s">
        <v>66</v>
      </c>
    </row>
    <row r="390" spans="1:34">
      <c r="A390" t="s">
        <v>1285</v>
      </c>
      <c r="B390">
        <f>COUNTIF($A:$A,A390)</f>
        <v>1</v>
      </c>
      <c r="C390" t="str">
        <f t="shared" si="74"/>
        <v>Unique</v>
      </c>
      <c r="D390" s="4">
        <v>45425</v>
      </c>
      <c r="E390">
        <f t="shared" si="75"/>
        <v>5</v>
      </c>
      <c r="F390" s="4">
        <v>45430</v>
      </c>
      <c r="G390" t="s">
        <v>1286</v>
      </c>
      <c r="H390" t="s">
        <v>45</v>
      </c>
      <c r="I390" t="str">
        <f t="shared" si="76"/>
        <v>Isha Nair</v>
      </c>
      <c r="J390" t="s">
        <v>35</v>
      </c>
      <c r="K390" t="str">
        <f t="shared" si="77"/>
        <v>Small Business</v>
      </c>
      <c r="L390" t="s">
        <v>61</v>
      </c>
      <c r="M390" t="str">
        <f t="shared" si="73"/>
        <v>West</v>
      </c>
      <c r="N390" t="s">
        <v>178</v>
      </c>
      <c r="O390" t="str">
        <f t="shared" si="78"/>
        <v>Gujarat</v>
      </c>
      <c r="P390" t="s">
        <v>179</v>
      </c>
      <c r="Q390" t="str">
        <f t="shared" si="79"/>
        <v>Ahmedabad</v>
      </c>
      <c r="R390" t="s">
        <v>39</v>
      </c>
      <c r="S390" t="str">
        <f t="shared" si="80"/>
        <v>Furniture</v>
      </c>
      <c r="T390" t="s">
        <v>64</v>
      </c>
      <c r="U390" t="str">
        <f t="shared" si="81"/>
        <v>Chairs</v>
      </c>
      <c r="V390" t="s">
        <v>1287</v>
      </c>
      <c r="X390" t="s">
        <v>57</v>
      </c>
      <c r="Y390" t="str">
        <f t="shared" si="82"/>
        <v>Standard Class</v>
      </c>
      <c r="Z390">
        <v>3</v>
      </c>
      <c r="AA390">
        <v>3128.59</v>
      </c>
      <c r="AB390">
        <v>0</v>
      </c>
      <c r="AC390">
        <v>9385.77</v>
      </c>
      <c r="AD390">
        <v>6872.44</v>
      </c>
      <c r="AE390">
        <v>2783.66</v>
      </c>
      <c r="AF390" t="s">
        <v>30</v>
      </c>
      <c r="AG390" t="str">
        <f t="shared" si="83"/>
        <v>Paid</v>
      </c>
      <c r="AH390" t="s">
        <v>31</v>
      </c>
    </row>
    <row r="391" spans="1:34">
      <c r="A391" t="s">
        <v>1288</v>
      </c>
      <c r="B391">
        <f>COUNTIF($A:$A,A391)</f>
        <v>1</v>
      </c>
      <c r="C391" t="str">
        <f t="shared" si="74"/>
        <v>Unique</v>
      </c>
      <c r="D391" s="4">
        <v>45416</v>
      </c>
      <c r="E391">
        <f t="shared" si="75"/>
        <v>-21</v>
      </c>
      <c r="F391" s="4">
        <v>45395</v>
      </c>
      <c r="G391" t="s">
        <v>1289</v>
      </c>
      <c r="H391" t="s">
        <v>160</v>
      </c>
      <c r="I391" t="str">
        <f t="shared" si="76"/>
        <v>Diya Patel</v>
      </c>
      <c r="J391" t="s">
        <v>88</v>
      </c>
      <c r="K391" t="str">
        <f t="shared" si="77"/>
        <v>Corporate</v>
      </c>
      <c r="L391" t="s">
        <v>61</v>
      </c>
      <c r="M391" t="str">
        <f t="shared" si="73"/>
        <v>West</v>
      </c>
      <c r="N391" t="s">
        <v>178</v>
      </c>
      <c r="O391" t="str">
        <f t="shared" si="78"/>
        <v>Gujarat</v>
      </c>
      <c r="P391" t="s">
        <v>179</v>
      </c>
      <c r="Q391" t="str">
        <f t="shared" si="79"/>
        <v>Ahmedabad</v>
      </c>
      <c r="R391" t="s">
        <v>72</v>
      </c>
      <c r="S391" t="str">
        <f t="shared" si="80"/>
        <v>Technology</v>
      </c>
      <c r="T391" t="s">
        <v>273</v>
      </c>
      <c r="U391" t="str">
        <f t="shared" si="81"/>
        <v>Machines</v>
      </c>
      <c r="V391" t="s">
        <v>1290</v>
      </c>
      <c r="X391" t="s">
        <v>29</v>
      </c>
      <c r="Y391" t="str">
        <f t="shared" si="82"/>
        <v>Second Class</v>
      </c>
      <c r="Z391">
        <v>5</v>
      </c>
      <c r="AA391">
        <v>1937.54</v>
      </c>
      <c r="AB391">
        <v>0.2</v>
      </c>
      <c r="AC391">
        <v>7750.16</v>
      </c>
      <c r="AD391">
        <v>5434.3</v>
      </c>
      <c r="AE391">
        <v>2315.86</v>
      </c>
      <c r="AF391" t="s">
        <v>109</v>
      </c>
      <c r="AG391" t="str">
        <f t="shared" si="83"/>
        <v>Pending</v>
      </c>
      <c r="AH391" t="s">
        <v>66</v>
      </c>
    </row>
    <row r="392" spans="1:34">
      <c r="A392" t="s">
        <v>1291</v>
      </c>
      <c r="B392">
        <f>COUNTIF($A:$A,A392)</f>
        <v>1</v>
      </c>
      <c r="C392" t="str">
        <f t="shared" si="74"/>
        <v>Unique</v>
      </c>
      <c r="D392" s="4">
        <v>45454</v>
      </c>
      <c r="E392">
        <f t="shared" si="75"/>
        <v>153</v>
      </c>
      <c r="F392" s="4">
        <v>45607</v>
      </c>
      <c r="G392" t="s">
        <v>1292</v>
      </c>
      <c r="H392" t="s">
        <v>45</v>
      </c>
      <c r="I392" t="str">
        <f t="shared" si="76"/>
        <v>Isha Nair</v>
      </c>
      <c r="J392" t="s">
        <v>22</v>
      </c>
      <c r="K392" t="str">
        <f t="shared" si="77"/>
        <v>Consumer</v>
      </c>
      <c r="L392" t="s">
        <v>61</v>
      </c>
      <c r="M392" t="str">
        <f t="shared" si="73"/>
        <v>West</v>
      </c>
      <c r="N392" t="s">
        <v>178</v>
      </c>
      <c r="O392" t="str">
        <f t="shared" si="78"/>
        <v>Gujarat</v>
      </c>
      <c r="P392" t="s">
        <v>179</v>
      </c>
      <c r="Q392" t="str">
        <f t="shared" si="79"/>
        <v>Ahmedabad</v>
      </c>
      <c r="R392" t="s">
        <v>39</v>
      </c>
      <c r="S392" t="str">
        <f t="shared" si="80"/>
        <v>Furniture</v>
      </c>
      <c r="T392" t="s">
        <v>55</v>
      </c>
      <c r="U392" t="str">
        <f t="shared" si="81"/>
        <v>Furnishings</v>
      </c>
      <c r="V392" t="s">
        <v>1293</v>
      </c>
      <c r="X392" t="s">
        <v>57</v>
      </c>
      <c r="Y392" t="str">
        <f t="shared" si="82"/>
        <v>Standard Class</v>
      </c>
      <c r="Z392">
        <v>4</v>
      </c>
      <c r="AA392">
        <v>1917.26</v>
      </c>
      <c r="AB392">
        <v>0.2</v>
      </c>
      <c r="AC392">
        <v>6135.23</v>
      </c>
      <c r="AD392">
        <v>3439.79</v>
      </c>
      <c r="AE392">
        <v>2695.44</v>
      </c>
      <c r="AF392" t="s">
        <v>30</v>
      </c>
      <c r="AG392" t="str">
        <f t="shared" si="83"/>
        <v>Paid</v>
      </c>
      <c r="AH392" t="s">
        <v>31</v>
      </c>
    </row>
    <row r="393" spans="1:34">
      <c r="A393" t="s">
        <v>1294</v>
      </c>
      <c r="B393">
        <f>COUNTIF($A:$A,A393)</f>
        <v>1</v>
      </c>
      <c r="C393" t="str">
        <f t="shared" si="74"/>
        <v>Unique</v>
      </c>
      <c r="D393" s="4">
        <v>45702</v>
      </c>
      <c r="E393">
        <f t="shared" si="75"/>
        <v>0</v>
      </c>
      <c r="F393" s="4">
        <v>45702</v>
      </c>
      <c r="G393" t="s">
        <v>1295</v>
      </c>
      <c r="H393" t="s">
        <v>160</v>
      </c>
      <c r="I393" t="str">
        <f t="shared" si="76"/>
        <v>Diya Patel</v>
      </c>
      <c r="J393" t="s">
        <v>22</v>
      </c>
      <c r="K393" t="str">
        <f t="shared" si="77"/>
        <v>Consumer</v>
      </c>
      <c r="L393" t="s">
        <v>52</v>
      </c>
      <c r="M393" t="str">
        <f t="shared" si="73"/>
        <v>South</v>
      </c>
      <c r="N393" t="s">
        <v>173</v>
      </c>
      <c r="O393" t="str">
        <f t="shared" si="78"/>
        <v>Karnataka</v>
      </c>
      <c r="P393" t="s">
        <v>174</v>
      </c>
      <c r="Q393" t="str">
        <f t="shared" si="79"/>
        <v>Bengaluru</v>
      </c>
      <c r="R393" t="s">
        <v>26</v>
      </c>
      <c r="S393" t="str">
        <f t="shared" si="80"/>
        <v>Office Supplies</v>
      </c>
      <c r="T393" t="s">
        <v>122</v>
      </c>
      <c r="U393" t="str">
        <f t="shared" si="81"/>
        <v>Storage</v>
      </c>
      <c r="V393" t="s">
        <v>1296</v>
      </c>
      <c r="X393" t="s">
        <v>48</v>
      </c>
      <c r="Y393" t="str">
        <f t="shared" si="82"/>
        <v>First Class</v>
      </c>
      <c r="Z393">
        <v>1</v>
      </c>
      <c r="AA393">
        <v>714.43</v>
      </c>
      <c r="AB393">
        <v>0</v>
      </c>
      <c r="AC393">
        <v>714.43</v>
      </c>
      <c r="AD393">
        <v>565.44000000000005</v>
      </c>
      <c r="AE393">
        <v>148.99</v>
      </c>
      <c r="AF393" t="s">
        <v>30</v>
      </c>
      <c r="AG393" t="str">
        <f t="shared" si="83"/>
        <v>Paid</v>
      </c>
      <c r="AH393" t="s">
        <v>31</v>
      </c>
    </row>
    <row r="394" spans="1:34">
      <c r="A394" t="s">
        <v>1297</v>
      </c>
      <c r="B394">
        <f>COUNTIF($A:$A,A394)</f>
        <v>1</v>
      </c>
      <c r="C394" t="str">
        <f t="shared" si="74"/>
        <v>Unique</v>
      </c>
      <c r="D394" s="4">
        <v>45341</v>
      </c>
      <c r="E394">
        <f t="shared" si="75"/>
        <v>3</v>
      </c>
      <c r="F394" s="4">
        <v>45344</v>
      </c>
      <c r="G394" t="s">
        <v>1298</v>
      </c>
      <c r="H394" t="s">
        <v>87</v>
      </c>
      <c r="I394" t="str">
        <f t="shared" si="76"/>
        <v>Aditi Sen</v>
      </c>
      <c r="J394" t="s">
        <v>35</v>
      </c>
      <c r="K394" t="str">
        <f t="shared" si="77"/>
        <v>Small Business</v>
      </c>
      <c r="L394" t="s">
        <v>52</v>
      </c>
      <c r="M394" t="str">
        <f t="shared" si="73"/>
        <v>South</v>
      </c>
      <c r="N394" t="s">
        <v>183</v>
      </c>
      <c r="O394" t="str">
        <f t="shared" si="78"/>
        <v>Kerala</v>
      </c>
      <c r="P394" t="s">
        <v>184</v>
      </c>
      <c r="Q394" t="str">
        <f t="shared" si="79"/>
        <v>Kochi</v>
      </c>
      <c r="R394" t="s">
        <v>39</v>
      </c>
      <c r="S394" t="str">
        <f t="shared" si="80"/>
        <v>Furniture</v>
      </c>
      <c r="T394" t="s">
        <v>55</v>
      </c>
      <c r="U394" t="str">
        <f t="shared" si="81"/>
        <v>Furnishings</v>
      </c>
      <c r="V394" t="s">
        <v>1299</v>
      </c>
      <c r="X394" t="s">
        <v>42</v>
      </c>
      <c r="Y394" t="str">
        <f t="shared" si="82"/>
        <v>Same Day</v>
      </c>
      <c r="Z394">
        <v>9</v>
      </c>
      <c r="AA394">
        <v>4053.01</v>
      </c>
      <c r="AB394">
        <v>0</v>
      </c>
      <c r="AC394">
        <v>36477.089999999997</v>
      </c>
      <c r="AD394">
        <v>24525.48</v>
      </c>
      <c r="AE394">
        <v>11951.61</v>
      </c>
      <c r="AF394" t="s">
        <v>30</v>
      </c>
      <c r="AG394" t="str">
        <f t="shared" si="83"/>
        <v>Paid</v>
      </c>
      <c r="AH394" t="s">
        <v>31</v>
      </c>
    </row>
    <row r="395" spans="1:34">
      <c r="A395" t="s">
        <v>1300</v>
      </c>
      <c r="B395">
        <f>COUNTIF($A:$A,A395)</f>
        <v>1</v>
      </c>
      <c r="C395" t="str">
        <f t="shared" si="74"/>
        <v>Unique</v>
      </c>
      <c r="D395" s="4">
        <v>45527</v>
      </c>
      <c r="E395">
        <f t="shared" si="75"/>
        <v>6</v>
      </c>
      <c r="F395" s="4">
        <v>45533</v>
      </c>
      <c r="G395" t="s">
        <v>1301</v>
      </c>
      <c r="H395" t="s">
        <v>34</v>
      </c>
      <c r="I395" t="str">
        <f t="shared" si="76"/>
        <v>Mira Das</v>
      </c>
      <c r="J395" t="s">
        <v>88</v>
      </c>
      <c r="K395" t="str">
        <f t="shared" si="77"/>
        <v>Corporate</v>
      </c>
      <c r="L395" t="s">
        <v>23</v>
      </c>
      <c r="M395" t="str">
        <f t="shared" si="73"/>
        <v>North</v>
      </c>
      <c r="N395" t="s">
        <v>134</v>
      </c>
      <c r="O395" t="str">
        <f t="shared" si="78"/>
        <v>Uttar Pradesh</v>
      </c>
      <c r="P395" t="s">
        <v>135</v>
      </c>
      <c r="Q395" t="str">
        <f t="shared" si="79"/>
        <v>Noida</v>
      </c>
      <c r="R395" t="s">
        <v>26</v>
      </c>
      <c r="S395" t="str">
        <f t="shared" si="80"/>
        <v>Office Supplies</v>
      </c>
      <c r="T395" t="s">
        <v>89</v>
      </c>
      <c r="U395" t="str">
        <f t="shared" si="81"/>
        <v>Labels</v>
      </c>
      <c r="V395" t="s">
        <v>1302</v>
      </c>
      <c r="X395" t="s">
        <v>42</v>
      </c>
      <c r="Y395" t="str">
        <f t="shared" si="82"/>
        <v>Same Day</v>
      </c>
      <c r="Z395">
        <v>2</v>
      </c>
      <c r="AA395">
        <v>1936.91</v>
      </c>
      <c r="AB395">
        <v>0.05</v>
      </c>
      <c r="AC395">
        <v>3680.13</v>
      </c>
      <c r="AD395">
        <v>2967.46</v>
      </c>
      <c r="AE395">
        <v>712.67</v>
      </c>
      <c r="AF395" t="s">
        <v>30</v>
      </c>
      <c r="AG395" t="str">
        <f t="shared" si="83"/>
        <v>Paid</v>
      </c>
      <c r="AH395" t="s">
        <v>31</v>
      </c>
    </row>
    <row r="396" spans="1:34">
      <c r="A396" t="s">
        <v>1303</v>
      </c>
      <c r="B396">
        <f>COUNTIF($A:$A,A396)</f>
        <v>1</v>
      </c>
      <c r="C396" t="str">
        <f t="shared" si="74"/>
        <v>Unique</v>
      </c>
      <c r="D396" s="4">
        <v>45355</v>
      </c>
      <c r="E396">
        <f t="shared" si="75"/>
        <v>31</v>
      </c>
      <c r="F396" s="4">
        <v>45386</v>
      </c>
      <c r="G396" t="s">
        <v>1304</v>
      </c>
      <c r="H396" t="s">
        <v>263</v>
      </c>
      <c r="I396" t="str">
        <f t="shared" si="76"/>
        <v>Kabir Singh</v>
      </c>
      <c r="J396" t="s">
        <v>22</v>
      </c>
      <c r="K396" t="str">
        <f t="shared" si="77"/>
        <v>Consumer</v>
      </c>
      <c r="L396" t="s">
        <v>61</v>
      </c>
      <c r="M396" t="str">
        <f t="shared" si="73"/>
        <v>West</v>
      </c>
      <c r="N396" t="s">
        <v>62</v>
      </c>
      <c r="O396" t="str">
        <f t="shared" si="78"/>
        <v>Maharashtra</v>
      </c>
      <c r="P396" t="s">
        <v>63</v>
      </c>
      <c r="Q396" t="str">
        <f t="shared" si="79"/>
        <v>Mumbai</v>
      </c>
      <c r="R396" t="s">
        <v>39</v>
      </c>
      <c r="S396" t="str">
        <f t="shared" si="80"/>
        <v>Furniture</v>
      </c>
      <c r="T396" t="s">
        <v>55</v>
      </c>
      <c r="U396" t="str">
        <f t="shared" si="81"/>
        <v>Furnishings</v>
      </c>
      <c r="V396" t="s">
        <v>1305</v>
      </c>
      <c r="X396" t="s">
        <v>48</v>
      </c>
      <c r="Y396" t="str">
        <f t="shared" si="82"/>
        <v>First Class</v>
      </c>
      <c r="Z396">
        <v>7</v>
      </c>
      <c r="AA396">
        <v>3945.21</v>
      </c>
      <c r="AB396">
        <v>0</v>
      </c>
      <c r="AC396">
        <v>27616.47</v>
      </c>
      <c r="AD396">
        <v>21225.26</v>
      </c>
      <c r="AE396">
        <v>6391.21</v>
      </c>
      <c r="AF396" t="s">
        <v>30</v>
      </c>
      <c r="AG396" t="str">
        <f t="shared" si="83"/>
        <v>Paid</v>
      </c>
      <c r="AH396" t="s">
        <v>31</v>
      </c>
    </row>
    <row r="397" spans="1:34">
      <c r="A397" t="s">
        <v>1306</v>
      </c>
      <c r="B397">
        <f>COUNTIF($A:$A,A397)</f>
        <v>1</v>
      </c>
      <c r="C397" t="str">
        <f t="shared" si="74"/>
        <v>Unique</v>
      </c>
      <c r="D397" s="4">
        <v>45449</v>
      </c>
      <c r="E397">
        <f t="shared" si="75"/>
        <v>1</v>
      </c>
      <c r="F397" s="4">
        <v>45450</v>
      </c>
      <c r="G397" t="s">
        <v>1307</v>
      </c>
      <c r="H397" t="s">
        <v>116</v>
      </c>
      <c r="I397" t="str">
        <f t="shared" si="76"/>
        <v>Rahul Verma</v>
      </c>
      <c r="J397" t="s">
        <v>93</v>
      </c>
      <c r="K397" t="str">
        <f t="shared" si="77"/>
        <v>Home Office</v>
      </c>
      <c r="L397" t="s">
        <v>52</v>
      </c>
      <c r="M397" t="str">
        <f t="shared" si="73"/>
        <v>South</v>
      </c>
      <c r="N397" t="s">
        <v>246</v>
      </c>
      <c r="O397" t="str">
        <f t="shared" si="78"/>
        <v>Tamil Nadu</v>
      </c>
      <c r="P397" t="s">
        <v>247</v>
      </c>
      <c r="Q397" t="str">
        <f t="shared" si="79"/>
        <v>Chennai</v>
      </c>
      <c r="R397" t="s">
        <v>39</v>
      </c>
      <c r="S397" t="str">
        <f t="shared" si="80"/>
        <v>Furniture</v>
      </c>
      <c r="T397" t="s">
        <v>40</v>
      </c>
      <c r="U397" t="str">
        <f t="shared" si="81"/>
        <v>Tables</v>
      </c>
      <c r="V397" t="s">
        <v>1308</v>
      </c>
      <c r="X397" t="s">
        <v>42</v>
      </c>
      <c r="Y397" t="str">
        <f t="shared" si="82"/>
        <v>Same Day</v>
      </c>
      <c r="Z397">
        <v>7</v>
      </c>
      <c r="AA397">
        <v>861.91</v>
      </c>
      <c r="AB397">
        <v>0.05</v>
      </c>
      <c r="AC397">
        <v>5731.7</v>
      </c>
      <c r="AD397">
        <v>4115.5600000000004</v>
      </c>
      <c r="AE397">
        <v>1616.14</v>
      </c>
      <c r="AF397" t="s">
        <v>30</v>
      </c>
      <c r="AG397" t="str">
        <f t="shared" si="83"/>
        <v>Paid</v>
      </c>
      <c r="AH397" t="s">
        <v>31</v>
      </c>
    </row>
    <row r="398" spans="1:34">
      <c r="A398" t="s">
        <v>1309</v>
      </c>
      <c r="B398">
        <f>COUNTIF($A:$A,A398)</f>
        <v>1</v>
      </c>
      <c r="C398" t="str">
        <f t="shared" si="74"/>
        <v>Unique</v>
      </c>
      <c r="D398" s="4">
        <v>45761</v>
      </c>
      <c r="E398">
        <f t="shared" si="75"/>
        <v>8</v>
      </c>
      <c r="F398" s="4">
        <v>45769</v>
      </c>
      <c r="G398" t="s">
        <v>1310</v>
      </c>
      <c r="H398" t="s">
        <v>87</v>
      </c>
      <c r="I398" t="str">
        <f t="shared" si="76"/>
        <v>Aditi Sen</v>
      </c>
      <c r="J398" t="s">
        <v>35</v>
      </c>
      <c r="K398" t="str">
        <f t="shared" si="77"/>
        <v>Small Business</v>
      </c>
      <c r="L398" t="s">
        <v>52</v>
      </c>
      <c r="M398" t="str">
        <f t="shared" si="73"/>
        <v>South</v>
      </c>
      <c r="N398" t="s">
        <v>173</v>
      </c>
      <c r="O398" t="str">
        <f t="shared" si="78"/>
        <v>Karnataka</v>
      </c>
      <c r="P398" t="s">
        <v>174</v>
      </c>
      <c r="Q398" t="str">
        <f t="shared" si="79"/>
        <v>Bengaluru</v>
      </c>
      <c r="R398" t="s">
        <v>72</v>
      </c>
      <c r="S398" t="str">
        <f t="shared" si="80"/>
        <v>Technology</v>
      </c>
      <c r="T398" t="s">
        <v>273</v>
      </c>
      <c r="U398" t="str">
        <f t="shared" si="81"/>
        <v>Machines</v>
      </c>
      <c r="V398" t="s">
        <v>1311</v>
      </c>
      <c r="X398" t="s">
        <v>57</v>
      </c>
      <c r="Y398" t="str">
        <f t="shared" si="82"/>
        <v>Standard Class</v>
      </c>
      <c r="Z398">
        <v>2</v>
      </c>
      <c r="AA398">
        <v>638.73</v>
      </c>
      <c r="AB398">
        <v>0.05</v>
      </c>
      <c r="AC398">
        <v>1213.5899999999999</v>
      </c>
      <c r="AD398">
        <v>956.22</v>
      </c>
      <c r="AE398">
        <v>257.37</v>
      </c>
      <c r="AF398" t="s">
        <v>30</v>
      </c>
      <c r="AG398" t="str">
        <f t="shared" si="83"/>
        <v>Paid</v>
      </c>
      <c r="AH398" t="s">
        <v>31</v>
      </c>
    </row>
    <row r="399" spans="1:34">
      <c r="A399" t="s">
        <v>1312</v>
      </c>
      <c r="B399">
        <f>COUNTIF($A:$A,A399)</f>
        <v>1</v>
      </c>
      <c r="C399" t="str">
        <f t="shared" si="74"/>
        <v>Unique</v>
      </c>
      <c r="D399" s="4">
        <v>45906</v>
      </c>
      <c r="E399">
        <f t="shared" si="75"/>
        <v>30</v>
      </c>
      <c r="F399" s="4">
        <v>45936</v>
      </c>
      <c r="G399" t="s">
        <v>1313</v>
      </c>
      <c r="H399" t="s">
        <v>130</v>
      </c>
      <c r="I399" t="str">
        <f t="shared" si="76"/>
        <v>Sneha Kapoor</v>
      </c>
      <c r="J399" t="s">
        <v>35</v>
      </c>
      <c r="K399" t="str">
        <f t="shared" si="77"/>
        <v>Small Business</v>
      </c>
      <c r="L399" t="s">
        <v>23</v>
      </c>
      <c r="M399" t="str">
        <f t="shared" si="73"/>
        <v>North</v>
      </c>
      <c r="N399" t="s">
        <v>134</v>
      </c>
      <c r="O399" t="str">
        <f t="shared" si="78"/>
        <v>Uttar Pradesh</v>
      </c>
      <c r="P399" t="s">
        <v>135</v>
      </c>
      <c r="Q399" t="str">
        <f t="shared" si="79"/>
        <v>Noida</v>
      </c>
      <c r="R399" t="s">
        <v>39</v>
      </c>
      <c r="S399" t="str">
        <f t="shared" si="80"/>
        <v>Furniture</v>
      </c>
      <c r="T399" t="s">
        <v>40</v>
      </c>
      <c r="U399" t="str">
        <f t="shared" si="81"/>
        <v>Tables</v>
      </c>
      <c r="V399" t="s">
        <v>1314</v>
      </c>
      <c r="X399" t="s">
        <v>29</v>
      </c>
      <c r="Y399" t="str">
        <f t="shared" si="82"/>
        <v>Second Class</v>
      </c>
      <c r="Z399">
        <v>2</v>
      </c>
      <c r="AA399">
        <v>1731.88</v>
      </c>
      <c r="AB399">
        <v>0</v>
      </c>
      <c r="AC399">
        <v>3463.76</v>
      </c>
      <c r="AD399">
        <v>2143.7399999999998</v>
      </c>
      <c r="AE399">
        <v>1320.02</v>
      </c>
      <c r="AF399" t="s">
        <v>30</v>
      </c>
      <c r="AG399" t="str">
        <f t="shared" si="83"/>
        <v>Paid</v>
      </c>
      <c r="AH399" t="s">
        <v>31</v>
      </c>
    </row>
    <row r="400" spans="1:34">
      <c r="A400" t="s">
        <v>1315</v>
      </c>
      <c r="B400">
        <f>COUNTIF($A:$A,A400)</f>
        <v>1</v>
      </c>
      <c r="C400" t="str">
        <f t="shared" si="74"/>
        <v>Unique</v>
      </c>
      <c r="D400" s="4">
        <v>45492</v>
      </c>
      <c r="E400">
        <f t="shared" si="75"/>
        <v>7</v>
      </c>
      <c r="F400" s="4">
        <v>45499</v>
      </c>
      <c r="G400" t="s">
        <v>1316</v>
      </c>
      <c r="H400" t="s">
        <v>69</v>
      </c>
      <c r="I400" t="str">
        <f t="shared" si="76"/>
        <v>Vikram Iyer</v>
      </c>
      <c r="J400" t="s">
        <v>88</v>
      </c>
      <c r="K400" t="str">
        <f t="shared" si="77"/>
        <v>Corporate</v>
      </c>
      <c r="L400" t="s">
        <v>23</v>
      </c>
      <c r="M400" t="str">
        <f t="shared" ref="M400:M431" si="84">PROPER(TRIM(L400))</f>
        <v>North</v>
      </c>
      <c r="N400" t="s">
        <v>120</v>
      </c>
      <c r="O400" t="str">
        <f t="shared" si="78"/>
        <v>Punjab</v>
      </c>
      <c r="P400" t="s">
        <v>121</v>
      </c>
      <c r="Q400" t="str">
        <f t="shared" si="79"/>
        <v>Ludhiana</v>
      </c>
      <c r="R400" t="s">
        <v>72</v>
      </c>
      <c r="S400" t="str">
        <f t="shared" si="80"/>
        <v>Technology</v>
      </c>
      <c r="T400" t="s">
        <v>273</v>
      </c>
      <c r="U400" t="str">
        <f t="shared" si="81"/>
        <v>Machines</v>
      </c>
      <c r="V400" t="s">
        <v>1317</v>
      </c>
      <c r="X400" t="s">
        <v>42</v>
      </c>
      <c r="Y400" t="str">
        <f t="shared" si="82"/>
        <v>Same Day</v>
      </c>
      <c r="Z400">
        <v>2</v>
      </c>
      <c r="AA400">
        <v>1263.6500000000001</v>
      </c>
      <c r="AB400">
        <v>0.2</v>
      </c>
      <c r="AC400">
        <v>2021.84</v>
      </c>
      <c r="AD400">
        <v>1355.22</v>
      </c>
      <c r="AE400">
        <v>666.62</v>
      </c>
      <c r="AF400" t="s">
        <v>30</v>
      </c>
      <c r="AG400" t="str">
        <f t="shared" si="83"/>
        <v>Paid</v>
      </c>
      <c r="AH400" t="s">
        <v>31</v>
      </c>
    </row>
    <row r="401" spans="1:34">
      <c r="A401" t="s">
        <v>1318</v>
      </c>
      <c r="B401">
        <f>COUNTIF($A:$A,A401)</f>
        <v>1</v>
      </c>
      <c r="C401" t="str">
        <f t="shared" si="74"/>
        <v>Unique</v>
      </c>
      <c r="D401" s="4">
        <v>45771</v>
      </c>
      <c r="E401">
        <f t="shared" si="75"/>
        <v>5</v>
      </c>
      <c r="F401" s="4">
        <v>45776</v>
      </c>
      <c r="G401" t="s">
        <v>1319</v>
      </c>
      <c r="H401" t="s">
        <v>160</v>
      </c>
      <c r="I401" t="str">
        <f t="shared" si="76"/>
        <v>Diya Patel</v>
      </c>
      <c r="J401" t="s">
        <v>35</v>
      </c>
      <c r="K401" t="str">
        <f t="shared" si="77"/>
        <v>Small Business</v>
      </c>
      <c r="L401" t="s">
        <v>52</v>
      </c>
      <c r="M401" t="str">
        <f t="shared" si="84"/>
        <v>South</v>
      </c>
      <c r="N401" t="s">
        <v>82</v>
      </c>
      <c r="O401" t="str">
        <f t="shared" si="78"/>
        <v>Andhra Pradesh</v>
      </c>
      <c r="P401" t="s">
        <v>83</v>
      </c>
      <c r="Q401" t="str">
        <f t="shared" si="79"/>
        <v>Vijayawada</v>
      </c>
      <c r="R401" t="s">
        <v>26</v>
      </c>
      <c r="S401" t="str">
        <f t="shared" si="80"/>
        <v>Office Supplies</v>
      </c>
      <c r="T401" t="s">
        <v>27</v>
      </c>
      <c r="U401" t="str">
        <f t="shared" si="81"/>
        <v>Paper</v>
      </c>
      <c r="V401" t="s">
        <v>1320</v>
      </c>
      <c r="X401" t="s">
        <v>42</v>
      </c>
      <c r="Y401" t="str">
        <f t="shared" si="82"/>
        <v>Same Day</v>
      </c>
      <c r="Z401">
        <v>1</v>
      </c>
      <c r="AA401">
        <v>4358.5</v>
      </c>
      <c r="AB401">
        <v>0.25</v>
      </c>
      <c r="AC401">
        <v>3268.88</v>
      </c>
      <c r="AD401">
        <v>1993.74</v>
      </c>
      <c r="AE401">
        <v>1275.1400000000001</v>
      </c>
      <c r="AF401" t="s">
        <v>30</v>
      </c>
      <c r="AG401" t="str">
        <f t="shared" si="83"/>
        <v>Paid</v>
      </c>
      <c r="AH401" t="s">
        <v>31</v>
      </c>
    </row>
    <row r="402" spans="1:34">
      <c r="A402" t="s">
        <v>1321</v>
      </c>
      <c r="B402">
        <f>COUNTIF($A:$A,A402)</f>
        <v>1</v>
      </c>
      <c r="C402" t="str">
        <f t="shared" si="74"/>
        <v>Unique</v>
      </c>
      <c r="D402" s="4">
        <v>45814</v>
      </c>
      <c r="E402">
        <f t="shared" si="75"/>
        <v>153</v>
      </c>
      <c r="F402" s="4">
        <v>45967</v>
      </c>
      <c r="G402" t="s">
        <v>1322</v>
      </c>
      <c r="H402" t="s">
        <v>130</v>
      </c>
      <c r="I402" t="str">
        <f t="shared" si="76"/>
        <v>Sneha Kapoor</v>
      </c>
      <c r="J402" t="s">
        <v>35</v>
      </c>
      <c r="K402" t="str">
        <f t="shared" si="77"/>
        <v>Small Business</v>
      </c>
      <c r="L402" t="s">
        <v>23</v>
      </c>
      <c r="M402" t="str">
        <f t="shared" si="84"/>
        <v>North</v>
      </c>
      <c r="N402" t="s">
        <v>134</v>
      </c>
      <c r="O402" t="str">
        <f t="shared" si="78"/>
        <v>Uttar Pradesh</v>
      </c>
      <c r="P402" t="s">
        <v>135</v>
      </c>
      <c r="Q402" t="str">
        <f t="shared" si="79"/>
        <v>Noida</v>
      </c>
      <c r="R402" t="s">
        <v>26</v>
      </c>
      <c r="S402" t="str">
        <f t="shared" si="80"/>
        <v>Office Supplies</v>
      </c>
      <c r="T402" t="s">
        <v>27</v>
      </c>
      <c r="U402" t="str">
        <f t="shared" si="81"/>
        <v>Paper</v>
      </c>
      <c r="V402" t="s">
        <v>1323</v>
      </c>
      <c r="X402" t="s">
        <v>42</v>
      </c>
      <c r="Y402" t="str">
        <f t="shared" si="82"/>
        <v>Same Day</v>
      </c>
      <c r="Z402">
        <v>7</v>
      </c>
      <c r="AA402">
        <v>878.09</v>
      </c>
      <c r="AB402">
        <v>-0.1</v>
      </c>
      <c r="AC402">
        <v>5839.3</v>
      </c>
      <c r="AD402">
        <v>4877.38</v>
      </c>
      <c r="AE402">
        <v>961.92</v>
      </c>
      <c r="AF402" t="s">
        <v>30</v>
      </c>
      <c r="AG402" t="str">
        <f t="shared" si="83"/>
        <v>Paid</v>
      </c>
      <c r="AH402" t="s">
        <v>31</v>
      </c>
    </row>
    <row r="403" spans="1:34">
      <c r="A403" t="s">
        <v>1324</v>
      </c>
      <c r="B403">
        <f>COUNTIF($A:$A,A403)</f>
        <v>1</v>
      </c>
      <c r="C403" t="str">
        <f t="shared" si="74"/>
        <v>Unique</v>
      </c>
      <c r="D403" s="4">
        <v>45903</v>
      </c>
      <c r="E403">
        <f t="shared" si="75"/>
        <v>-171</v>
      </c>
      <c r="F403" s="4">
        <v>45732</v>
      </c>
      <c r="G403" t="s">
        <v>1325</v>
      </c>
      <c r="H403" t="s">
        <v>51</v>
      </c>
      <c r="I403" t="str">
        <f t="shared" si="76"/>
        <v>Arjun Bose</v>
      </c>
      <c r="J403" t="s">
        <v>35</v>
      </c>
      <c r="K403" t="str">
        <f t="shared" si="77"/>
        <v>Small Business</v>
      </c>
      <c r="L403" t="s">
        <v>36</v>
      </c>
      <c r="M403" t="str">
        <f t="shared" si="84"/>
        <v>East</v>
      </c>
      <c r="N403" t="s">
        <v>227</v>
      </c>
      <c r="O403" t="str">
        <f t="shared" si="78"/>
        <v>Jharkhand</v>
      </c>
      <c r="P403" t="s">
        <v>228</v>
      </c>
      <c r="Q403" t="str">
        <f t="shared" si="79"/>
        <v>Ranchi</v>
      </c>
      <c r="R403" t="s">
        <v>39</v>
      </c>
      <c r="S403" t="str">
        <f t="shared" si="80"/>
        <v>Furniture</v>
      </c>
      <c r="T403" t="s">
        <v>40</v>
      </c>
      <c r="U403" t="str">
        <f t="shared" si="81"/>
        <v>Tables</v>
      </c>
      <c r="V403" t="s">
        <v>1326</v>
      </c>
      <c r="X403" t="s">
        <v>42</v>
      </c>
      <c r="Y403" t="str">
        <f t="shared" si="82"/>
        <v>Same Day</v>
      </c>
      <c r="Z403">
        <v>3</v>
      </c>
      <c r="AA403">
        <v>2625.85</v>
      </c>
      <c r="AB403">
        <v>0</v>
      </c>
      <c r="AC403">
        <v>7877.55</v>
      </c>
      <c r="AD403">
        <v>5562.77</v>
      </c>
      <c r="AE403">
        <v>2314.7800000000002</v>
      </c>
      <c r="AF403" t="s">
        <v>30</v>
      </c>
      <c r="AG403" t="str">
        <f t="shared" si="83"/>
        <v>Paid</v>
      </c>
      <c r="AH403" t="s">
        <v>31</v>
      </c>
    </row>
    <row r="404" spans="1:34">
      <c r="A404" t="s">
        <v>1327</v>
      </c>
      <c r="B404">
        <f>COUNTIF($A:$A,A404)</f>
        <v>1</v>
      </c>
      <c r="C404" t="str">
        <f t="shared" si="74"/>
        <v>Unique</v>
      </c>
      <c r="D404" s="4">
        <v>45373</v>
      </c>
      <c r="E404">
        <f t="shared" si="75"/>
        <v>0</v>
      </c>
      <c r="F404" s="4">
        <v>45373</v>
      </c>
      <c r="G404" t="s">
        <v>1328</v>
      </c>
      <c r="H404" t="s">
        <v>112</v>
      </c>
      <c r="I404" t="str">
        <f t="shared" si="76"/>
        <v>Priya Menon</v>
      </c>
      <c r="J404" t="s">
        <v>35</v>
      </c>
      <c r="K404" t="str">
        <f t="shared" si="77"/>
        <v>Small Business</v>
      </c>
      <c r="L404" t="s">
        <v>52</v>
      </c>
      <c r="M404" t="str">
        <f t="shared" si="84"/>
        <v>South</v>
      </c>
      <c r="N404" t="s">
        <v>173</v>
      </c>
      <c r="O404" t="str">
        <f t="shared" si="78"/>
        <v>Karnataka</v>
      </c>
      <c r="P404" t="s">
        <v>174</v>
      </c>
      <c r="Q404" t="str">
        <f t="shared" si="79"/>
        <v>Bengaluru</v>
      </c>
      <c r="R404" t="s">
        <v>39</v>
      </c>
      <c r="S404" t="str">
        <f t="shared" si="80"/>
        <v>Furniture</v>
      </c>
      <c r="T404" t="s">
        <v>40</v>
      </c>
      <c r="U404" t="str">
        <f t="shared" si="81"/>
        <v>Tables</v>
      </c>
      <c r="V404" t="s">
        <v>1329</v>
      </c>
      <c r="Y404" t="s">
        <v>2828</v>
      </c>
      <c r="Z404">
        <v>3</v>
      </c>
      <c r="AA404">
        <v>1365.26</v>
      </c>
      <c r="AB404">
        <v>0</v>
      </c>
      <c r="AC404">
        <v>4095.78</v>
      </c>
      <c r="AD404">
        <v>2807.77</v>
      </c>
      <c r="AE404">
        <v>1288.01</v>
      </c>
      <c r="AF404" t="s">
        <v>30</v>
      </c>
      <c r="AG404" t="str">
        <f t="shared" si="83"/>
        <v>Paid</v>
      </c>
      <c r="AH404" t="s">
        <v>31</v>
      </c>
    </row>
    <row r="405" spans="1:34">
      <c r="A405" t="s">
        <v>1330</v>
      </c>
      <c r="B405">
        <f>COUNTIF($A:$A,A405)</f>
        <v>1</v>
      </c>
      <c r="C405" t="str">
        <f t="shared" si="74"/>
        <v>Unique</v>
      </c>
      <c r="D405" s="4">
        <v>45565</v>
      </c>
      <c r="E405">
        <f t="shared" si="75"/>
        <v>-173</v>
      </c>
      <c r="F405" s="4">
        <v>45392</v>
      </c>
      <c r="G405" t="s">
        <v>1331</v>
      </c>
      <c r="H405" t="s">
        <v>51</v>
      </c>
      <c r="I405" t="str">
        <f t="shared" si="76"/>
        <v>Arjun Bose</v>
      </c>
      <c r="J405" t="s">
        <v>35</v>
      </c>
      <c r="K405" t="str">
        <f t="shared" si="77"/>
        <v>Small Business</v>
      </c>
      <c r="L405" t="s">
        <v>52</v>
      </c>
      <c r="M405" t="str">
        <f t="shared" si="84"/>
        <v>South</v>
      </c>
      <c r="N405" t="s">
        <v>183</v>
      </c>
      <c r="O405" t="str">
        <f t="shared" si="78"/>
        <v>Kerala</v>
      </c>
      <c r="P405" t="s">
        <v>184</v>
      </c>
      <c r="Q405" t="str">
        <f t="shared" si="79"/>
        <v>Kochi</v>
      </c>
      <c r="R405" t="s">
        <v>26</v>
      </c>
      <c r="S405" t="str">
        <f t="shared" si="80"/>
        <v>Office Supplies</v>
      </c>
      <c r="T405" t="s">
        <v>1332</v>
      </c>
      <c r="U405" t="str">
        <f t="shared" si="81"/>
        <v>Paper</v>
      </c>
      <c r="V405" t="s">
        <v>1333</v>
      </c>
      <c r="X405" t="s">
        <v>42</v>
      </c>
      <c r="Y405" t="str">
        <f t="shared" si="82"/>
        <v>Same Day</v>
      </c>
      <c r="Z405">
        <v>5</v>
      </c>
      <c r="AA405">
        <v>3512.25</v>
      </c>
      <c r="AB405">
        <v>0.05</v>
      </c>
      <c r="AC405">
        <v>16683.189999999999</v>
      </c>
      <c r="AD405">
        <v>10301.16</v>
      </c>
      <c r="AE405">
        <v>6382.03</v>
      </c>
      <c r="AF405" t="s">
        <v>30</v>
      </c>
      <c r="AG405" t="str">
        <f t="shared" si="83"/>
        <v>Paid</v>
      </c>
      <c r="AH405" t="s">
        <v>101</v>
      </c>
    </row>
    <row r="406" spans="1:34">
      <c r="A406" t="s">
        <v>1334</v>
      </c>
      <c r="B406">
        <f>COUNTIF($A:$A,A406)</f>
        <v>1</v>
      </c>
      <c r="C406" t="str">
        <f t="shared" si="74"/>
        <v>Unique</v>
      </c>
      <c r="D406" s="4">
        <v>45318</v>
      </c>
      <c r="E406">
        <f t="shared" si="75"/>
        <v>7</v>
      </c>
      <c r="F406" s="4">
        <v>45325</v>
      </c>
      <c r="G406" t="s">
        <v>1335</v>
      </c>
      <c r="H406" t="s">
        <v>87</v>
      </c>
      <c r="I406" t="str">
        <f t="shared" si="76"/>
        <v>Aditi Sen</v>
      </c>
      <c r="J406" t="s">
        <v>88</v>
      </c>
      <c r="K406" t="str">
        <f t="shared" si="77"/>
        <v>Corporate</v>
      </c>
      <c r="L406" t="s">
        <v>61</v>
      </c>
      <c r="M406" t="str">
        <f t="shared" si="84"/>
        <v>West</v>
      </c>
      <c r="N406" t="s">
        <v>24</v>
      </c>
      <c r="O406" t="str">
        <f t="shared" si="78"/>
        <v>Rajasthan</v>
      </c>
      <c r="P406" t="s">
        <v>107</v>
      </c>
      <c r="Q406" t="str">
        <f t="shared" si="79"/>
        <v>Udaipur</v>
      </c>
      <c r="R406" t="s">
        <v>39</v>
      </c>
      <c r="S406" t="str">
        <f t="shared" si="80"/>
        <v>Furniture</v>
      </c>
      <c r="T406" t="s">
        <v>64</v>
      </c>
      <c r="U406" t="str">
        <f t="shared" si="81"/>
        <v>Chairs</v>
      </c>
      <c r="V406" t="s">
        <v>1336</v>
      </c>
      <c r="X406" t="s">
        <v>42</v>
      </c>
      <c r="Y406" t="str">
        <f t="shared" si="82"/>
        <v>Same Day</v>
      </c>
      <c r="Z406">
        <v>3</v>
      </c>
      <c r="AA406">
        <v>359.61</v>
      </c>
      <c r="AB406">
        <v>0</v>
      </c>
      <c r="AC406">
        <v>1078.83</v>
      </c>
      <c r="AD406">
        <v>926.35</v>
      </c>
      <c r="AE406">
        <v>152.47999999999999</v>
      </c>
      <c r="AF406" t="s">
        <v>30</v>
      </c>
      <c r="AG406" t="str">
        <f t="shared" si="83"/>
        <v>Paid</v>
      </c>
      <c r="AH406" t="s">
        <v>31</v>
      </c>
    </row>
    <row r="407" spans="1:34">
      <c r="A407" t="s">
        <v>1337</v>
      </c>
      <c r="B407">
        <f>COUNTIF($A:$A,A407)</f>
        <v>1</v>
      </c>
      <c r="C407" t="str">
        <f t="shared" si="74"/>
        <v>Unique</v>
      </c>
      <c r="D407" s="4">
        <v>45558</v>
      </c>
      <c r="E407">
        <f t="shared" si="75"/>
        <v>1</v>
      </c>
      <c r="F407" s="4">
        <v>45559</v>
      </c>
      <c r="G407" t="s">
        <v>1338</v>
      </c>
      <c r="H407" t="s">
        <v>87</v>
      </c>
      <c r="I407" t="str">
        <f t="shared" si="76"/>
        <v>Aditi Sen</v>
      </c>
      <c r="J407" t="s">
        <v>93</v>
      </c>
      <c r="K407" t="str">
        <f t="shared" si="77"/>
        <v>Home Office</v>
      </c>
      <c r="L407" t="s">
        <v>61</v>
      </c>
      <c r="M407" t="str">
        <f t="shared" si="84"/>
        <v>West</v>
      </c>
      <c r="N407" t="s">
        <v>178</v>
      </c>
      <c r="O407" t="str">
        <f t="shared" si="78"/>
        <v>Gujarat</v>
      </c>
      <c r="P407" t="s">
        <v>179</v>
      </c>
      <c r="Q407" t="str">
        <f t="shared" si="79"/>
        <v>Ahmedabad</v>
      </c>
      <c r="R407" t="s">
        <v>39</v>
      </c>
      <c r="S407" t="str">
        <f t="shared" si="80"/>
        <v>Furniture</v>
      </c>
      <c r="T407" t="s">
        <v>156</v>
      </c>
      <c r="U407" t="str">
        <f t="shared" si="81"/>
        <v>Bookcases</v>
      </c>
      <c r="V407" t="s">
        <v>1339</v>
      </c>
      <c r="Y407" t="s">
        <v>2828</v>
      </c>
      <c r="Z407">
        <v>7</v>
      </c>
      <c r="AA407">
        <v>3878.01</v>
      </c>
      <c r="AB407">
        <v>0.1</v>
      </c>
      <c r="AC407">
        <v>24431.46</v>
      </c>
      <c r="AD407">
        <v>18202.36</v>
      </c>
      <c r="AE407">
        <v>6229.1</v>
      </c>
      <c r="AF407" t="s">
        <v>30</v>
      </c>
      <c r="AG407" t="str">
        <f t="shared" si="83"/>
        <v>Paid</v>
      </c>
      <c r="AH407" t="s">
        <v>31</v>
      </c>
    </row>
    <row r="408" spans="1:34">
      <c r="A408" t="s">
        <v>1340</v>
      </c>
      <c r="B408">
        <f>COUNTIF($A:$A,A408)</f>
        <v>1</v>
      </c>
      <c r="C408" t="str">
        <f t="shared" si="74"/>
        <v>Unique</v>
      </c>
      <c r="D408" s="4">
        <v>45713</v>
      </c>
      <c r="E408">
        <f t="shared" si="75"/>
        <v>0</v>
      </c>
      <c r="F408" s="4">
        <v>45713</v>
      </c>
      <c r="G408" t="s">
        <v>1341</v>
      </c>
      <c r="H408" t="s">
        <v>263</v>
      </c>
      <c r="I408" t="str">
        <f t="shared" si="76"/>
        <v>Kabir Singh</v>
      </c>
      <c r="J408" t="s">
        <v>35</v>
      </c>
      <c r="K408" t="str">
        <f t="shared" si="77"/>
        <v>Small Business</v>
      </c>
      <c r="L408" t="s">
        <v>61</v>
      </c>
      <c r="M408" t="str">
        <f t="shared" si="84"/>
        <v>West</v>
      </c>
      <c r="N408" t="s">
        <v>188</v>
      </c>
      <c r="O408" t="str">
        <f t="shared" si="78"/>
        <v>Goa</v>
      </c>
      <c r="P408" t="s">
        <v>189</v>
      </c>
      <c r="Q408" t="str">
        <f t="shared" si="79"/>
        <v>Panaji</v>
      </c>
      <c r="R408" t="s">
        <v>39</v>
      </c>
      <c r="S408" t="str">
        <f t="shared" si="80"/>
        <v>Furniture</v>
      </c>
      <c r="T408" t="s">
        <v>55</v>
      </c>
      <c r="U408" t="str">
        <f t="shared" si="81"/>
        <v>Furnishings</v>
      </c>
      <c r="V408" t="s">
        <v>1342</v>
      </c>
      <c r="X408" t="s">
        <v>57</v>
      </c>
      <c r="Y408" t="str">
        <f t="shared" si="82"/>
        <v>Standard Class</v>
      </c>
      <c r="Z408">
        <v>2</v>
      </c>
      <c r="AA408">
        <v>3924.2</v>
      </c>
      <c r="AB408">
        <v>0.25</v>
      </c>
      <c r="AC408">
        <v>5886.3</v>
      </c>
      <c r="AD408">
        <v>3621.76</v>
      </c>
      <c r="AE408">
        <v>2264.54</v>
      </c>
      <c r="AF408" t="s">
        <v>109</v>
      </c>
      <c r="AG408" t="str">
        <f t="shared" si="83"/>
        <v>Pending</v>
      </c>
      <c r="AH408" t="s">
        <v>101</v>
      </c>
    </row>
    <row r="409" spans="1:34">
      <c r="A409" t="s">
        <v>1343</v>
      </c>
      <c r="B409">
        <f>COUNTIF($A:$A,A409)</f>
        <v>1</v>
      </c>
      <c r="C409" t="str">
        <f t="shared" si="74"/>
        <v>Unique</v>
      </c>
      <c r="D409" s="4">
        <v>45631</v>
      </c>
      <c r="E409">
        <f t="shared" si="75"/>
        <v>-206</v>
      </c>
      <c r="F409" s="4">
        <v>45425</v>
      </c>
      <c r="G409" t="s">
        <v>1344</v>
      </c>
      <c r="H409" t="s">
        <v>116</v>
      </c>
      <c r="I409" t="str">
        <f t="shared" si="76"/>
        <v>Rahul Verma</v>
      </c>
      <c r="J409" t="s">
        <v>88</v>
      </c>
      <c r="K409" t="str">
        <f t="shared" si="77"/>
        <v>Corporate</v>
      </c>
      <c r="L409" t="s">
        <v>61</v>
      </c>
      <c r="M409" t="str">
        <f t="shared" si="84"/>
        <v>West</v>
      </c>
      <c r="N409" t="s">
        <v>188</v>
      </c>
      <c r="O409" t="str">
        <f t="shared" si="78"/>
        <v>Goa</v>
      </c>
      <c r="P409" t="s">
        <v>189</v>
      </c>
      <c r="Q409" t="str">
        <f t="shared" si="79"/>
        <v>Panaji</v>
      </c>
      <c r="R409" t="s">
        <v>26</v>
      </c>
      <c r="S409" t="str">
        <f t="shared" si="80"/>
        <v>Office Supplies</v>
      </c>
      <c r="T409" t="s">
        <v>89</v>
      </c>
      <c r="U409" t="str">
        <f t="shared" si="81"/>
        <v>Labels</v>
      </c>
      <c r="V409" t="s">
        <v>1345</v>
      </c>
      <c r="X409" t="s">
        <v>29</v>
      </c>
      <c r="Y409" t="str">
        <f t="shared" si="82"/>
        <v>Second Class</v>
      </c>
      <c r="Z409">
        <v>3</v>
      </c>
      <c r="AA409">
        <v>2644.55</v>
      </c>
      <c r="AB409">
        <v>0</v>
      </c>
      <c r="AC409">
        <v>7933.65</v>
      </c>
      <c r="AD409">
        <v>5698.42</v>
      </c>
      <c r="AE409">
        <v>2235.23</v>
      </c>
      <c r="AF409" t="s">
        <v>30</v>
      </c>
      <c r="AG409" t="str">
        <f t="shared" si="83"/>
        <v>Paid</v>
      </c>
      <c r="AH409" t="s">
        <v>31</v>
      </c>
    </row>
    <row r="410" spans="1:34">
      <c r="A410" t="s">
        <v>1346</v>
      </c>
      <c r="B410">
        <f>COUNTIF($A:$A,A410)</f>
        <v>1</v>
      </c>
      <c r="C410" t="str">
        <f t="shared" si="74"/>
        <v>Unique</v>
      </c>
      <c r="D410" s="4">
        <v>45870</v>
      </c>
      <c r="E410">
        <f t="shared" si="75"/>
        <v>2</v>
      </c>
      <c r="F410" s="4">
        <v>45872</v>
      </c>
      <c r="G410" t="s">
        <v>1347</v>
      </c>
      <c r="H410" t="s">
        <v>130</v>
      </c>
      <c r="I410" t="str">
        <f t="shared" si="76"/>
        <v>Sneha Kapoor</v>
      </c>
      <c r="J410" t="s">
        <v>22</v>
      </c>
      <c r="K410" t="str">
        <f t="shared" si="77"/>
        <v>Consumer</v>
      </c>
      <c r="L410" t="s">
        <v>61</v>
      </c>
      <c r="M410" t="str">
        <f t="shared" si="84"/>
        <v>West</v>
      </c>
      <c r="N410" t="s">
        <v>62</v>
      </c>
      <c r="O410" t="str">
        <f t="shared" si="78"/>
        <v>Maharashtra</v>
      </c>
      <c r="P410" t="s">
        <v>63</v>
      </c>
      <c r="Q410" t="str">
        <f t="shared" si="79"/>
        <v>Mumbai</v>
      </c>
      <c r="R410" t="s">
        <v>39</v>
      </c>
      <c r="S410" t="str">
        <f t="shared" si="80"/>
        <v>Furniture</v>
      </c>
      <c r="T410" t="s">
        <v>64</v>
      </c>
      <c r="U410" t="str">
        <f t="shared" si="81"/>
        <v>Chairs</v>
      </c>
      <c r="V410" t="s">
        <v>1348</v>
      </c>
      <c r="X410" t="s">
        <v>48</v>
      </c>
      <c r="Y410" t="str">
        <f t="shared" si="82"/>
        <v>First Class</v>
      </c>
      <c r="Z410">
        <v>4</v>
      </c>
      <c r="AA410">
        <v>1773.46</v>
      </c>
      <c r="AB410">
        <v>0</v>
      </c>
      <c r="AC410">
        <v>7093.84</v>
      </c>
      <c r="AD410">
        <v>4587.49</v>
      </c>
      <c r="AE410">
        <v>2506.35</v>
      </c>
      <c r="AF410" t="s">
        <v>153</v>
      </c>
      <c r="AG410" t="str">
        <f t="shared" si="83"/>
        <v>Failed</v>
      </c>
      <c r="AH410" t="s">
        <v>101</v>
      </c>
    </row>
    <row r="411" spans="1:34">
      <c r="A411" t="s">
        <v>1349</v>
      </c>
      <c r="B411">
        <f>COUNTIF($A:$A,A411)</f>
        <v>1</v>
      </c>
      <c r="C411" t="str">
        <f t="shared" si="74"/>
        <v>Unique</v>
      </c>
      <c r="D411" s="4">
        <v>45701</v>
      </c>
      <c r="E411">
        <f t="shared" si="75"/>
        <v>2</v>
      </c>
      <c r="F411" s="4">
        <v>45703</v>
      </c>
      <c r="G411" t="s">
        <v>1350</v>
      </c>
      <c r="H411" t="s">
        <v>21</v>
      </c>
      <c r="I411" t="str">
        <f t="shared" si="76"/>
        <v>Karan Malhotra</v>
      </c>
      <c r="J411" t="s">
        <v>22</v>
      </c>
      <c r="K411" t="str">
        <f t="shared" si="77"/>
        <v>Consumer</v>
      </c>
      <c r="L411" t="s">
        <v>36</v>
      </c>
      <c r="M411" t="str">
        <f t="shared" si="84"/>
        <v>East</v>
      </c>
      <c r="N411" t="s">
        <v>164</v>
      </c>
      <c r="O411" t="str">
        <f t="shared" si="78"/>
        <v>Assam</v>
      </c>
      <c r="P411" t="s">
        <v>165</v>
      </c>
      <c r="Q411" t="str">
        <f t="shared" si="79"/>
        <v>Guwahati</v>
      </c>
      <c r="R411" t="s">
        <v>72</v>
      </c>
      <c r="S411" t="str">
        <f t="shared" si="80"/>
        <v>Technology</v>
      </c>
      <c r="T411" t="s">
        <v>73</v>
      </c>
      <c r="U411" t="str">
        <f t="shared" si="81"/>
        <v>Accessories</v>
      </c>
      <c r="V411" t="s">
        <v>1351</v>
      </c>
      <c r="X411" t="s">
        <v>42</v>
      </c>
      <c r="Y411" t="str">
        <f t="shared" si="82"/>
        <v>Same Day</v>
      </c>
      <c r="Z411">
        <v>1</v>
      </c>
      <c r="AA411">
        <v>3025.46</v>
      </c>
      <c r="AB411">
        <v>0.25</v>
      </c>
      <c r="AC411">
        <v>2269.1</v>
      </c>
      <c r="AD411">
        <v>1593.59</v>
      </c>
      <c r="AE411">
        <v>675.51</v>
      </c>
      <c r="AF411" t="s">
        <v>100</v>
      </c>
      <c r="AG411" t="str">
        <f t="shared" si="83"/>
        <v>Refunded</v>
      </c>
      <c r="AH411" t="s">
        <v>101</v>
      </c>
    </row>
    <row r="412" spans="1:34">
      <c r="A412" t="s">
        <v>1352</v>
      </c>
      <c r="B412">
        <f>COUNTIF($A:$A,A412)</f>
        <v>1</v>
      </c>
      <c r="C412" t="str">
        <f t="shared" si="74"/>
        <v>Unique</v>
      </c>
      <c r="D412" s="4">
        <v>45630</v>
      </c>
      <c r="E412">
        <f t="shared" si="75"/>
        <v>-228</v>
      </c>
      <c r="F412" s="4">
        <v>45402</v>
      </c>
      <c r="G412" t="s">
        <v>1353</v>
      </c>
      <c r="H412" t="s">
        <v>160</v>
      </c>
      <c r="I412" t="str">
        <f t="shared" si="76"/>
        <v>Diya Patel</v>
      </c>
      <c r="J412" t="s">
        <v>22</v>
      </c>
      <c r="K412" t="str">
        <f t="shared" si="77"/>
        <v>Consumer</v>
      </c>
      <c r="L412" t="s">
        <v>61</v>
      </c>
      <c r="M412" t="str">
        <f t="shared" si="84"/>
        <v>West</v>
      </c>
      <c r="N412" t="s">
        <v>188</v>
      </c>
      <c r="O412" t="str">
        <f t="shared" si="78"/>
        <v>Goa</v>
      </c>
      <c r="P412" t="s">
        <v>189</v>
      </c>
      <c r="Q412" t="str">
        <f t="shared" si="79"/>
        <v>Panaji</v>
      </c>
      <c r="R412" t="s">
        <v>39</v>
      </c>
      <c r="S412" t="str">
        <f t="shared" si="80"/>
        <v>Furniture</v>
      </c>
      <c r="T412" t="s">
        <v>40</v>
      </c>
      <c r="U412" t="str">
        <f t="shared" si="81"/>
        <v>Tables</v>
      </c>
      <c r="V412" t="s">
        <v>1354</v>
      </c>
      <c r="X412" t="s">
        <v>48</v>
      </c>
      <c r="Y412" t="str">
        <f t="shared" si="82"/>
        <v>First Class</v>
      </c>
      <c r="Z412">
        <v>9</v>
      </c>
      <c r="AA412">
        <v>1302.6099999999999</v>
      </c>
      <c r="AB412">
        <v>0.2</v>
      </c>
      <c r="AC412">
        <v>9378.7900000000009</v>
      </c>
      <c r="AD412">
        <v>6774.48</v>
      </c>
      <c r="AE412">
        <v>2604.31</v>
      </c>
      <c r="AF412" t="s">
        <v>30</v>
      </c>
      <c r="AG412" t="str">
        <f t="shared" si="83"/>
        <v>Paid</v>
      </c>
      <c r="AH412" t="s">
        <v>31</v>
      </c>
    </row>
    <row r="413" spans="1:34">
      <c r="A413" t="s">
        <v>1355</v>
      </c>
      <c r="B413">
        <f>COUNTIF($A:$A,A413)</f>
        <v>1</v>
      </c>
      <c r="C413" t="str">
        <f t="shared" si="74"/>
        <v>Unique</v>
      </c>
      <c r="D413" s="4">
        <v>45892</v>
      </c>
      <c r="E413">
        <f t="shared" si="75"/>
        <v>5</v>
      </c>
      <c r="F413" s="4">
        <v>45897</v>
      </c>
      <c r="G413" t="s">
        <v>1356</v>
      </c>
      <c r="H413" t="s">
        <v>51</v>
      </c>
      <c r="I413" t="str">
        <f t="shared" si="76"/>
        <v>Arjun Bose</v>
      </c>
      <c r="J413" t="s">
        <v>93</v>
      </c>
      <c r="K413" t="str">
        <f t="shared" si="77"/>
        <v>Home Office</v>
      </c>
      <c r="L413" t="s">
        <v>61</v>
      </c>
      <c r="M413" t="str">
        <f t="shared" si="84"/>
        <v>West</v>
      </c>
      <c r="N413" t="s">
        <v>24</v>
      </c>
      <c r="O413" t="str">
        <f t="shared" si="78"/>
        <v>Rajasthan</v>
      </c>
      <c r="P413" t="s">
        <v>107</v>
      </c>
      <c r="Q413" t="str">
        <f t="shared" si="79"/>
        <v>Udaipur</v>
      </c>
      <c r="R413" t="s">
        <v>39</v>
      </c>
      <c r="S413" t="str">
        <f t="shared" si="80"/>
        <v>Furniture</v>
      </c>
      <c r="T413" t="s">
        <v>40</v>
      </c>
      <c r="U413" t="str">
        <f t="shared" si="81"/>
        <v>Tables</v>
      </c>
      <c r="V413" t="s">
        <v>1357</v>
      </c>
      <c r="X413" t="s">
        <v>48</v>
      </c>
      <c r="Y413" t="str">
        <f t="shared" si="82"/>
        <v>First Class</v>
      </c>
      <c r="Z413">
        <v>1</v>
      </c>
      <c r="AA413">
        <v>4167.8100000000004</v>
      </c>
      <c r="AB413">
        <v>0.2</v>
      </c>
      <c r="AC413">
        <v>3334.25</v>
      </c>
      <c r="AD413">
        <v>2768.77</v>
      </c>
      <c r="AE413">
        <v>565.48</v>
      </c>
      <c r="AF413" t="s">
        <v>153</v>
      </c>
      <c r="AG413" t="str">
        <f t="shared" si="83"/>
        <v>Failed</v>
      </c>
      <c r="AH413" t="s">
        <v>101</v>
      </c>
    </row>
    <row r="414" spans="1:34">
      <c r="A414" t="s">
        <v>1358</v>
      </c>
      <c r="B414">
        <f>COUNTIF($A:$A,A414)</f>
        <v>1</v>
      </c>
      <c r="C414" t="str">
        <f t="shared" si="74"/>
        <v>Unique</v>
      </c>
      <c r="D414" s="4">
        <v>45313</v>
      </c>
      <c r="E414">
        <f t="shared" si="75"/>
        <v>8</v>
      </c>
      <c r="F414" s="4">
        <v>45321</v>
      </c>
      <c r="G414" t="s">
        <v>1359</v>
      </c>
      <c r="H414" t="s">
        <v>45</v>
      </c>
      <c r="I414" t="str">
        <f t="shared" si="76"/>
        <v>Isha Nair</v>
      </c>
      <c r="J414" t="s">
        <v>88</v>
      </c>
      <c r="K414" t="str">
        <f t="shared" si="77"/>
        <v>Corporate</v>
      </c>
      <c r="L414" t="s">
        <v>52</v>
      </c>
      <c r="M414" t="str">
        <f t="shared" si="84"/>
        <v>South</v>
      </c>
      <c r="N414" t="s">
        <v>173</v>
      </c>
      <c r="O414" t="str">
        <f t="shared" si="78"/>
        <v>Karnataka</v>
      </c>
      <c r="P414" t="s">
        <v>174</v>
      </c>
      <c r="Q414" t="str">
        <f t="shared" si="79"/>
        <v>Bengaluru</v>
      </c>
      <c r="R414" t="s">
        <v>39</v>
      </c>
      <c r="S414" t="str">
        <f t="shared" si="80"/>
        <v>Furniture</v>
      </c>
      <c r="T414" t="s">
        <v>64</v>
      </c>
      <c r="U414" t="str">
        <f t="shared" si="81"/>
        <v>Chairs</v>
      </c>
      <c r="V414" t="s">
        <v>1360</v>
      </c>
      <c r="X414" t="s">
        <v>42</v>
      </c>
      <c r="Y414" t="str">
        <f t="shared" si="82"/>
        <v>Same Day</v>
      </c>
      <c r="Z414">
        <v>1</v>
      </c>
      <c r="AA414">
        <v>2111.39</v>
      </c>
      <c r="AB414">
        <v>0.25</v>
      </c>
      <c r="AC414">
        <v>1583.54</v>
      </c>
      <c r="AD414">
        <v>1014.19</v>
      </c>
      <c r="AE414">
        <v>569.35</v>
      </c>
      <c r="AF414" t="s">
        <v>30</v>
      </c>
      <c r="AG414" t="str">
        <f t="shared" si="83"/>
        <v>Paid</v>
      </c>
      <c r="AH414" t="s">
        <v>31</v>
      </c>
    </row>
    <row r="415" spans="1:34">
      <c r="A415" t="s">
        <v>1361</v>
      </c>
      <c r="B415">
        <f>COUNTIF($A:$A,A415)</f>
        <v>1</v>
      </c>
      <c r="C415" t="str">
        <f t="shared" si="74"/>
        <v>Unique</v>
      </c>
      <c r="D415" s="4">
        <v>45882</v>
      </c>
      <c r="E415">
        <f t="shared" si="75"/>
        <v>4</v>
      </c>
      <c r="F415" s="4">
        <v>45886</v>
      </c>
      <c r="G415" t="s">
        <v>1362</v>
      </c>
      <c r="H415" t="s">
        <v>77</v>
      </c>
      <c r="I415" t="str">
        <f t="shared" si="76"/>
        <v>Neha Gupta</v>
      </c>
      <c r="J415" t="s">
        <v>93</v>
      </c>
      <c r="K415" t="str">
        <f t="shared" si="77"/>
        <v>Home Office</v>
      </c>
      <c r="L415" t="s">
        <v>61</v>
      </c>
      <c r="M415" t="str">
        <f t="shared" si="84"/>
        <v>West</v>
      </c>
      <c r="N415" t="s">
        <v>70</v>
      </c>
      <c r="O415" t="str">
        <f t="shared" si="78"/>
        <v>Madhya Pradesh</v>
      </c>
      <c r="P415" t="s">
        <v>71</v>
      </c>
      <c r="Q415" t="str">
        <f t="shared" si="79"/>
        <v>Indore</v>
      </c>
      <c r="R415" t="s">
        <v>72</v>
      </c>
      <c r="S415" t="str">
        <f t="shared" si="80"/>
        <v>Technology</v>
      </c>
      <c r="T415" t="s">
        <v>73</v>
      </c>
      <c r="U415" t="str">
        <f t="shared" si="81"/>
        <v>Accessories</v>
      </c>
      <c r="V415" t="s">
        <v>1363</v>
      </c>
      <c r="X415" t="s">
        <v>29</v>
      </c>
      <c r="Y415" t="str">
        <f t="shared" si="82"/>
        <v>Second Class</v>
      </c>
      <c r="Z415">
        <v>8</v>
      </c>
      <c r="AA415">
        <v>1918.23</v>
      </c>
      <c r="AB415">
        <v>0</v>
      </c>
      <c r="AC415">
        <v>15345.84</v>
      </c>
      <c r="AD415">
        <v>10735.33</v>
      </c>
      <c r="AE415">
        <v>4610.51</v>
      </c>
      <c r="AF415" t="s">
        <v>109</v>
      </c>
      <c r="AG415" t="str">
        <f t="shared" si="83"/>
        <v>Pending</v>
      </c>
      <c r="AH415" t="s">
        <v>66</v>
      </c>
    </row>
    <row r="416" spans="1:34">
      <c r="A416" t="s">
        <v>1364</v>
      </c>
      <c r="B416">
        <f>COUNTIF($A:$A,A416)</f>
        <v>1</v>
      </c>
      <c r="C416" t="str">
        <f t="shared" si="74"/>
        <v>Unique</v>
      </c>
      <c r="D416" s="4">
        <v>45533</v>
      </c>
      <c r="E416">
        <f t="shared" si="75"/>
        <v>1</v>
      </c>
      <c r="F416" s="4">
        <v>45534</v>
      </c>
      <c r="G416" t="s">
        <v>1365</v>
      </c>
      <c r="H416" t="s">
        <v>51</v>
      </c>
      <c r="I416" t="str">
        <f t="shared" si="76"/>
        <v>Arjun Bose</v>
      </c>
      <c r="J416" t="s">
        <v>93</v>
      </c>
      <c r="K416" t="str">
        <f t="shared" si="77"/>
        <v>Home Office</v>
      </c>
      <c r="L416" t="s">
        <v>36</v>
      </c>
      <c r="M416" t="str">
        <f t="shared" si="84"/>
        <v>East</v>
      </c>
      <c r="N416" t="s">
        <v>164</v>
      </c>
      <c r="O416" t="str">
        <f t="shared" si="78"/>
        <v>Assam</v>
      </c>
      <c r="P416" t="s">
        <v>165</v>
      </c>
      <c r="Q416" t="str">
        <f t="shared" si="79"/>
        <v>Guwahati</v>
      </c>
      <c r="R416" t="s">
        <v>26</v>
      </c>
      <c r="S416" t="str">
        <f t="shared" si="80"/>
        <v>Office Supplies</v>
      </c>
      <c r="T416" t="s">
        <v>122</v>
      </c>
      <c r="U416" t="str">
        <f t="shared" si="81"/>
        <v>Storage</v>
      </c>
      <c r="V416" t="s">
        <v>1366</v>
      </c>
      <c r="X416" t="s">
        <v>48</v>
      </c>
      <c r="Y416" t="str">
        <f t="shared" si="82"/>
        <v>First Class</v>
      </c>
      <c r="Z416">
        <v>4</v>
      </c>
      <c r="AA416">
        <v>2484.08</v>
      </c>
      <c r="AB416">
        <v>0.05</v>
      </c>
      <c r="AC416">
        <v>9439.5</v>
      </c>
      <c r="AD416">
        <v>5519.39</v>
      </c>
      <c r="AE416">
        <v>3920.11</v>
      </c>
      <c r="AF416" t="s">
        <v>30</v>
      </c>
      <c r="AG416" t="str">
        <f t="shared" si="83"/>
        <v>Paid</v>
      </c>
      <c r="AH416" t="s">
        <v>31</v>
      </c>
    </row>
    <row r="417" spans="1:34">
      <c r="A417" t="s">
        <v>1367</v>
      </c>
      <c r="B417">
        <f>COUNTIF($A:$A,A417)</f>
        <v>1</v>
      </c>
      <c r="C417" t="str">
        <f t="shared" si="74"/>
        <v>Unique</v>
      </c>
      <c r="D417" s="4">
        <v>45316</v>
      </c>
      <c r="E417">
        <f t="shared" si="75"/>
        <v>2</v>
      </c>
      <c r="F417" s="4">
        <v>45318</v>
      </c>
      <c r="G417" t="s">
        <v>1368</v>
      </c>
      <c r="H417" t="s">
        <v>126</v>
      </c>
      <c r="I417" t="str">
        <f t="shared" si="76"/>
        <v>Aarav Sharma</v>
      </c>
      <c r="J417" t="s">
        <v>88</v>
      </c>
      <c r="K417" t="str">
        <f t="shared" si="77"/>
        <v>Corporate</v>
      </c>
      <c r="L417" t="s">
        <v>52</v>
      </c>
      <c r="M417" t="str">
        <f t="shared" si="84"/>
        <v>South</v>
      </c>
      <c r="N417" t="s">
        <v>173</v>
      </c>
      <c r="O417" t="str">
        <f t="shared" si="78"/>
        <v>Karnataka</v>
      </c>
      <c r="P417" t="s">
        <v>174</v>
      </c>
      <c r="Q417" t="str">
        <f t="shared" si="79"/>
        <v>Bengaluru</v>
      </c>
      <c r="R417" t="s">
        <v>26</v>
      </c>
      <c r="S417" t="str">
        <f t="shared" si="80"/>
        <v>Office Supplies</v>
      </c>
      <c r="T417" t="s">
        <v>122</v>
      </c>
      <c r="U417" t="str">
        <f t="shared" si="81"/>
        <v>Storage</v>
      </c>
      <c r="V417" t="s">
        <v>1369</v>
      </c>
      <c r="X417" t="s">
        <v>42</v>
      </c>
      <c r="Y417" t="str">
        <f t="shared" si="82"/>
        <v>Same Day</v>
      </c>
      <c r="Z417">
        <v>7</v>
      </c>
      <c r="AA417">
        <v>1727.26</v>
      </c>
      <c r="AB417">
        <v>0.15</v>
      </c>
      <c r="AC417">
        <v>10277.200000000001</v>
      </c>
      <c r="AD417">
        <v>7906.5</v>
      </c>
      <c r="AE417">
        <v>2370.6999999999998</v>
      </c>
      <c r="AF417" t="s">
        <v>30</v>
      </c>
      <c r="AG417" t="str">
        <f t="shared" si="83"/>
        <v>Paid</v>
      </c>
      <c r="AH417" t="s">
        <v>101</v>
      </c>
    </row>
    <row r="418" spans="1:34">
      <c r="A418" t="s">
        <v>1370</v>
      </c>
      <c r="B418">
        <f>COUNTIF($A:$A,A418)</f>
        <v>1</v>
      </c>
      <c r="C418" t="str">
        <f t="shared" si="74"/>
        <v>Unique</v>
      </c>
      <c r="D418" s="4">
        <v>45870</v>
      </c>
      <c r="E418">
        <f t="shared" si="75"/>
        <v>-197</v>
      </c>
      <c r="F418" s="4">
        <v>45673</v>
      </c>
      <c r="G418" t="s">
        <v>1371</v>
      </c>
      <c r="H418" t="s">
        <v>77</v>
      </c>
      <c r="I418" t="str">
        <f t="shared" si="76"/>
        <v>Neha Gupta</v>
      </c>
      <c r="J418" t="s">
        <v>22</v>
      </c>
      <c r="K418" t="str">
        <f t="shared" si="77"/>
        <v>Consumer</v>
      </c>
      <c r="L418" t="s">
        <v>52</v>
      </c>
      <c r="M418" t="str">
        <f t="shared" si="84"/>
        <v>South</v>
      </c>
      <c r="N418" t="s">
        <v>53</v>
      </c>
      <c r="O418" t="str">
        <f t="shared" si="78"/>
        <v>Telangana</v>
      </c>
      <c r="P418" t="s">
        <v>54</v>
      </c>
      <c r="Q418" t="str">
        <f t="shared" si="79"/>
        <v>Hyderabad</v>
      </c>
      <c r="R418" t="s">
        <v>39</v>
      </c>
      <c r="S418" t="str">
        <f t="shared" si="80"/>
        <v>Furniture</v>
      </c>
      <c r="T418" t="s">
        <v>55</v>
      </c>
      <c r="U418" t="str">
        <f t="shared" si="81"/>
        <v>Furnishings</v>
      </c>
      <c r="V418" t="s">
        <v>1372</v>
      </c>
      <c r="X418" t="s">
        <v>48</v>
      </c>
      <c r="Y418" t="str">
        <f t="shared" si="82"/>
        <v>First Class</v>
      </c>
      <c r="Z418">
        <v>8</v>
      </c>
      <c r="AA418">
        <v>638.95000000000005</v>
      </c>
      <c r="AB418">
        <v>0.25</v>
      </c>
      <c r="AC418">
        <v>3833.7</v>
      </c>
      <c r="AD418">
        <v>2886.35</v>
      </c>
      <c r="AE418">
        <v>947.35</v>
      </c>
      <c r="AF418" t="s">
        <v>30</v>
      </c>
      <c r="AG418" t="str">
        <f t="shared" si="83"/>
        <v>Paid</v>
      </c>
      <c r="AH418" t="s">
        <v>31</v>
      </c>
    </row>
    <row r="419" spans="1:34">
      <c r="A419" t="s">
        <v>1373</v>
      </c>
      <c r="B419">
        <f>COUNTIF($A:$A,A419)</f>
        <v>1</v>
      </c>
      <c r="C419" t="str">
        <f t="shared" si="74"/>
        <v>Unique</v>
      </c>
      <c r="D419" s="4">
        <v>45686</v>
      </c>
      <c r="E419">
        <f t="shared" si="75"/>
        <v>7</v>
      </c>
      <c r="F419" s="4">
        <v>45693</v>
      </c>
      <c r="G419" t="s">
        <v>1374</v>
      </c>
      <c r="H419" t="s">
        <v>34</v>
      </c>
      <c r="I419" t="str">
        <f t="shared" si="76"/>
        <v>Mira Das</v>
      </c>
      <c r="J419" t="s">
        <v>22</v>
      </c>
      <c r="K419" t="str">
        <f t="shared" si="77"/>
        <v>Consumer</v>
      </c>
      <c r="L419" t="s">
        <v>61</v>
      </c>
      <c r="M419" t="str">
        <f t="shared" si="84"/>
        <v>West</v>
      </c>
      <c r="N419" t="s">
        <v>178</v>
      </c>
      <c r="O419" t="str">
        <f t="shared" si="78"/>
        <v>Gujarat</v>
      </c>
      <c r="P419" t="s">
        <v>179</v>
      </c>
      <c r="Q419" t="str">
        <f t="shared" si="79"/>
        <v>Ahmedabad</v>
      </c>
      <c r="R419" t="s">
        <v>26</v>
      </c>
      <c r="S419" t="str">
        <f t="shared" si="80"/>
        <v>Office Supplies</v>
      </c>
      <c r="T419" t="s">
        <v>46</v>
      </c>
      <c r="U419" t="str">
        <f t="shared" si="81"/>
        <v>Art</v>
      </c>
      <c r="V419" t="s">
        <v>1375</v>
      </c>
      <c r="X419" t="s">
        <v>48</v>
      </c>
      <c r="Y419" t="str">
        <f t="shared" si="82"/>
        <v>First Class</v>
      </c>
      <c r="Z419">
        <v>6</v>
      </c>
      <c r="AA419">
        <v>3863</v>
      </c>
      <c r="AB419">
        <v>0.2</v>
      </c>
      <c r="AC419">
        <v>18542.400000000001</v>
      </c>
      <c r="AD419">
        <v>11193.75</v>
      </c>
      <c r="AE419">
        <v>7348.65</v>
      </c>
      <c r="AF419" t="s">
        <v>30</v>
      </c>
      <c r="AG419" t="str">
        <f t="shared" si="83"/>
        <v>Paid</v>
      </c>
      <c r="AH419" t="s">
        <v>31</v>
      </c>
    </row>
    <row r="420" spans="1:34">
      <c r="A420" t="s">
        <v>1376</v>
      </c>
      <c r="B420">
        <f>COUNTIF($A:$A,A420)</f>
        <v>1</v>
      </c>
      <c r="C420" t="str">
        <f t="shared" si="74"/>
        <v>Unique</v>
      </c>
      <c r="D420" s="4">
        <v>45605</v>
      </c>
      <c r="E420">
        <f t="shared" si="75"/>
        <v>8</v>
      </c>
      <c r="F420" s="4">
        <v>45613</v>
      </c>
      <c r="G420" t="s">
        <v>1377</v>
      </c>
      <c r="H420" t="s">
        <v>130</v>
      </c>
      <c r="I420" t="str">
        <f t="shared" si="76"/>
        <v>Sneha Kapoor</v>
      </c>
      <c r="J420" t="s">
        <v>88</v>
      </c>
      <c r="K420" t="str">
        <f t="shared" si="77"/>
        <v>Corporate</v>
      </c>
      <c r="L420" t="s">
        <v>36</v>
      </c>
      <c r="M420" t="str">
        <f t="shared" si="84"/>
        <v>East</v>
      </c>
      <c r="N420" t="s">
        <v>37</v>
      </c>
      <c r="O420" t="str">
        <f t="shared" si="78"/>
        <v>Odisha</v>
      </c>
      <c r="P420" t="s">
        <v>38</v>
      </c>
      <c r="Q420" t="str">
        <f t="shared" si="79"/>
        <v>Bhubaneswar</v>
      </c>
      <c r="R420" t="s">
        <v>72</v>
      </c>
      <c r="S420" t="str">
        <f t="shared" si="80"/>
        <v>Technology</v>
      </c>
      <c r="T420" t="s">
        <v>78</v>
      </c>
      <c r="U420" t="str">
        <f t="shared" si="81"/>
        <v>Copiers</v>
      </c>
      <c r="V420" t="s">
        <v>1378</v>
      </c>
      <c r="X420" t="s">
        <v>57</v>
      </c>
      <c r="Y420" t="str">
        <f t="shared" si="82"/>
        <v>Standard Class</v>
      </c>
      <c r="Z420">
        <v>6</v>
      </c>
      <c r="AA420">
        <v>3660.4</v>
      </c>
      <c r="AB420">
        <v>0</v>
      </c>
      <c r="AC420">
        <v>21962.400000000001</v>
      </c>
      <c r="AD420">
        <v>15331.99</v>
      </c>
      <c r="AE420">
        <v>6630.41</v>
      </c>
      <c r="AF420" t="s">
        <v>153</v>
      </c>
      <c r="AG420" t="str">
        <f t="shared" si="83"/>
        <v>Failed</v>
      </c>
      <c r="AH420" t="s">
        <v>66</v>
      </c>
    </row>
    <row r="421" spans="1:34">
      <c r="A421" t="s">
        <v>1379</v>
      </c>
      <c r="B421">
        <f>COUNTIF($A:$A,A421)</f>
        <v>1</v>
      </c>
      <c r="C421" t="str">
        <f t="shared" si="74"/>
        <v>Unique</v>
      </c>
      <c r="D421" s="4">
        <v>45926</v>
      </c>
      <c r="E421">
        <f t="shared" si="75"/>
        <v>4</v>
      </c>
      <c r="F421" s="4">
        <v>45930</v>
      </c>
      <c r="G421" t="s">
        <v>1380</v>
      </c>
      <c r="H421" t="s">
        <v>130</v>
      </c>
      <c r="I421" t="str">
        <f t="shared" si="76"/>
        <v>Sneha Kapoor</v>
      </c>
      <c r="J421" t="s">
        <v>93</v>
      </c>
      <c r="K421" t="str">
        <f t="shared" si="77"/>
        <v>Home Office</v>
      </c>
      <c r="L421" t="s">
        <v>23</v>
      </c>
      <c r="M421" t="str">
        <f t="shared" si="84"/>
        <v>North</v>
      </c>
      <c r="N421" t="s">
        <v>235</v>
      </c>
      <c r="O421" t="str">
        <f t="shared" si="78"/>
        <v>Haryana</v>
      </c>
      <c r="P421" t="s">
        <v>236</v>
      </c>
      <c r="Q421" t="str">
        <f t="shared" si="79"/>
        <v>Gurugram</v>
      </c>
      <c r="R421" t="s">
        <v>72</v>
      </c>
      <c r="S421" t="str">
        <f t="shared" si="80"/>
        <v>Technology</v>
      </c>
      <c r="T421" t="s">
        <v>169</v>
      </c>
      <c r="U421" t="str">
        <f t="shared" si="81"/>
        <v>Phones</v>
      </c>
      <c r="V421" t="s">
        <v>1381</v>
      </c>
      <c r="X421" t="s">
        <v>42</v>
      </c>
      <c r="Y421" t="str">
        <f t="shared" si="82"/>
        <v>Same Day</v>
      </c>
      <c r="Z421">
        <v>2</v>
      </c>
      <c r="AA421">
        <v>688.83</v>
      </c>
      <c r="AB421">
        <v>0.05</v>
      </c>
      <c r="AC421">
        <v>1308.78</v>
      </c>
      <c r="AD421">
        <v>843</v>
      </c>
      <c r="AE421">
        <v>465.78</v>
      </c>
      <c r="AF421" t="s">
        <v>30</v>
      </c>
      <c r="AG421" t="str">
        <f t="shared" si="83"/>
        <v>Paid</v>
      </c>
      <c r="AH421" t="s">
        <v>31</v>
      </c>
    </row>
    <row r="422" spans="1:34">
      <c r="A422" t="s">
        <v>1382</v>
      </c>
      <c r="B422">
        <f>COUNTIF($A:$A,A422)</f>
        <v>1</v>
      </c>
      <c r="C422" t="str">
        <f t="shared" si="74"/>
        <v>Unique</v>
      </c>
      <c r="D422" s="4">
        <v>45734</v>
      </c>
      <c r="E422">
        <f t="shared" si="75"/>
        <v>1</v>
      </c>
      <c r="F422" s="4">
        <v>45735</v>
      </c>
      <c r="G422" t="s">
        <v>1383</v>
      </c>
      <c r="H422" t="s">
        <v>45</v>
      </c>
      <c r="I422" t="str">
        <f t="shared" si="76"/>
        <v>Isha Nair</v>
      </c>
      <c r="J422" t="s">
        <v>88</v>
      </c>
      <c r="K422" t="str">
        <f t="shared" si="77"/>
        <v>Corporate</v>
      </c>
      <c r="L422" t="s">
        <v>52</v>
      </c>
      <c r="M422" t="str">
        <f t="shared" si="84"/>
        <v>South</v>
      </c>
      <c r="N422" t="s">
        <v>246</v>
      </c>
      <c r="O422" t="str">
        <f t="shared" si="78"/>
        <v>Tamil Nadu</v>
      </c>
      <c r="P422" t="s">
        <v>247</v>
      </c>
      <c r="Q422" t="str">
        <f t="shared" si="79"/>
        <v>Chennai</v>
      </c>
      <c r="R422" t="s">
        <v>72</v>
      </c>
      <c r="S422" t="str">
        <f t="shared" si="80"/>
        <v>Technology</v>
      </c>
      <c r="T422" t="s">
        <v>273</v>
      </c>
      <c r="U422" t="str">
        <f t="shared" si="81"/>
        <v>Machines</v>
      </c>
      <c r="V422" t="s">
        <v>1384</v>
      </c>
      <c r="X422" t="s">
        <v>57</v>
      </c>
      <c r="Y422" t="str">
        <f t="shared" si="82"/>
        <v>Standard Class</v>
      </c>
      <c r="Z422">
        <v>2</v>
      </c>
      <c r="AA422">
        <v>1209.99</v>
      </c>
      <c r="AB422">
        <v>0.25</v>
      </c>
      <c r="AC422">
        <v>1814.99</v>
      </c>
      <c r="AD422">
        <v>1120.06</v>
      </c>
      <c r="AE422">
        <v>694.93</v>
      </c>
      <c r="AF422" t="s">
        <v>109</v>
      </c>
      <c r="AG422" t="str">
        <f t="shared" si="83"/>
        <v>Pending</v>
      </c>
      <c r="AH422" t="s">
        <v>66</v>
      </c>
    </row>
    <row r="423" spans="1:34">
      <c r="A423" t="s">
        <v>1385</v>
      </c>
      <c r="B423">
        <f>COUNTIF($A:$A,A423)</f>
        <v>1</v>
      </c>
      <c r="C423" t="str">
        <f t="shared" si="74"/>
        <v>Unique</v>
      </c>
      <c r="D423" s="4">
        <v>45822</v>
      </c>
      <c r="E423">
        <f t="shared" si="75"/>
        <v>5</v>
      </c>
      <c r="F423" s="4">
        <v>45827</v>
      </c>
      <c r="G423" t="s">
        <v>1386</v>
      </c>
      <c r="H423" t="s">
        <v>139</v>
      </c>
      <c r="I423" t="str">
        <f t="shared" si="76"/>
        <v>Rohan Mehta</v>
      </c>
      <c r="J423" t="s">
        <v>35</v>
      </c>
      <c r="K423" t="str">
        <f t="shared" si="77"/>
        <v>Small Business</v>
      </c>
      <c r="L423" t="s">
        <v>23</v>
      </c>
      <c r="M423" t="str">
        <f t="shared" si="84"/>
        <v>North</v>
      </c>
      <c r="N423" t="s">
        <v>349</v>
      </c>
      <c r="O423" t="str">
        <f t="shared" si="78"/>
        <v>Delhi</v>
      </c>
      <c r="P423" t="s">
        <v>350</v>
      </c>
      <c r="Q423" t="str">
        <f t="shared" si="79"/>
        <v>New Delhi</v>
      </c>
      <c r="R423" t="s">
        <v>26</v>
      </c>
      <c r="S423" t="str">
        <f t="shared" si="80"/>
        <v>Office Supplies</v>
      </c>
      <c r="T423" t="s">
        <v>151</v>
      </c>
      <c r="U423" t="str">
        <f t="shared" si="81"/>
        <v>Binders</v>
      </c>
      <c r="V423" t="s">
        <v>1387</v>
      </c>
      <c r="X423" t="s">
        <v>42</v>
      </c>
      <c r="Y423" t="str">
        <f t="shared" si="82"/>
        <v>Same Day</v>
      </c>
      <c r="Z423">
        <v>3</v>
      </c>
      <c r="AA423">
        <v>1037.45</v>
      </c>
      <c r="AB423">
        <v>0.2</v>
      </c>
      <c r="AC423">
        <v>2489.88</v>
      </c>
      <c r="AD423">
        <v>1707.52</v>
      </c>
      <c r="AE423">
        <v>782.36</v>
      </c>
      <c r="AF423" t="s">
        <v>109</v>
      </c>
      <c r="AG423" t="str">
        <f t="shared" si="83"/>
        <v>Pending</v>
      </c>
      <c r="AH423" t="s">
        <v>101</v>
      </c>
    </row>
    <row r="424" spans="1:34">
      <c r="A424" t="s">
        <v>1388</v>
      </c>
      <c r="B424">
        <f>COUNTIF($A:$A,A424)</f>
        <v>1</v>
      </c>
      <c r="C424" t="str">
        <f t="shared" si="74"/>
        <v>Unique</v>
      </c>
      <c r="D424" s="4">
        <v>45903</v>
      </c>
      <c r="E424">
        <f t="shared" si="75"/>
        <v>-86</v>
      </c>
      <c r="F424" s="4">
        <v>45817</v>
      </c>
      <c r="G424" t="s">
        <v>1389</v>
      </c>
      <c r="H424" t="s">
        <v>263</v>
      </c>
      <c r="I424" t="str">
        <f t="shared" si="76"/>
        <v>Kabir Singh</v>
      </c>
      <c r="J424" t="s">
        <v>22</v>
      </c>
      <c r="K424" t="str">
        <f t="shared" si="77"/>
        <v>Consumer</v>
      </c>
      <c r="L424" t="s">
        <v>61</v>
      </c>
      <c r="M424" t="str">
        <f t="shared" si="84"/>
        <v>West</v>
      </c>
      <c r="N424" t="s">
        <v>70</v>
      </c>
      <c r="O424" t="str">
        <f t="shared" si="78"/>
        <v>Madhya Pradesh</v>
      </c>
      <c r="P424" t="s">
        <v>71</v>
      </c>
      <c r="Q424" t="str">
        <f t="shared" si="79"/>
        <v>Indore</v>
      </c>
      <c r="R424" t="s">
        <v>72</v>
      </c>
      <c r="S424" t="str">
        <f t="shared" si="80"/>
        <v>Technology</v>
      </c>
      <c r="T424" t="s">
        <v>78</v>
      </c>
      <c r="U424" t="str">
        <f t="shared" si="81"/>
        <v>Copiers</v>
      </c>
      <c r="V424" t="s">
        <v>1390</v>
      </c>
      <c r="X424" t="s">
        <v>42</v>
      </c>
      <c r="Y424" t="str">
        <f t="shared" si="82"/>
        <v>Same Day</v>
      </c>
      <c r="Z424">
        <v>7</v>
      </c>
      <c r="AA424">
        <v>688.85</v>
      </c>
      <c r="AB424">
        <v>0.15</v>
      </c>
      <c r="AC424">
        <v>4098.66</v>
      </c>
      <c r="AD424">
        <v>2678.06</v>
      </c>
      <c r="AE424">
        <v>1420.6</v>
      </c>
      <c r="AF424" t="s">
        <v>30</v>
      </c>
      <c r="AG424" t="str">
        <f t="shared" si="83"/>
        <v>Paid</v>
      </c>
      <c r="AH424" t="s">
        <v>31</v>
      </c>
    </row>
    <row r="425" spans="1:34">
      <c r="A425" t="s">
        <v>1391</v>
      </c>
      <c r="B425">
        <f>COUNTIF($A:$A,A425)</f>
        <v>1</v>
      </c>
      <c r="C425" t="str">
        <f t="shared" si="74"/>
        <v>Unique</v>
      </c>
      <c r="D425" s="4">
        <v>45342</v>
      </c>
      <c r="E425">
        <f t="shared" si="75"/>
        <v>7</v>
      </c>
      <c r="F425" s="4">
        <v>45349</v>
      </c>
      <c r="G425" t="s">
        <v>1392</v>
      </c>
      <c r="H425" t="s">
        <v>160</v>
      </c>
      <c r="I425" t="str">
        <f t="shared" si="76"/>
        <v>Diya Patel</v>
      </c>
      <c r="J425" t="s">
        <v>22</v>
      </c>
      <c r="K425" t="str">
        <f t="shared" si="77"/>
        <v>Consumer</v>
      </c>
      <c r="L425" t="s">
        <v>52</v>
      </c>
      <c r="M425" t="str">
        <f t="shared" si="84"/>
        <v>South</v>
      </c>
      <c r="N425" t="s">
        <v>183</v>
      </c>
      <c r="O425" t="str">
        <f t="shared" si="78"/>
        <v>Kerala</v>
      </c>
      <c r="P425" t="s">
        <v>184</v>
      </c>
      <c r="Q425" t="str">
        <f t="shared" si="79"/>
        <v>Kochi</v>
      </c>
      <c r="R425" t="s">
        <v>72</v>
      </c>
      <c r="S425" t="str">
        <f t="shared" si="80"/>
        <v>Technology</v>
      </c>
      <c r="T425" t="s">
        <v>73</v>
      </c>
      <c r="U425" t="str">
        <f t="shared" si="81"/>
        <v>Accessories</v>
      </c>
      <c r="V425" t="s">
        <v>1393</v>
      </c>
      <c r="X425" t="s">
        <v>1394</v>
      </c>
      <c r="Y425" t="str">
        <f t="shared" si="82"/>
        <v>First Class</v>
      </c>
      <c r="Z425">
        <v>9</v>
      </c>
      <c r="AA425">
        <v>3779.31</v>
      </c>
      <c r="AB425">
        <v>0.2</v>
      </c>
      <c r="AC425">
        <v>27211.03</v>
      </c>
      <c r="AD425">
        <v>17940.43</v>
      </c>
      <c r="AE425">
        <v>9270.6</v>
      </c>
      <c r="AF425" t="s">
        <v>30</v>
      </c>
      <c r="AG425" t="str">
        <f t="shared" si="83"/>
        <v>Paid</v>
      </c>
      <c r="AH425" t="s">
        <v>31</v>
      </c>
    </row>
    <row r="426" spans="1:34">
      <c r="A426" t="s">
        <v>1395</v>
      </c>
      <c r="B426">
        <f>COUNTIF($A:$A,A426)</f>
        <v>1</v>
      </c>
      <c r="C426" t="str">
        <f t="shared" si="74"/>
        <v>Unique</v>
      </c>
      <c r="D426" s="4">
        <v>45469</v>
      </c>
      <c r="E426">
        <f t="shared" si="75"/>
        <v>3</v>
      </c>
      <c r="F426" s="4">
        <v>45472</v>
      </c>
      <c r="G426" t="s">
        <v>1396</v>
      </c>
      <c r="H426" t="s">
        <v>77</v>
      </c>
      <c r="I426" t="str">
        <f t="shared" si="76"/>
        <v>Neha Gupta</v>
      </c>
      <c r="J426" t="s">
        <v>88</v>
      </c>
      <c r="K426" t="str">
        <f t="shared" si="77"/>
        <v>Corporate</v>
      </c>
      <c r="L426" t="s">
        <v>23</v>
      </c>
      <c r="M426" t="str">
        <f t="shared" si="84"/>
        <v>North</v>
      </c>
      <c r="N426" t="s">
        <v>120</v>
      </c>
      <c r="O426" t="str">
        <f t="shared" si="78"/>
        <v>Punjab</v>
      </c>
      <c r="P426" t="s">
        <v>121</v>
      </c>
      <c r="Q426" t="str">
        <f t="shared" si="79"/>
        <v>Ludhiana</v>
      </c>
      <c r="R426" t="s">
        <v>72</v>
      </c>
      <c r="S426" t="str">
        <f t="shared" si="80"/>
        <v>Technology</v>
      </c>
      <c r="T426" t="s">
        <v>169</v>
      </c>
      <c r="U426" t="str">
        <f t="shared" si="81"/>
        <v>Phones</v>
      </c>
      <c r="V426" t="s">
        <v>1397</v>
      </c>
      <c r="X426" t="s">
        <v>57</v>
      </c>
      <c r="Y426" t="str">
        <f t="shared" si="82"/>
        <v>Standard Class</v>
      </c>
      <c r="Z426">
        <v>8</v>
      </c>
      <c r="AA426">
        <v>804.52</v>
      </c>
      <c r="AB426">
        <v>0</v>
      </c>
      <c r="AC426">
        <v>6436.16</v>
      </c>
      <c r="AD426">
        <v>4263.83</v>
      </c>
      <c r="AE426">
        <v>2172.33</v>
      </c>
      <c r="AF426" t="s">
        <v>30</v>
      </c>
      <c r="AG426" t="str">
        <f t="shared" si="83"/>
        <v>Paid</v>
      </c>
      <c r="AH426" t="s">
        <v>31</v>
      </c>
    </row>
    <row r="427" spans="1:34">
      <c r="A427" t="s">
        <v>1398</v>
      </c>
      <c r="B427">
        <f>COUNTIF($A:$A,A427)</f>
        <v>1</v>
      </c>
      <c r="C427" t="str">
        <f t="shared" si="74"/>
        <v>Unique</v>
      </c>
      <c r="D427" s="4">
        <v>45561</v>
      </c>
      <c r="E427">
        <f t="shared" si="75"/>
        <v>1</v>
      </c>
      <c r="F427" s="4">
        <v>45562</v>
      </c>
      <c r="G427" t="s">
        <v>1399</v>
      </c>
      <c r="H427" t="s">
        <v>45</v>
      </c>
      <c r="I427" t="str">
        <f t="shared" si="76"/>
        <v>Isha Nair</v>
      </c>
      <c r="J427" t="s">
        <v>93</v>
      </c>
      <c r="K427" t="str">
        <f t="shared" si="77"/>
        <v>Home Office</v>
      </c>
      <c r="L427" t="s">
        <v>23</v>
      </c>
      <c r="M427" t="str">
        <f t="shared" si="84"/>
        <v>North</v>
      </c>
      <c r="N427" t="s">
        <v>349</v>
      </c>
      <c r="O427" t="str">
        <f t="shared" si="78"/>
        <v>Delhi</v>
      </c>
      <c r="P427" t="s">
        <v>350</v>
      </c>
      <c r="Q427" t="str">
        <f t="shared" si="79"/>
        <v>New Delhi</v>
      </c>
      <c r="R427" t="s">
        <v>26</v>
      </c>
      <c r="S427" t="str">
        <f t="shared" si="80"/>
        <v>Office Supplies</v>
      </c>
      <c r="T427" t="s">
        <v>89</v>
      </c>
      <c r="U427" t="str">
        <f t="shared" si="81"/>
        <v>Labels</v>
      </c>
      <c r="V427" t="s">
        <v>1400</v>
      </c>
      <c r="X427" t="s">
        <v>48</v>
      </c>
      <c r="Y427" t="str">
        <f t="shared" si="82"/>
        <v>First Class</v>
      </c>
      <c r="Z427">
        <v>2</v>
      </c>
      <c r="AA427">
        <v>1065.69</v>
      </c>
      <c r="AB427">
        <v>0.1</v>
      </c>
      <c r="AC427">
        <v>1918.24</v>
      </c>
      <c r="AD427">
        <v>1373.52</v>
      </c>
      <c r="AE427">
        <v>544.72</v>
      </c>
      <c r="AF427" t="s">
        <v>100</v>
      </c>
      <c r="AG427" t="str">
        <f t="shared" si="83"/>
        <v>Refunded</v>
      </c>
      <c r="AH427" t="s">
        <v>66</v>
      </c>
    </row>
    <row r="428" spans="1:34">
      <c r="A428" t="s">
        <v>1401</v>
      </c>
      <c r="B428">
        <f>COUNTIF($A:$A,A428)</f>
        <v>1</v>
      </c>
      <c r="C428" t="str">
        <f t="shared" si="74"/>
        <v>Unique</v>
      </c>
      <c r="D428" s="4">
        <v>45473</v>
      </c>
      <c r="E428">
        <f t="shared" si="75"/>
        <v>-175</v>
      </c>
      <c r="F428" s="4">
        <v>45298</v>
      </c>
      <c r="G428" t="s">
        <v>1402</v>
      </c>
      <c r="H428" t="s">
        <v>87</v>
      </c>
      <c r="I428" t="str">
        <f t="shared" si="76"/>
        <v>Aditi Sen</v>
      </c>
      <c r="J428" t="s">
        <v>22</v>
      </c>
      <c r="K428" t="str">
        <f t="shared" si="77"/>
        <v>Consumer</v>
      </c>
      <c r="L428" t="s">
        <v>23</v>
      </c>
      <c r="M428" t="str">
        <f t="shared" si="84"/>
        <v>North</v>
      </c>
      <c r="N428" t="s">
        <v>235</v>
      </c>
      <c r="O428" t="str">
        <f t="shared" si="78"/>
        <v>Haryana</v>
      </c>
      <c r="P428" t="s">
        <v>236</v>
      </c>
      <c r="Q428" t="str">
        <f t="shared" si="79"/>
        <v>Gurugram</v>
      </c>
      <c r="R428" t="s">
        <v>72</v>
      </c>
      <c r="S428" t="str">
        <f t="shared" si="80"/>
        <v>Technology</v>
      </c>
      <c r="T428" t="s">
        <v>78</v>
      </c>
      <c r="U428" t="str">
        <f t="shared" si="81"/>
        <v>Copiers</v>
      </c>
      <c r="V428" t="s">
        <v>1403</v>
      </c>
      <c r="X428" t="s">
        <v>42</v>
      </c>
      <c r="Y428" t="str">
        <f t="shared" si="82"/>
        <v>Same Day</v>
      </c>
      <c r="Z428">
        <v>8</v>
      </c>
      <c r="AA428">
        <v>3756.66</v>
      </c>
      <c r="AB428">
        <v>0.1</v>
      </c>
      <c r="AC428">
        <v>27047.95</v>
      </c>
      <c r="AD428">
        <v>18431.330000000002</v>
      </c>
      <c r="AE428">
        <v>8616.6200000000008</v>
      </c>
      <c r="AF428" t="s">
        <v>30</v>
      </c>
      <c r="AG428" t="str">
        <f t="shared" si="83"/>
        <v>Paid</v>
      </c>
      <c r="AH428" t="s">
        <v>31</v>
      </c>
    </row>
    <row r="429" spans="1:34">
      <c r="A429" t="s">
        <v>1404</v>
      </c>
      <c r="B429">
        <f>COUNTIF($A:$A,A429)</f>
        <v>1</v>
      </c>
      <c r="C429" t="str">
        <f t="shared" si="74"/>
        <v>Unique</v>
      </c>
      <c r="D429" s="4">
        <v>45769</v>
      </c>
      <c r="E429">
        <f t="shared" si="75"/>
        <v>2</v>
      </c>
      <c r="F429" s="4">
        <v>45771</v>
      </c>
      <c r="G429" t="s">
        <v>1405</v>
      </c>
      <c r="H429" t="s">
        <v>45</v>
      </c>
      <c r="I429" t="str">
        <f t="shared" si="76"/>
        <v>Isha Nair</v>
      </c>
      <c r="J429" t="s">
        <v>88</v>
      </c>
      <c r="K429" t="str">
        <f t="shared" si="77"/>
        <v>Corporate</v>
      </c>
      <c r="M429" t="s">
        <v>2828</v>
      </c>
      <c r="N429" t="s">
        <v>227</v>
      </c>
      <c r="O429" t="str">
        <f t="shared" si="78"/>
        <v>Jharkhand</v>
      </c>
      <c r="P429" t="s">
        <v>228</v>
      </c>
      <c r="Q429" t="str">
        <f t="shared" si="79"/>
        <v>Ranchi</v>
      </c>
      <c r="R429" t="s">
        <v>72</v>
      </c>
      <c r="S429" t="str">
        <f t="shared" si="80"/>
        <v>Technology</v>
      </c>
      <c r="T429" t="s">
        <v>73</v>
      </c>
      <c r="U429" t="str">
        <f t="shared" si="81"/>
        <v>Accessories</v>
      </c>
      <c r="V429" t="s">
        <v>1406</v>
      </c>
      <c r="X429" t="s">
        <v>212</v>
      </c>
      <c r="Y429" t="str">
        <f t="shared" si="82"/>
        <v>Standard Class</v>
      </c>
      <c r="Z429">
        <v>9</v>
      </c>
      <c r="AA429">
        <v>2939.44</v>
      </c>
      <c r="AB429">
        <v>0</v>
      </c>
      <c r="AC429">
        <v>26454.959999999999</v>
      </c>
      <c r="AD429">
        <v>17630.25</v>
      </c>
      <c r="AE429">
        <v>8824.7099999999991</v>
      </c>
      <c r="AF429" t="s">
        <v>30</v>
      </c>
      <c r="AG429" t="str">
        <f t="shared" si="83"/>
        <v>Paid</v>
      </c>
      <c r="AH429" t="s">
        <v>31</v>
      </c>
    </row>
    <row r="430" spans="1:34">
      <c r="A430" t="s">
        <v>1407</v>
      </c>
      <c r="B430">
        <f>COUNTIF($A:$A,A430)</f>
        <v>1</v>
      </c>
      <c r="C430" t="str">
        <f t="shared" si="74"/>
        <v>Unique</v>
      </c>
      <c r="D430" s="4">
        <v>45731</v>
      </c>
      <c r="E430">
        <f t="shared" si="75"/>
        <v>7</v>
      </c>
      <c r="F430" s="4">
        <v>45738</v>
      </c>
      <c r="G430" t="s">
        <v>1408</v>
      </c>
      <c r="H430" t="s">
        <v>21</v>
      </c>
      <c r="I430" t="str">
        <f t="shared" si="76"/>
        <v>Karan Malhotra</v>
      </c>
      <c r="J430" t="s">
        <v>35</v>
      </c>
      <c r="K430" t="str">
        <f t="shared" si="77"/>
        <v>Small Business</v>
      </c>
      <c r="L430" t="s">
        <v>36</v>
      </c>
      <c r="M430" t="str">
        <f t="shared" ref="M430:M461" si="85">PROPER(TRIM(L430))</f>
        <v>East</v>
      </c>
      <c r="N430" t="s">
        <v>97</v>
      </c>
      <c r="O430" t="str">
        <f t="shared" si="78"/>
        <v>West Bengal</v>
      </c>
      <c r="P430" t="s">
        <v>98</v>
      </c>
      <c r="Q430" t="str">
        <f t="shared" si="79"/>
        <v>Kolkata</v>
      </c>
      <c r="R430" t="s">
        <v>72</v>
      </c>
      <c r="S430" t="str">
        <f t="shared" si="80"/>
        <v>Technology</v>
      </c>
      <c r="T430" t="s">
        <v>169</v>
      </c>
      <c r="U430" t="str">
        <f t="shared" si="81"/>
        <v>Phones</v>
      </c>
      <c r="V430" t="s">
        <v>1409</v>
      </c>
      <c r="X430" t="s">
        <v>42</v>
      </c>
      <c r="Y430" t="str">
        <f t="shared" si="82"/>
        <v>Same Day</v>
      </c>
      <c r="Z430">
        <v>2</v>
      </c>
      <c r="AA430">
        <v>1235.93</v>
      </c>
      <c r="AB430">
        <v>0.25</v>
      </c>
      <c r="AC430">
        <v>1853.89</v>
      </c>
      <c r="AD430">
        <v>1101.23</v>
      </c>
      <c r="AE430">
        <v>752.66</v>
      </c>
      <c r="AF430" t="s">
        <v>109</v>
      </c>
      <c r="AG430" t="str">
        <f t="shared" si="83"/>
        <v>Pending</v>
      </c>
      <c r="AH430" t="s">
        <v>66</v>
      </c>
    </row>
    <row r="431" spans="1:34">
      <c r="A431" t="s">
        <v>1410</v>
      </c>
      <c r="B431">
        <f>COUNTIF($A:$A,A431)</f>
        <v>1</v>
      </c>
      <c r="C431" t="str">
        <f t="shared" si="74"/>
        <v>Unique</v>
      </c>
      <c r="D431" s="4">
        <v>45660</v>
      </c>
      <c r="E431">
        <f t="shared" si="75"/>
        <v>212</v>
      </c>
      <c r="F431" s="4">
        <v>45872</v>
      </c>
      <c r="G431" t="s">
        <v>1411</v>
      </c>
      <c r="H431" t="s">
        <v>77</v>
      </c>
      <c r="I431" t="str">
        <f t="shared" si="76"/>
        <v>Neha Gupta</v>
      </c>
      <c r="J431" t="s">
        <v>93</v>
      </c>
      <c r="K431" t="str">
        <f t="shared" si="77"/>
        <v>Home Office</v>
      </c>
      <c r="L431" t="s">
        <v>23</v>
      </c>
      <c r="M431" t="str">
        <f t="shared" si="85"/>
        <v>North</v>
      </c>
      <c r="N431" t="s">
        <v>24</v>
      </c>
      <c r="O431" t="str">
        <f t="shared" si="78"/>
        <v>Rajasthan</v>
      </c>
      <c r="P431" t="s">
        <v>25</v>
      </c>
      <c r="Q431" t="str">
        <f t="shared" si="79"/>
        <v>Jaipur</v>
      </c>
      <c r="R431" t="s">
        <v>72</v>
      </c>
      <c r="S431" t="str">
        <f t="shared" si="80"/>
        <v>Technology</v>
      </c>
      <c r="T431" t="s">
        <v>78</v>
      </c>
      <c r="U431" t="str">
        <f t="shared" si="81"/>
        <v>Copiers</v>
      </c>
      <c r="V431" t="s">
        <v>1412</v>
      </c>
      <c r="X431" t="s">
        <v>42</v>
      </c>
      <c r="Y431" t="str">
        <f t="shared" si="82"/>
        <v>Same Day</v>
      </c>
      <c r="Z431">
        <v>8</v>
      </c>
      <c r="AA431">
        <v>2943.1</v>
      </c>
      <c r="AB431">
        <v>0.25</v>
      </c>
      <c r="AC431">
        <v>17658.599999999999</v>
      </c>
      <c r="AD431">
        <v>13842.48</v>
      </c>
      <c r="AE431">
        <v>3816.12</v>
      </c>
      <c r="AF431" t="s">
        <v>30</v>
      </c>
      <c r="AG431" t="str">
        <f t="shared" si="83"/>
        <v>Paid</v>
      </c>
      <c r="AH431" t="s">
        <v>31</v>
      </c>
    </row>
    <row r="432" spans="1:34">
      <c r="A432" t="s">
        <v>1413</v>
      </c>
      <c r="B432">
        <f>COUNTIF($A:$A,A432)</f>
        <v>1</v>
      </c>
      <c r="C432" t="str">
        <f t="shared" si="74"/>
        <v>Unique</v>
      </c>
      <c r="D432" s="4">
        <v>45534</v>
      </c>
      <c r="E432">
        <f t="shared" si="75"/>
        <v>-203</v>
      </c>
      <c r="F432" s="4">
        <v>45331</v>
      </c>
      <c r="G432" t="s">
        <v>1414</v>
      </c>
      <c r="H432" t="s">
        <v>77</v>
      </c>
      <c r="I432" t="str">
        <f t="shared" si="76"/>
        <v>Neha Gupta</v>
      </c>
      <c r="J432" t="s">
        <v>35</v>
      </c>
      <c r="K432" t="str">
        <f t="shared" si="77"/>
        <v>Small Business</v>
      </c>
      <c r="L432" t="s">
        <v>23</v>
      </c>
      <c r="M432" t="str">
        <f t="shared" si="85"/>
        <v>North</v>
      </c>
      <c r="N432" t="s">
        <v>235</v>
      </c>
      <c r="O432" t="str">
        <f t="shared" si="78"/>
        <v>Haryana</v>
      </c>
      <c r="P432" t="s">
        <v>236</v>
      </c>
      <c r="Q432" t="str">
        <f t="shared" si="79"/>
        <v>Gurugram</v>
      </c>
      <c r="R432" t="s">
        <v>26</v>
      </c>
      <c r="S432" t="str">
        <f t="shared" si="80"/>
        <v>Office Supplies</v>
      </c>
      <c r="T432" t="s">
        <v>27</v>
      </c>
      <c r="U432" t="str">
        <f t="shared" si="81"/>
        <v>Paper</v>
      </c>
      <c r="V432" t="s">
        <v>1415</v>
      </c>
      <c r="X432" t="s">
        <v>29</v>
      </c>
      <c r="Y432" t="str">
        <f t="shared" si="82"/>
        <v>Second Class</v>
      </c>
      <c r="Z432">
        <v>1</v>
      </c>
      <c r="AA432">
        <v>4320.84</v>
      </c>
      <c r="AB432">
        <v>0.15</v>
      </c>
      <c r="AC432">
        <v>3672.71</v>
      </c>
      <c r="AD432">
        <v>2714.23</v>
      </c>
      <c r="AE432">
        <v>763.38</v>
      </c>
      <c r="AF432" t="s">
        <v>30</v>
      </c>
      <c r="AG432" t="str">
        <f t="shared" si="83"/>
        <v>Paid</v>
      </c>
      <c r="AH432" t="s">
        <v>31</v>
      </c>
    </row>
    <row r="433" spans="1:34">
      <c r="A433" t="s">
        <v>1416</v>
      </c>
      <c r="B433">
        <f>COUNTIF($A:$A,A433)</f>
        <v>1</v>
      </c>
      <c r="C433" t="str">
        <f t="shared" si="74"/>
        <v>Unique</v>
      </c>
      <c r="D433" s="4">
        <v>45567</v>
      </c>
      <c r="E433">
        <f t="shared" si="75"/>
        <v>-232</v>
      </c>
      <c r="F433" s="4">
        <v>45335</v>
      </c>
      <c r="G433" t="s">
        <v>1417</v>
      </c>
      <c r="H433" t="s">
        <v>21</v>
      </c>
      <c r="I433" t="str">
        <f t="shared" si="76"/>
        <v>Karan Malhotra</v>
      </c>
      <c r="J433" t="s">
        <v>93</v>
      </c>
      <c r="K433" t="str">
        <f t="shared" si="77"/>
        <v>Home Office</v>
      </c>
      <c r="L433" t="s">
        <v>61</v>
      </c>
      <c r="M433" t="str">
        <f t="shared" si="85"/>
        <v>West</v>
      </c>
      <c r="N433" t="s">
        <v>188</v>
      </c>
      <c r="O433" t="str">
        <f t="shared" si="78"/>
        <v>Goa</v>
      </c>
      <c r="P433" t="s">
        <v>189</v>
      </c>
      <c r="Q433" t="str">
        <f t="shared" si="79"/>
        <v>Panaji</v>
      </c>
      <c r="R433" t="s">
        <v>72</v>
      </c>
      <c r="S433" t="str">
        <f t="shared" si="80"/>
        <v>Technology</v>
      </c>
      <c r="T433" t="s">
        <v>273</v>
      </c>
      <c r="U433" t="str">
        <f t="shared" si="81"/>
        <v>Machines</v>
      </c>
      <c r="V433" t="s">
        <v>1418</v>
      </c>
      <c r="X433" t="s">
        <v>42</v>
      </c>
      <c r="Y433" t="str">
        <f t="shared" si="82"/>
        <v>Same Day</v>
      </c>
      <c r="Z433">
        <v>2</v>
      </c>
      <c r="AA433">
        <v>4118.45</v>
      </c>
      <c r="AB433">
        <v>0.25</v>
      </c>
      <c r="AC433">
        <v>6177.67</v>
      </c>
      <c r="AD433">
        <v>4520.75</v>
      </c>
      <c r="AE433">
        <v>1656.92</v>
      </c>
      <c r="AF433" t="s">
        <v>30</v>
      </c>
      <c r="AG433" t="str">
        <f t="shared" si="83"/>
        <v>Paid</v>
      </c>
      <c r="AH433" t="s">
        <v>31</v>
      </c>
    </row>
    <row r="434" spans="1:34">
      <c r="A434" t="s">
        <v>1419</v>
      </c>
      <c r="B434">
        <f>COUNTIF($A:$A,A434)</f>
        <v>1</v>
      </c>
      <c r="C434" t="str">
        <f t="shared" si="74"/>
        <v>Unique</v>
      </c>
      <c r="D434" s="4">
        <v>45533</v>
      </c>
      <c r="E434">
        <f t="shared" si="75"/>
        <v>-202</v>
      </c>
      <c r="F434" s="4">
        <v>45331</v>
      </c>
      <c r="G434" t="s">
        <v>1420</v>
      </c>
      <c r="H434" t="s">
        <v>112</v>
      </c>
      <c r="I434" t="str">
        <f t="shared" si="76"/>
        <v>Priya Menon</v>
      </c>
      <c r="J434" t="s">
        <v>35</v>
      </c>
      <c r="K434" t="str">
        <f t="shared" si="77"/>
        <v>Small Business</v>
      </c>
      <c r="L434" t="s">
        <v>61</v>
      </c>
      <c r="M434" t="str">
        <f t="shared" si="85"/>
        <v>West</v>
      </c>
      <c r="N434" t="s">
        <v>62</v>
      </c>
      <c r="O434" t="str">
        <f t="shared" si="78"/>
        <v>Maharashtra</v>
      </c>
      <c r="P434" t="s">
        <v>63</v>
      </c>
      <c r="Q434" t="str">
        <f t="shared" si="79"/>
        <v>Mumbai</v>
      </c>
      <c r="R434" t="s">
        <v>39</v>
      </c>
      <c r="S434" t="str">
        <f t="shared" si="80"/>
        <v>Furniture</v>
      </c>
      <c r="T434" t="s">
        <v>156</v>
      </c>
      <c r="U434" t="str">
        <f t="shared" si="81"/>
        <v>Bookcases</v>
      </c>
      <c r="V434" t="s">
        <v>1421</v>
      </c>
      <c r="X434" t="s">
        <v>57</v>
      </c>
      <c r="Y434" t="str">
        <f t="shared" si="82"/>
        <v>Standard Class</v>
      </c>
      <c r="Z434">
        <v>6</v>
      </c>
      <c r="AA434">
        <v>172.82</v>
      </c>
      <c r="AB434">
        <v>0.05</v>
      </c>
      <c r="AC434">
        <v>985.07</v>
      </c>
      <c r="AD434">
        <v>844.48</v>
      </c>
      <c r="AE434">
        <v>140.59</v>
      </c>
      <c r="AF434" t="s">
        <v>30</v>
      </c>
      <c r="AG434" t="str">
        <f t="shared" si="83"/>
        <v>Paid</v>
      </c>
      <c r="AH434" t="s">
        <v>31</v>
      </c>
    </row>
    <row r="435" spans="1:34">
      <c r="A435" t="s">
        <v>1422</v>
      </c>
      <c r="B435">
        <f>COUNTIF($A:$A,A435)</f>
        <v>1</v>
      </c>
      <c r="C435" t="str">
        <f t="shared" si="74"/>
        <v>Unique</v>
      </c>
      <c r="D435" s="4">
        <v>45401</v>
      </c>
      <c r="E435">
        <f t="shared" si="75"/>
        <v>1</v>
      </c>
      <c r="F435" s="4">
        <v>45402</v>
      </c>
      <c r="G435" t="s">
        <v>1423</v>
      </c>
      <c r="H435" t="s">
        <v>112</v>
      </c>
      <c r="I435" t="str">
        <f t="shared" si="76"/>
        <v>Priya Menon</v>
      </c>
      <c r="J435" t="s">
        <v>88</v>
      </c>
      <c r="K435" t="str">
        <f t="shared" si="77"/>
        <v>Corporate</v>
      </c>
      <c r="L435" t="s">
        <v>52</v>
      </c>
      <c r="M435" t="str">
        <f t="shared" si="85"/>
        <v>South</v>
      </c>
      <c r="N435" t="s">
        <v>183</v>
      </c>
      <c r="O435" t="str">
        <f t="shared" si="78"/>
        <v>Kerala</v>
      </c>
      <c r="P435" t="s">
        <v>184</v>
      </c>
      <c r="Q435" t="str">
        <f t="shared" si="79"/>
        <v>Kochi</v>
      </c>
      <c r="R435" t="s">
        <v>26</v>
      </c>
      <c r="S435" t="str">
        <f t="shared" si="80"/>
        <v>Office Supplies</v>
      </c>
      <c r="T435" t="s">
        <v>46</v>
      </c>
      <c r="U435" t="str">
        <f t="shared" si="81"/>
        <v>Art</v>
      </c>
      <c r="V435" t="s">
        <v>1424</v>
      </c>
      <c r="X435" t="s">
        <v>29</v>
      </c>
      <c r="Y435" t="str">
        <f t="shared" si="82"/>
        <v>Second Class</v>
      </c>
      <c r="Z435">
        <v>4</v>
      </c>
      <c r="AA435">
        <v>1540.22</v>
      </c>
      <c r="AB435">
        <v>0</v>
      </c>
      <c r="AC435">
        <v>6160.88</v>
      </c>
      <c r="AD435">
        <v>4938.7</v>
      </c>
      <c r="AE435">
        <v>1222.18</v>
      </c>
      <c r="AF435" t="s">
        <v>100</v>
      </c>
      <c r="AG435" t="str">
        <f t="shared" si="83"/>
        <v>Refunded</v>
      </c>
      <c r="AH435" t="s">
        <v>101</v>
      </c>
    </row>
    <row r="436" spans="1:34">
      <c r="A436" t="s">
        <v>1425</v>
      </c>
      <c r="B436">
        <f>COUNTIF($A:$A,A436)</f>
        <v>1</v>
      </c>
      <c r="C436" t="str">
        <f t="shared" si="74"/>
        <v>Unique</v>
      </c>
      <c r="D436" s="4">
        <v>45758</v>
      </c>
      <c r="E436">
        <f t="shared" si="75"/>
        <v>4</v>
      </c>
      <c r="F436" s="4">
        <v>45762</v>
      </c>
      <c r="G436" t="s">
        <v>1426</v>
      </c>
      <c r="H436" t="s">
        <v>34</v>
      </c>
      <c r="I436" t="str">
        <f t="shared" si="76"/>
        <v>Mira Das</v>
      </c>
      <c r="J436" t="s">
        <v>93</v>
      </c>
      <c r="K436" t="str">
        <f t="shared" si="77"/>
        <v>Home Office</v>
      </c>
      <c r="L436" t="s">
        <v>23</v>
      </c>
      <c r="M436" t="str">
        <f t="shared" si="85"/>
        <v>North</v>
      </c>
      <c r="N436" t="s">
        <v>134</v>
      </c>
      <c r="O436" t="str">
        <f t="shared" si="78"/>
        <v>Uttar Pradesh</v>
      </c>
      <c r="P436" t="s">
        <v>135</v>
      </c>
      <c r="Q436" t="str">
        <f t="shared" si="79"/>
        <v>Noida</v>
      </c>
      <c r="R436" t="s">
        <v>72</v>
      </c>
      <c r="S436" t="str">
        <f t="shared" si="80"/>
        <v>Technology</v>
      </c>
      <c r="T436" t="s">
        <v>73</v>
      </c>
      <c r="U436" t="str">
        <f t="shared" si="81"/>
        <v>Accessories</v>
      </c>
      <c r="V436" t="s">
        <v>1427</v>
      </c>
      <c r="X436" t="s">
        <v>29</v>
      </c>
      <c r="Y436" t="str">
        <f t="shared" si="82"/>
        <v>Second Class</v>
      </c>
      <c r="Z436">
        <v>5</v>
      </c>
      <c r="AA436">
        <v>652.78</v>
      </c>
      <c r="AB436">
        <v>0</v>
      </c>
      <c r="AC436">
        <v>3263.9</v>
      </c>
      <c r="AD436">
        <v>2068.44</v>
      </c>
      <c r="AE436">
        <v>1195.46</v>
      </c>
      <c r="AF436" t="s">
        <v>30</v>
      </c>
      <c r="AG436" t="str">
        <f t="shared" si="83"/>
        <v>Paid</v>
      </c>
      <c r="AH436" t="s">
        <v>31</v>
      </c>
    </row>
    <row r="437" spans="1:34">
      <c r="A437" t="s">
        <v>1428</v>
      </c>
      <c r="B437">
        <f>COUNTIF($A:$A,A437)</f>
        <v>1</v>
      </c>
      <c r="C437" t="str">
        <f t="shared" si="74"/>
        <v>Unique</v>
      </c>
      <c r="D437" s="4">
        <v>45995</v>
      </c>
      <c r="E437">
        <f t="shared" si="75"/>
        <v>-228</v>
      </c>
      <c r="F437" s="4">
        <v>45767</v>
      </c>
      <c r="G437" t="s">
        <v>1429</v>
      </c>
      <c r="H437" t="s">
        <v>263</v>
      </c>
      <c r="I437" t="str">
        <f t="shared" si="76"/>
        <v>Kabir Singh</v>
      </c>
      <c r="J437" t="s">
        <v>93</v>
      </c>
      <c r="K437" t="str">
        <f t="shared" si="77"/>
        <v>Home Office</v>
      </c>
      <c r="L437" t="s">
        <v>23</v>
      </c>
      <c r="M437" t="str">
        <f t="shared" si="85"/>
        <v>North</v>
      </c>
      <c r="N437" t="s">
        <v>349</v>
      </c>
      <c r="O437" t="str">
        <f t="shared" si="78"/>
        <v>Delhi</v>
      </c>
      <c r="P437" t="s">
        <v>350</v>
      </c>
      <c r="Q437" t="str">
        <f t="shared" si="79"/>
        <v>New Delhi</v>
      </c>
      <c r="R437" t="s">
        <v>72</v>
      </c>
      <c r="S437" t="str">
        <f t="shared" si="80"/>
        <v>Technology</v>
      </c>
      <c r="T437" t="s">
        <v>273</v>
      </c>
      <c r="U437" t="str">
        <f t="shared" si="81"/>
        <v>Machines</v>
      </c>
      <c r="V437" t="s">
        <v>1430</v>
      </c>
      <c r="X437" t="s">
        <v>57</v>
      </c>
      <c r="Y437" t="str">
        <f t="shared" si="82"/>
        <v>Standard Class</v>
      </c>
      <c r="Z437">
        <v>1</v>
      </c>
      <c r="AA437">
        <v>2737.71</v>
      </c>
      <c r="AB437">
        <v>0.15</v>
      </c>
      <c r="AC437">
        <v>2327.0500000000002</v>
      </c>
      <c r="AD437">
        <v>1919.42</v>
      </c>
      <c r="AE437">
        <v>407.63</v>
      </c>
      <c r="AF437" t="s">
        <v>30</v>
      </c>
      <c r="AG437" t="str">
        <f t="shared" si="83"/>
        <v>Paid</v>
      </c>
      <c r="AH437" t="s">
        <v>66</v>
      </c>
    </row>
    <row r="438" spans="1:34">
      <c r="A438" t="s">
        <v>1431</v>
      </c>
      <c r="B438">
        <f>COUNTIF($A:$A,A438)</f>
        <v>1</v>
      </c>
      <c r="C438" t="str">
        <f t="shared" si="74"/>
        <v>Unique</v>
      </c>
      <c r="D438" s="4">
        <v>45459</v>
      </c>
      <c r="E438">
        <f t="shared" si="75"/>
        <v>5</v>
      </c>
      <c r="F438" s="4">
        <v>45464</v>
      </c>
      <c r="G438" t="s">
        <v>1432</v>
      </c>
      <c r="H438" t="s">
        <v>77</v>
      </c>
      <c r="I438" t="str">
        <f t="shared" si="76"/>
        <v>Neha Gupta</v>
      </c>
      <c r="J438" t="s">
        <v>22</v>
      </c>
      <c r="K438" t="str">
        <f t="shared" si="77"/>
        <v>Consumer</v>
      </c>
      <c r="L438" t="s">
        <v>52</v>
      </c>
      <c r="M438" t="str">
        <f t="shared" si="85"/>
        <v>South</v>
      </c>
      <c r="N438" t="s">
        <v>183</v>
      </c>
      <c r="O438" t="str">
        <f t="shared" si="78"/>
        <v>Kerala</v>
      </c>
      <c r="P438" t="s">
        <v>184</v>
      </c>
      <c r="Q438" t="str">
        <f t="shared" si="79"/>
        <v>Kochi</v>
      </c>
      <c r="R438" t="s">
        <v>39</v>
      </c>
      <c r="S438" t="str">
        <f t="shared" si="80"/>
        <v>Furniture</v>
      </c>
      <c r="T438" t="s">
        <v>55</v>
      </c>
      <c r="U438" t="str">
        <f t="shared" si="81"/>
        <v>Furnishings</v>
      </c>
      <c r="V438" t="s">
        <v>1433</v>
      </c>
      <c r="X438" t="s">
        <v>42</v>
      </c>
      <c r="Y438" t="str">
        <f t="shared" si="82"/>
        <v>Same Day</v>
      </c>
      <c r="Z438">
        <v>6</v>
      </c>
      <c r="AA438">
        <v>1156.78</v>
      </c>
      <c r="AB438">
        <v>0.05</v>
      </c>
      <c r="AC438">
        <v>6593.65</v>
      </c>
      <c r="AD438">
        <v>4359.3900000000003</v>
      </c>
      <c r="AE438">
        <v>2234.2600000000002</v>
      </c>
      <c r="AF438" t="s">
        <v>30</v>
      </c>
      <c r="AG438" t="str">
        <f t="shared" si="83"/>
        <v>Paid</v>
      </c>
      <c r="AH438" t="s">
        <v>101</v>
      </c>
    </row>
    <row r="439" spans="1:34">
      <c r="A439" t="s">
        <v>1434</v>
      </c>
      <c r="B439">
        <f>COUNTIF($A:$A,A439)</f>
        <v>1</v>
      </c>
      <c r="C439" t="str">
        <f t="shared" si="74"/>
        <v>Unique</v>
      </c>
      <c r="D439" s="4">
        <v>45337</v>
      </c>
      <c r="E439">
        <f t="shared" si="75"/>
        <v>3</v>
      </c>
      <c r="F439" s="4">
        <v>45340</v>
      </c>
      <c r="G439" t="s">
        <v>1435</v>
      </c>
      <c r="H439" t="s">
        <v>87</v>
      </c>
      <c r="I439" t="str">
        <f t="shared" si="76"/>
        <v>Aditi Sen</v>
      </c>
      <c r="J439" t="s">
        <v>35</v>
      </c>
      <c r="K439" t="str">
        <f t="shared" si="77"/>
        <v>Small Business</v>
      </c>
      <c r="L439" t="s">
        <v>52</v>
      </c>
      <c r="M439" t="str">
        <f t="shared" si="85"/>
        <v>South</v>
      </c>
      <c r="N439" t="s">
        <v>183</v>
      </c>
      <c r="O439" t="str">
        <f t="shared" si="78"/>
        <v>Kerala</v>
      </c>
      <c r="P439" t="s">
        <v>184</v>
      </c>
      <c r="Q439" t="str">
        <f t="shared" si="79"/>
        <v>Kochi</v>
      </c>
      <c r="R439" t="s">
        <v>72</v>
      </c>
      <c r="S439" t="str">
        <f t="shared" si="80"/>
        <v>Technology</v>
      </c>
      <c r="T439" t="s">
        <v>73</v>
      </c>
      <c r="U439" t="str">
        <f t="shared" si="81"/>
        <v>Accessories</v>
      </c>
      <c r="V439" t="s">
        <v>1436</v>
      </c>
      <c r="X439" t="s">
        <v>42</v>
      </c>
      <c r="Y439" t="str">
        <f t="shared" si="82"/>
        <v>Same Day</v>
      </c>
      <c r="Z439">
        <v>8</v>
      </c>
      <c r="AA439">
        <v>379.82</v>
      </c>
      <c r="AB439">
        <v>0.05</v>
      </c>
      <c r="AC439">
        <v>2886.63</v>
      </c>
      <c r="AD439">
        <v>1588.23</v>
      </c>
      <c r="AE439">
        <v>1298.4000000000001</v>
      </c>
      <c r="AF439" t="s">
        <v>153</v>
      </c>
      <c r="AG439" t="str">
        <f t="shared" si="83"/>
        <v>Failed</v>
      </c>
      <c r="AH439" t="s">
        <v>101</v>
      </c>
    </row>
    <row r="440" spans="1:34">
      <c r="A440" t="s">
        <v>1437</v>
      </c>
      <c r="B440">
        <f>COUNTIF($A:$A,A440)</f>
        <v>1</v>
      </c>
      <c r="C440" t="str">
        <f t="shared" si="74"/>
        <v>Unique</v>
      </c>
      <c r="D440" s="4">
        <v>45843</v>
      </c>
      <c r="E440">
        <f t="shared" si="75"/>
        <v>-61</v>
      </c>
      <c r="F440" s="4">
        <v>45782</v>
      </c>
      <c r="G440" t="s">
        <v>1438</v>
      </c>
      <c r="H440" t="s">
        <v>77</v>
      </c>
      <c r="I440" t="str">
        <f t="shared" si="76"/>
        <v>Neha Gupta</v>
      </c>
      <c r="J440" t="s">
        <v>88</v>
      </c>
      <c r="K440" t="str">
        <f t="shared" si="77"/>
        <v>Corporate</v>
      </c>
      <c r="L440" t="s">
        <v>36</v>
      </c>
      <c r="M440" t="str">
        <f t="shared" si="85"/>
        <v>East</v>
      </c>
      <c r="N440" t="s">
        <v>227</v>
      </c>
      <c r="O440" t="str">
        <f t="shared" si="78"/>
        <v>Jharkhand</v>
      </c>
      <c r="P440" t="s">
        <v>228</v>
      </c>
      <c r="Q440" t="str">
        <f t="shared" si="79"/>
        <v>Ranchi</v>
      </c>
      <c r="R440" t="s">
        <v>72</v>
      </c>
      <c r="S440" t="str">
        <f t="shared" si="80"/>
        <v>Technology</v>
      </c>
      <c r="T440" t="s">
        <v>169</v>
      </c>
      <c r="U440" t="str">
        <f t="shared" si="81"/>
        <v>Phones</v>
      </c>
      <c r="V440" t="s">
        <v>1439</v>
      </c>
      <c r="X440" t="s">
        <v>57</v>
      </c>
      <c r="Y440" t="str">
        <f t="shared" si="82"/>
        <v>Standard Class</v>
      </c>
      <c r="Z440">
        <v>1</v>
      </c>
      <c r="AA440">
        <v>2266.4699999999998</v>
      </c>
      <c r="AB440">
        <v>0.2</v>
      </c>
      <c r="AC440">
        <v>1813.18</v>
      </c>
      <c r="AD440">
        <v>1363.64</v>
      </c>
      <c r="AE440">
        <v>449.54</v>
      </c>
      <c r="AF440" t="s">
        <v>30</v>
      </c>
      <c r="AG440" t="str">
        <f t="shared" si="83"/>
        <v>Paid</v>
      </c>
      <c r="AH440" t="s">
        <v>31</v>
      </c>
    </row>
    <row r="441" spans="1:34">
      <c r="A441" t="s">
        <v>1440</v>
      </c>
      <c r="B441">
        <f>COUNTIF($A:$A,A441)</f>
        <v>1</v>
      </c>
      <c r="C441" t="str">
        <f t="shared" si="74"/>
        <v>Unique</v>
      </c>
      <c r="D441" s="4">
        <v>45838</v>
      </c>
      <c r="E441">
        <f t="shared" si="75"/>
        <v>-115</v>
      </c>
      <c r="F441" s="4">
        <v>45723</v>
      </c>
      <c r="G441" t="s">
        <v>1441</v>
      </c>
      <c r="H441" t="s">
        <v>126</v>
      </c>
      <c r="I441" t="str">
        <f t="shared" si="76"/>
        <v>Aarav Sharma</v>
      </c>
      <c r="J441" t="s">
        <v>93</v>
      </c>
      <c r="K441" t="str">
        <f t="shared" si="77"/>
        <v>Home Office</v>
      </c>
      <c r="L441" t="s">
        <v>61</v>
      </c>
      <c r="M441" t="str">
        <f t="shared" si="85"/>
        <v>West</v>
      </c>
      <c r="N441" t="s">
        <v>188</v>
      </c>
      <c r="O441" t="str">
        <f t="shared" si="78"/>
        <v>Goa</v>
      </c>
      <c r="P441" t="s">
        <v>189</v>
      </c>
      <c r="Q441" t="str">
        <f t="shared" si="79"/>
        <v>Panaji</v>
      </c>
      <c r="R441" t="s">
        <v>26</v>
      </c>
      <c r="S441" t="str">
        <f t="shared" si="80"/>
        <v>Office Supplies</v>
      </c>
      <c r="T441" t="s">
        <v>122</v>
      </c>
      <c r="U441" t="str">
        <f t="shared" si="81"/>
        <v>Storage</v>
      </c>
      <c r="V441" t="s">
        <v>1442</v>
      </c>
      <c r="X441" t="s">
        <v>42</v>
      </c>
      <c r="Y441" t="str">
        <f t="shared" si="82"/>
        <v>Same Day</v>
      </c>
      <c r="Z441">
        <v>5</v>
      </c>
      <c r="AA441">
        <v>665.25</v>
      </c>
      <c r="AB441">
        <v>0</v>
      </c>
      <c r="AC441">
        <v>3326.25</v>
      </c>
      <c r="AD441">
        <v>2689.36</v>
      </c>
      <c r="AE441">
        <v>636.89</v>
      </c>
      <c r="AF441" t="s">
        <v>100</v>
      </c>
      <c r="AG441" t="str">
        <f t="shared" si="83"/>
        <v>Refunded</v>
      </c>
      <c r="AH441" t="s">
        <v>101</v>
      </c>
    </row>
    <row r="442" spans="1:34">
      <c r="A442" t="s">
        <v>1443</v>
      </c>
      <c r="B442">
        <f>COUNTIF($A:$A,A442)</f>
        <v>1</v>
      </c>
      <c r="C442" t="str">
        <f t="shared" si="74"/>
        <v>Unique</v>
      </c>
      <c r="D442" s="4">
        <v>45384</v>
      </c>
      <c r="E442">
        <f t="shared" si="75"/>
        <v>6</v>
      </c>
      <c r="F442" s="4">
        <v>45390</v>
      </c>
      <c r="G442" t="s">
        <v>269</v>
      </c>
      <c r="H442" t="s">
        <v>69</v>
      </c>
      <c r="I442" t="str">
        <f t="shared" si="76"/>
        <v>Vikram Iyer</v>
      </c>
      <c r="J442" t="s">
        <v>88</v>
      </c>
      <c r="K442" t="str">
        <f t="shared" si="77"/>
        <v>Corporate</v>
      </c>
      <c r="L442" t="s">
        <v>36</v>
      </c>
      <c r="M442" t="str">
        <f t="shared" si="85"/>
        <v>East</v>
      </c>
      <c r="N442" t="s">
        <v>37</v>
      </c>
      <c r="O442" t="str">
        <f t="shared" si="78"/>
        <v>Odisha</v>
      </c>
      <c r="P442" t="s">
        <v>38</v>
      </c>
      <c r="Q442" t="str">
        <f t="shared" si="79"/>
        <v>Bhubaneswar</v>
      </c>
      <c r="R442" t="s">
        <v>72</v>
      </c>
      <c r="S442" t="str">
        <f t="shared" si="80"/>
        <v>Technology</v>
      </c>
      <c r="T442" t="s">
        <v>273</v>
      </c>
      <c r="U442" t="str">
        <f t="shared" si="81"/>
        <v>Machines</v>
      </c>
      <c r="V442" t="s">
        <v>1444</v>
      </c>
      <c r="X442" t="s">
        <v>29</v>
      </c>
      <c r="Y442" t="str">
        <f t="shared" si="82"/>
        <v>Second Class</v>
      </c>
      <c r="Z442">
        <v>6</v>
      </c>
      <c r="AA442">
        <v>3722.84</v>
      </c>
      <c r="AB442">
        <v>0.2</v>
      </c>
      <c r="AC442">
        <v>17869.63</v>
      </c>
      <c r="AD442">
        <v>12163.8</v>
      </c>
      <c r="AE442">
        <v>5705.83</v>
      </c>
      <c r="AF442" t="s">
        <v>30</v>
      </c>
      <c r="AG442" t="str">
        <f t="shared" si="83"/>
        <v>Paid</v>
      </c>
      <c r="AH442" t="s">
        <v>31</v>
      </c>
    </row>
    <row r="443" spans="1:34">
      <c r="A443" t="s">
        <v>1445</v>
      </c>
      <c r="B443">
        <f>COUNTIF($A:$A,A443)</f>
        <v>1</v>
      </c>
      <c r="C443" t="str">
        <f t="shared" si="74"/>
        <v>Unique</v>
      </c>
      <c r="D443" s="4">
        <v>45361</v>
      </c>
      <c r="E443">
        <f t="shared" si="75"/>
        <v>0</v>
      </c>
      <c r="F443" s="4">
        <v>45361</v>
      </c>
      <c r="G443" t="s">
        <v>1446</v>
      </c>
      <c r="H443" t="s">
        <v>21</v>
      </c>
      <c r="I443" t="str">
        <f t="shared" si="76"/>
        <v>Karan Malhotra</v>
      </c>
      <c r="J443" t="s">
        <v>22</v>
      </c>
      <c r="K443" t="str">
        <f t="shared" si="77"/>
        <v>Consumer</v>
      </c>
      <c r="L443" t="s">
        <v>36</v>
      </c>
      <c r="M443" t="str">
        <f t="shared" si="85"/>
        <v>East</v>
      </c>
      <c r="N443" t="s">
        <v>143</v>
      </c>
      <c r="O443" t="str">
        <f t="shared" si="78"/>
        <v>Bihar</v>
      </c>
      <c r="P443" t="s">
        <v>144</v>
      </c>
      <c r="Q443" t="str">
        <f t="shared" si="79"/>
        <v>Patna</v>
      </c>
      <c r="R443" t="s">
        <v>39</v>
      </c>
      <c r="S443" t="str">
        <f t="shared" si="80"/>
        <v>Furniture</v>
      </c>
      <c r="T443" t="s">
        <v>156</v>
      </c>
      <c r="U443" t="str">
        <f t="shared" si="81"/>
        <v>Bookcases</v>
      </c>
      <c r="V443" t="s">
        <v>1447</v>
      </c>
      <c r="X443" t="s">
        <v>57</v>
      </c>
      <c r="Y443" t="str">
        <f t="shared" si="82"/>
        <v>Standard Class</v>
      </c>
      <c r="Z443">
        <v>6</v>
      </c>
      <c r="AA443">
        <v>4217.49</v>
      </c>
      <c r="AB443">
        <v>0</v>
      </c>
      <c r="AC443">
        <v>25304.94</v>
      </c>
      <c r="AD443">
        <v>20771.95</v>
      </c>
      <c r="AE443">
        <v>4532.99</v>
      </c>
      <c r="AF443" t="s">
        <v>30</v>
      </c>
      <c r="AG443" t="str">
        <f t="shared" si="83"/>
        <v>Paid</v>
      </c>
      <c r="AH443" t="s">
        <v>66</v>
      </c>
    </row>
    <row r="444" spans="1:34">
      <c r="A444" t="s">
        <v>1448</v>
      </c>
      <c r="B444">
        <f>COUNTIF($A:$A,A444)</f>
        <v>1</v>
      </c>
      <c r="C444" t="str">
        <f t="shared" si="74"/>
        <v>Unique</v>
      </c>
      <c r="D444" s="4">
        <v>45992</v>
      </c>
      <c r="E444">
        <f t="shared" si="75"/>
        <v>-316</v>
      </c>
      <c r="F444" s="4">
        <v>45676</v>
      </c>
      <c r="G444" t="s">
        <v>1449</v>
      </c>
      <c r="H444" t="s">
        <v>126</v>
      </c>
      <c r="I444" t="str">
        <f t="shared" si="76"/>
        <v>Aarav Sharma</v>
      </c>
      <c r="J444" t="s">
        <v>22</v>
      </c>
      <c r="K444" t="str">
        <f t="shared" si="77"/>
        <v>Consumer</v>
      </c>
      <c r="L444" t="s">
        <v>36</v>
      </c>
      <c r="M444" t="str">
        <f t="shared" si="85"/>
        <v>East</v>
      </c>
      <c r="N444" t="s">
        <v>227</v>
      </c>
      <c r="O444" t="str">
        <f t="shared" si="78"/>
        <v>Jharkhand</v>
      </c>
      <c r="P444" t="s">
        <v>228</v>
      </c>
      <c r="Q444" t="str">
        <f t="shared" si="79"/>
        <v>Ranchi</v>
      </c>
      <c r="R444" t="s">
        <v>39</v>
      </c>
      <c r="S444" t="str">
        <f t="shared" si="80"/>
        <v>Furniture</v>
      </c>
      <c r="T444" t="s">
        <v>40</v>
      </c>
      <c r="U444" t="str">
        <f t="shared" si="81"/>
        <v>Tables</v>
      </c>
      <c r="V444" t="s">
        <v>1450</v>
      </c>
      <c r="X444" t="s">
        <v>48</v>
      </c>
      <c r="Y444" t="str">
        <f t="shared" si="82"/>
        <v>First Class</v>
      </c>
      <c r="Z444">
        <v>1</v>
      </c>
      <c r="AA444">
        <v>1842.31</v>
      </c>
      <c r="AB444">
        <v>0</v>
      </c>
      <c r="AC444">
        <v>1842.31</v>
      </c>
      <c r="AD444">
        <v>1019.17</v>
      </c>
      <c r="AE444">
        <v>823.14</v>
      </c>
      <c r="AF444" t="s">
        <v>30</v>
      </c>
      <c r="AG444" t="str">
        <f t="shared" si="83"/>
        <v>Paid</v>
      </c>
      <c r="AH444" t="s">
        <v>31</v>
      </c>
    </row>
    <row r="445" spans="1:34">
      <c r="A445" t="s">
        <v>1451</v>
      </c>
      <c r="B445">
        <f>COUNTIF($A:$A,A445)</f>
        <v>1</v>
      </c>
      <c r="C445" t="str">
        <f t="shared" si="74"/>
        <v>Unique</v>
      </c>
      <c r="D445" s="4">
        <v>45386</v>
      </c>
      <c r="E445">
        <f t="shared" si="75"/>
        <v>91</v>
      </c>
      <c r="F445" s="4">
        <v>45477</v>
      </c>
      <c r="G445" t="s">
        <v>1452</v>
      </c>
      <c r="H445" t="s">
        <v>139</v>
      </c>
      <c r="I445" t="str">
        <f t="shared" si="76"/>
        <v>Rohan Mehta</v>
      </c>
      <c r="J445" t="s">
        <v>93</v>
      </c>
      <c r="K445" t="str">
        <f t="shared" si="77"/>
        <v>Home Office</v>
      </c>
      <c r="L445" t="s">
        <v>36</v>
      </c>
      <c r="M445" t="str">
        <f t="shared" si="85"/>
        <v>East</v>
      </c>
      <c r="N445" t="s">
        <v>37</v>
      </c>
      <c r="O445" t="str">
        <f t="shared" si="78"/>
        <v>Odisha</v>
      </c>
      <c r="P445" t="s">
        <v>38</v>
      </c>
      <c r="Q445" t="str">
        <f t="shared" si="79"/>
        <v>Bhubaneswar</v>
      </c>
      <c r="R445" t="s">
        <v>39</v>
      </c>
      <c r="S445" t="str">
        <f t="shared" si="80"/>
        <v>Furniture</v>
      </c>
      <c r="T445" t="s">
        <v>55</v>
      </c>
      <c r="U445" t="str">
        <f t="shared" si="81"/>
        <v>Furnishings</v>
      </c>
      <c r="V445" t="s">
        <v>1453</v>
      </c>
      <c r="X445" t="s">
        <v>48</v>
      </c>
      <c r="Y445" t="str">
        <f t="shared" si="82"/>
        <v>First Class</v>
      </c>
      <c r="Z445">
        <v>1</v>
      </c>
      <c r="AA445">
        <v>3683.75</v>
      </c>
      <c r="AB445">
        <v>0.1</v>
      </c>
      <c r="AC445">
        <v>3315.38</v>
      </c>
      <c r="AD445">
        <v>2347.6799999999998</v>
      </c>
      <c r="AE445">
        <v>967.7</v>
      </c>
      <c r="AF445" t="s">
        <v>30</v>
      </c>
      <c r="AG445" t="str">
        <f t="shared" si="83"/>
        <v>Paid</v>
      </c>
      <c r="AH445" t="s">
        <v>31</v>
      </c>
    </row>
    <row r="446" spans="1:34">
      <c r="A446" t="s">
        <v>1454</v>
      </c>
      <c r="B446">
        <f>COUNTIF($A:$A,A446)</f>
        <v>1</v>
      </c>
      <c r="C446" t="str">
        <f t="shared" si="74"/>
        <v>Unique</v>
      </c>
      <c r="D446" s="4">
        <v>45999</v>
      </c>
      <c r="E446">
        <f t="shared" si="75"/>
        <v>-114</v>
      </c>
      <c r="F446" s="4">
        <v>45885</v>
      </c>
      <c r="G446" t="s">
        <v>1455</v>
      </c>
      <c r="H446" t="s">
        <v>60</v>
      </c>
      <c r="I446" t="str">
        <f t="shared" si="76"/>
        <v>Ananya Rao</v>
      </c>
      <c r="J446" t="s">
        <v>22</v>
      </c>
      <c r="K446" t="str">
        <f t="shared" si="77"/>
        <v>Consumer</v>
      </c>
      <c r="L446" t="s">
        <v>36</v>
      </c>
      <c r="M446" t="str">
        <f t="shared" si="85"/>
        <v>East</v>
      </c>
      <c r="N446" t="s">
        <v>164</v>
      </c>
      <c r="O446" t="str">
        <f t="shared" si="78"/>
        <v>Assam</v>
      </c>
      <c r="P446" t="s">
        <v>165</v>
      </c>
      <c r="Q446" t="str">
        <f t="shared" si="79"/>
        <v>Guwahati</v>
      </c>
      <c r="R446" t="s">
        <v>72</v>
      </c>
      <c r="S446" t="str">
        <f t="shared" si="80"/>
        <v>Technology</v>
      </c>
      <c r="T446" t="s">
        <v>73</v>
      </c>
      <c r="U446" t="str">
        <f t="shared" si="81"/>
        <v>Accessories</v>
      </c>
      <c r="V446" t="s">
        <v>1456</v>
      </c>
      <c r="X446" t="s">
        <v>42</v>
      </c>
      <c r="Y446" t="str">
        <f t="shared" si="82"/>
        <v>Same Day</v>
      </c>
      <c r="Z446">
        <v>9</v>
      </c>
      <c r="AA446">
        <v>2379.2399999999998</v>
      </c>
      <c r="AB446">
        <v>0.05</v>
      </c>
      <c r="AC446">
        <v>20342.5</v>
      </c>
      <c r="AD446">
        <v>12407.51</v>
      </c>
      <c r="AE446">
        <v>7934.99</v>
      </c>
      <c r="AF446" t="s">
        <v>30</v>
      </c>
      <c r="AG446" t="str">
        <f t="shared" si="83"/>
        <v>Paid</v>
      </c>
      <c r="AH446" t="s">
        <v>31</v>
      </c>
    </row>
    <row r="447" spans="1:34">
      <c r="A447" t="s">
        <v>1457</v>
      </c>
      <c r="B447">
        <f>COUNTIF($A:$A,A447)</f>
        <v>1</v>
      </c>
      <c r="C447" t="str">
        <f t="shared" si="74"/>
        <v>Unique</v>
      </c>
      <c r="D447" s="4">
        <v>45421</v>
      </c>
      <c r="E447">
        <f t="shared" si="75"/>
        <v>-4</v>
      </c>
      <c r="F447" s="4">
        <v>45417</v>
      </c>
      <c r="G447" t="s">
        <v>1458</v>
      </c>
      <c r="H447" t="s">
        <v>51</v>
      </c>
      <c r="I447" t="str">
        <f t="shared" si="76"/>
        <v>Arjun Bose</v>
      </c>
      <c r="J447" t="s">
        <v>22</v>
      </c>
      <c r="K447" t="str">
        <f t="shared" si="77"/>
        <v>Consumer</v>
      </c>
      <c r="L447" t="s">
        <v>36</v>
      </c>
      <c r="M447" t="str">
        <f t="shared" si="85"/>
        <v>East</v>
      </c>
      <c r="N447" t="s">
        <v>164</v>
      </c>
      <c r="O447" t="str">
        <f t="shared" si="78"/>
        <v>Assam</v>
      </c>
      <c r="P447" t="s">
        <v>165</v>
      </c>
      <c r="Q447" t="str">
        <f t="shared" si="79"/>
        <v>Guwahati</v>
      </c>
      <c r="R447" t="s">
        <v>39</v>
      </c>
      <c r="S447" t="str">
        <f t="shared" si="80"/>
        <v>Furniture</v>
      </c>
      <c r="T447" t="s">
        <v>156</v>
      </c>
      <c r="U447" t="str">
        <f t="shared" si="81"/>
        <v>Bookcases</v>
      </c>
      <c r="V447" t="s">
        <v>1459</v>
      </c>
      <c r="X447" t="s">
        <v>42</v>
      </c>
      <c r="Y447" t="str">
        <f t="shared" si="82"/>
        <v>Same Day</v>
      </c>
      <c r="Z447">
        <v>2</v>
      </c>
      <c r="AA447">
        <v>2111.23</v>
      </c>
      <c r="AB447">
        <v>0.2</v>
      </c>
      <c r="AC447">
        <v>3377.97</v>
      </c>
      <c r="AD447">
        <v>2496.29</v>
      </c>
      <c r="AE447">
        <v>881.68</v>
      </c>
      <c r="AF447" t="s">
        <v>30</v>
      </c>
      <c r="AG447" t="str">
        <f t="shared" si="83"/>
        <v>Paid</v>
      </c>
      <c r="AH447" t="s">
        <v>31</v>
      </c>
    </row>
    <row r="448" spans="1:34">
      <c r="A448" t="s">
        <v>1460</v>
      </c>
      <c r="B448">
        <f>COUNTIF($A:$A,A448)</f>
        <v>1</v>
      </c>
      <c r="C448" t="str">
        <f t="shared" si="74"/>
        <v>Unique</v>
      </c>
      <c r="D448" s="4">
        <v>45918</v>
      </c>
      <c r="E448">
        <f t="shared" si="75"/>
        <v>1</v>
      </c>
      <c r="F448" s="4">
        <v>45919</v>
      </c>
      <c r="G448" t="s">
        <v>1461</v>
      </c>
      <c r="H448" t="s">
        <v>130</v>
      </c>
      <c r="I448" t="str">
        <f t="shared" si="76"/>
        <v>Sneha Kapoor</v>
      </c>
      <c r="J448" t="s">
        <v>93</v>
      </c>
      <c r="K448" t="str">
        <f t="shared" si="77"/>
        <v>Home Office</v>
      </c>
      <c r="L448" t="s">
        <v>52</v>
      </c>
      <c r="M448" t="str">
        <f t="shared" si="85"/>
        <v>South</v>
      </c>
      <c r="N448" t="s">
        <v>82</v>
      </c>
      <c r="O448" t="str">
        <f t="shared" si="78"/>
        <v>Andhra Pradesh</v>
      </c>
      <c r="P448" t="s">
        <v>83</v>
      </c>
      <c r="Q448" t="str">
        <f t="shared" si="79"/>
        <v>Vijayawada</v>
      </c>
      <c r="R448" t="s">
        <v>26</v>
      </c>
      <c r="S448" t="str">
        <f t="shared" si="80"/>
        <v>Office Supplies</v>
      </c>
      <c r="T448" t="s">
        <v>122</v>
      </c>
      <c r="U448" t="str">
        <f t="shared" si="81"/>
        <v>Storage</v>
      </c>
      <c r="V448" t="s">
        <v>1462</v>
      </c>
      <c r="X448" t="s">
        <v>42</v>
      </c>
      <c r="Y448" t="str">
        <f t="shared" si="82"/>
        <v>Same Day</v>
      </c>
      <c r="Z448">
        <v>8</v>
      </c>
      <c r="AA448">
        <v>4242.51</v>
      </c>
      <c r="AB448">
        <v>0</v>
      </c>
      <c r="AC448">
        <v>33940.080000000002</v>
      </c>
      <c r="AD448">
        <v>23754.19</v>
      </c>
      <c r="AE448">
        <v>10185.89</v>
      </c>
      <c r="AF448" t="s">
        <v>30</v>
      </c>
      <c r="AG448" t="str">
        <f t="shared" si="83"/>
        <v>Paid</v>
      </c>
      <c r="AH448" t="s">
        <v>31</v>
      </c>
    </row>
    <row r="449" spans="1:34">
      <c r="A449" t="s">
        <v>1463</v>
      </c>
      <c r="B449">
        <f>COUNTIF($A:$A,A449)</f>
        <v>1</v>
      </c>
      <c r="C449" t="str">
        <f t="shared" si="74"/>
        <v>Unique</v>
      </c>
      <c r="D449" s="4">
        <v>45938</v>
      </c>
      <c r="E449">
        <f t="shared" si="75"/>
        <v>0</v>
      </c>
      <c r="F449" s="4">
        <v>45938</v>
      </c>
      <c r="G449" t="s">
        <v>1464</v>
      </c>
      <c r="H449" t="s">
        <v>139</v>
      </c>
      <c r="I449" t="str">
        <f t="shared" si="76"/>
        <v>Rohan Mehta</v>
      </c>
      <c r="J449" t="s">
        <v>93</v>
      </c>
      <c r="K449" t="str">
        <f t="shared" si="77"/>
        <v>Home Office</v>
      </c>
      <c r="L449" t="s">
        <v>52</v>
      </c>
      <c r="M449" t="str">
        <f t="shared" si="85"/>
        <v>South</v>
      </c>
      <c r="N449" t="s">
        <v>53</v>
      </c>
      <c r="O449" t="str">
        <f t="shared" si="78"/>
        <v>Telangana</v>
      </c>
      <c r="P449" t="s">
        <v>54</v>
      </c>
      <c r="Q449" t="str">
        <f t="shared" si="79"/>
        <v>Hyderabad</v>
      </c>
      <c r="R449" t="s">
        <v>39</v>
      </c>
      <c r="S449" t="str">
        <f t="shared" si="80"/>
        <v>Furniture</v>
      </c>
      <c r="T449" t="s">
        <v>156</v>
      </c>
      <c r="U449" t="str">
        <f t="shared" si="81"/>
        <v>Bookcases</v>
      </c>
      <c r="V449" t="s">
        <v>1465</v>
      </c>
      <c r="X449" t="s">
        <v>57</v>
      </c>
      <c r="Y449" t="str">
        <f t="shared" si="82"/>
        <v>Standard Class</v>
      </c>
      <c r="Z449">
        <v>6</v>
      </c>
      <c r="AA449">
        <v>4288.7</v>
      </c>
      <c r="AB449">
        <v>0.15</v>
      </c>
      <c r="AC449">
        <v>21872.37</v>
      </c>
      <c r="AD449">
        <v>13829.5</v>
      </c>
      <c r="AE449">
        <v>8042.87</v>
      </c>
      <c r="AF449" t="s">
        <v>109</v>
      </c>
      <c r="AG449" t="str">
        <f t="shared" si="83"/>
        <v>Pending</v>
      </c>
      <c r="AH449" t="s">
        <v>101</v>
      </c>
    </row>
    <row r="450" spans="1:34">
      <c r="A450" t="s">
        <v>1466</v>
      </c>
      <c r="B450">
        <f>COUNTIF($A:$A,A450)</f>
        <v>1</v>
      </c>
      <c r="C450" t="str">
        <f t="shared" ref="C450:C513" si="86">IF(B450&gt;1,"Review Duplicate ID","Unique")</f>
        <v>Unique</v>
      </c>
      <c r="D450" s="4">
        <v>45306</v>
      </c>
      <c r="E450">
        <f t="shared" ref="E450:E513" si="87">F450-D450</f>
        <v>3</v>
      </c>
      <c r="F450" s="4">
        <v>45309</v>
      </c>
      <c r="G450" t="s">
        <v>1467</v>
      </c>
      <c r="H450" t="s">
        <v>34</v>
      </c>
      <c r="I450" t="str">
        <f t="shared" ref="I450:I513" si="88">PROPER(TRIM(H450))</f>
        <v>Mira Das</v>
      </c>
      <c r="J450" t="s">
        <v>35</v>
      </c>
      <c r="K450" t="str">
        <f t="shared" ref="K450:K513" si="89">PROPER(TRIM(J450))</f>
        <v>Small Business</v>
      </c>
      <c r="L450" t="s">
        <v>52</v>
      </c>
      <c r="M450" t="str">
        <f t="shared" si="85"/>
        <v>South</v>
      </c>
      <c r="N450" t="s">
        <v>82</v>
      </c>
      <c r="O450" t="str">
        <f t="shared" ref="O450:O513" si="90">PROPER(TRIM(N450))</f>
        <v>Andhra Pradesh</v>
      </c>
      <c r="P450" t="s">
        <v>83</v>
      </c>
      <c r="Q450" t="str">
        <f t="shared" ref="Q450:Q513" si="91">PROPER(TRIM(P450))</f>
        <v>Vijayawada</v>
      </c>
      <c r="R450" t="s">
        <v>39</v>
      </c>
      <c r="S450" t="str">
        <f t="shared" ref="S450:S513" si="92">PROPER(TRIM(R450))</f>
        <v>Furniture</v>
      </c>
      <c r="T450" t="s">
        <v>64</v>
      </c>
      <c r="U450" t="str">
        <f t="shared" ref="U450:U513" si="93">PROPER(TRIM(T450))</f>
        <v>Chairs</v>
      </c>
      <c r="V450" t="s">
        <v>1468</v>
      </c>
      <c r="X450" t="s">
        <v>48</v>
      </c>
      <c r="Y450" t="str">
        <f t="shared" si="82"/>
        <v>First Class</v>
      </c>
      <c r="Z450">
        <v>2</v>
      </c>
      <c r="AA450">
        <v>201.21</v>
      </c>
      <c r="AB450">
        <v>0.15</v>
      </c>
      <c r="AC450">
        <v>342.06</v>
      </c>
      <c r="AD450">
        <v>244.57</v>
      </c>
      <c r="AE450">
        <v>97.49</v>
      </c>
      <c r="AF450" t="s">
        <v>30</v>
      </c>
      <c r="AG450" t="str">
        <f t="shared" si="83"/>
        <v>Paid</v>
      </c>
      <c r="AH450" t="s">
        <v>31</v>
      </c>
    </row>
    <row r="451" spans="1:34">
      <c r="A451" t="s">
        <v>1469</v>
      </c>
      <c r="B451">
        <f>COUNTIF($A:$A,A451)</f>
        <v>1</v>
      </c>
      <c r="C451" t="str">
        <f t="shared" si="86"/>
        <v>Unique</v>
      </c>
      <c r="D451" s="4">
        <v>45449</v>
      </c>
      <c r="E451">
        <f t="shared" si="87"/>
        <v>7</v>
      </c>
      <c r="F451" s="4">
        <v>45456</v>
      </c>
      <c r="G451" t="s">
        <v>1362</v>
      </c>
      <c r="H451" t="s">
        <v>87</v>
      </c>
      <c r="I451" t="str">
        <f t="shared" si="88"/>
        <v>Aditi Sen</v>
      </c>
      <c r="J451" t="s">
        <v>88</v>
      </c>
      <c r="K451" t="str">
        <f t="shared" si="89"/>
        <v>Corporate</v>
      </c>
      <c r="L451" t="s">
        <v>36</v>
      </c>
      <c r="M451" t="str">
        <f t="shared" si="85"/>
        <v>East</v>
      </c>
      <c r="N451" t="s">
        <v>164</v>
      </c>
      <c r="O451" t="str">
        <f t="shared" si="90"/>
        <v>Assam</v>
      </c>
      <c r="P451" t="s">
        <v>165</v>
      </c>
      <c r="Q451" t="str">
        <f t="shared" si="91"/>
        <v>Guwahati</v>
      </c>
      <c r="R451" t="s">
        <v>72</v>
      </c>
      <c r="S451" t="str">
        <f t="shared" si="92"/>
        <v>Technology</v>
      </c>
      <c r="T451" t="s">
        <v>273</v>
      </c>
      <c r="U451" t="str">
        <f t="shared" si="93"/>
        <v>Machines</v>
      </c>
      <c r="V451" t="s">
        <v>1470</v>
      </c>
      <c r="X451" t="s">
        <v>29</v>
      </c>
      <c r="Y451" t="str">
        <f t="shared" ref="Y451:Y514" si="94">PROPER(TRIM(X451))</f>
        <v>Second Class</v>
      </c>
      <c r="Z451">
        <v>6</v>
      </c>
      <c r="AA451">
        <v>3270.36</v>
      </c>
      <c r="AB451">
        <v>0</v>
      </c>
      <c r="AC451">
        <v>19622.16</v>
      </c>
      <c r="AD451">
        <v>14271.27</v>
      </c>
      <c r="AE451">
        <v>5350.89</v>
      </c>
      <c r="AF451" t="s">
        <v>30</v>
      </c>
      <c r="AG451" t="str">
        <f t="shared" ref="AG451:AG514" si="95">PROPER(TRIM(AF451))</f>
        <v>Paid</v>
      </c>
      <c r="AH451" t="s">
        <v>31</v>
      </c>
    </row>
    <row r="452" spans="1:34">
      <c r="A452" t="s">
        <v>1471</v>
      </c>
      <c r="B452">
        <f>COUNTIF($A:$A,A452)</f>
        <v>1</v>
      </c>
      <c r="C452" t="str">
        <f t="shared" si="86"/>
        <v>Unique</v>
      </c>
      <c r="D452" s="4">
        <v>45820</v>
      </c>
      <c r="E452">
        <f t="shared" si="87"/>
        <v>7</v>
      </c>
      <c r="F452" s="4">
        <v>45827</v>
      </c>
      <c r="G452" t="s">
        <v>1472</v>
      </c>
      <c r="H452" t="s">
        <v>60</v>
      </c>
      <c r="I452" t="str">
        <f t="shared" si="88"/>
        <v>Ananya Rao</v>
      </c>
      <c r="J452" t="s">
        <v>88</v>
      </c>
      <c r="K452" t="str">
        <f t="shared" si="89"/>
        <v>Corporate</v>
      </c>
      <c r="L452" t="s">
        <v>23</v>
      </c>
      <c r="M452" t="str">
        <f t="shared" si="85"/>
        <v>North</v>
      </c>
      <c r="N452" t="s">
        <v>349</v>
      </c>
      <c r="O452" t="str">
        <f t="shared" si="90"/>
        <v>Delhi</v>
      </c>
      <c r="P452" t="s">
        <v>350</v>
      </c>
      <c r="Q452" t="str">
        <f t="shared" si="91"/>
        <v>New Delhi</v>
      </c>
      <c r="R452" t="s">
        <v>39</v>
      </c>
      <c r="S452" t="str">
        <f t="shared" si="92"/>
        <v>Furniture</v>
      </c>
      <c r="T452" t="s">
        <v>64</v>
      </c>
      <c r="U452" t="str">
        <f t="shared" si="93"/>
        <v>Chairs</v>
      </c>
      <c r="V452" t="s">
        <v>1473</v>
      </c>
      <c r="X452" t="s">
        <v>57</v>
      </c>
      <c r="Y452" t="str">
        <f t="shared" si="94"/>
        <v>Standard Class</v>
      </c>
      <c r="Z452">
        <v>9</v>
      </c>
      <c r="AA452">
        <v>2278.5700000000002</v>
      </c>
      <c r="AB452">
        <v>0.25</v>
      </c>
      <c r="AC452">
        <v>15380.35</v>
      </c>
      <c r="AD452">
        <v>9907.3700000000008</v>
      </c>
      <c r="AE452">
        <v>5472.98</v>
      </c>
      <c r="AF452" t="s">
        <v>30</v>
      </c>
      <c r="AG452" t="str">
        <f t="shared" si="95"/>
        <v>Paid</v>
      </c>
      <c r="AH452" t="s">
        <v>31</v>
      </c>
    </row>
    <row r="453" spans="1:34">
      <c r="A453" t="s">
        <v>1474</v>
      </c>
      <c r="B453">
        <f>COUNTIF($A:$A,A453)</f>
        <v>1</v>
      </c>
      <c r="C453" t="str">
        <f t="shared" si="86"/>
        <v>Unique</v>
      </c>
      <c r="D453" s="4">
        <v>45375</v>
      </c>
      <c r="E453">
        <f t="shared" si="87"/>
        <v>2</v>
      </c>
      <c r="F453" s="4">
        <v>45377</v>
      </c>
      <c r="G453" t="s">
        <v>1475</v>
      </c>
      <c r="H453" t="s">
        <v>139</v>
      </c>
      <c r="I453" t="str">
        <f t="shared" si="88"/>
        <v>Rohan Mehta</v>
      </c>
      <c r="J453" t="s">
        <v>35</v>
      </c>
      <c r="K453" t="str">
        <f t="shared" si="89"/>
        <v>Small Business</v>
      </c>
      <c r="L453" t="s">
        <v>23</v>
      </c>
      <c r="M453" t="str">
        <f t="shared" si="85"/>
        <v>North</v>
      </c>
      <c r="N453" t="s">
        <v>235</v>
      </c>
      <c r="O453" t="str">
        <f t="shared" si="90"/>
        <v>Haryana</v>
      </c>
      <c r="P453" t="s">
        <v>236</v>
      </c>
      <c r="Q453" t="str">
        <f t="shared" si="91"/>
        <v>Gurugram</v>
      </c>
      <c r="R453" t="s">
        <v>26</v>
      </c>
      <c r="S453" t="str">
        <f t="shared" si="92"/>
        <v>Office Supplies</v>
      </c>
      <c r="T453" t="s">
        <v>27</v>
      </c>
      <c r="U453" t="str">
        <f t="shared" si="93"/>
        <v>Paper</v>
      </c>
      <c r="V453" t="s">
        <v>1476</v>
      </c>
      <c r="X453" t="s">
        <v>29</v>
      </c>
      <c r="Y453" t="str">
        <f t="shared" si="94"/>
        <v>Second Class</v>
      </c>
      <c r="Z453">
        <v>8</v>
      </c>
      <c r="AA453">
        <v>1917.64</v>
      </c>
      <c r="AB453">
        <v>0.15</v>
      </c>
      <c r="AC453">
        <v>13039.95</v>
      </c>
      <c r="AD453">
        <v>11127.82</v>
      </c>
      <c r="AE453">
        <v>1912.13</v>
      </c>
      <c r="AF453" t="s">
        <v>30</v>
      </c>
      <c r="AG453" t="str">
        <f t="shared" si="95"/>
        <v>Paid</v>
      </c>
      <c r="AH453" t="s">
        <v>66</v>
      </c>
    </row>
    <row r="454" spans="1:34">
      <c r="A454" t="s">
        <v>1477</v>
      </c>
      <c r="B454">
        <f>COUNTIF($A:$A,A454)</f>
        <v>1</v>
      </c>
      <c r="C454" t="str">
        <f t="shared" si="86"/>
        <v>Unique</v>
      </c>
      <c r="D454" s="4">
        <v>45570</v>
      </c>
      <c r="E454">
        <f t="shared" si="87"/>
        <v>-142</v>
      </c>
      <c r="F454" s="4">
        <v>45428</v>
      </c>
      <c r="G454" t="s">
        <v>1478</v>
      </c>
      <c r="H454" t="s">
        <v>160</v>
      </c>
      <c r="I454" t="str">
        <f t="shared" si="88"/>
        <v>Diya Patel</v>
      </c>
      <c r="J454" t="s">
        <v>93</v>
      </c>
      <c r="K454" t="str">
        <f t="shared" si="89"/>
        <v>Home Office</v>
      </c>
      <c r="L454" t="s">
        <v>36</v>
      </c>
      <c r="M454" t="str">
        <f t="shared" si="85"/>
        <v>East</v>
      </c>
      <c r="N454" t="s">
        <v>227</v>
      </c>
      <c r="O454" t="str">
        <f t="shared" si="90"/>
        <v>Jharkhand</v>
      </c>
      <c r="P454" t="s">
        <v>228</v>
      </c>
      <c r="Q454" t="str">
        <f t="shared" si="91"/>
        <v>Ranchi</v>
      </c>
      <c r="R454" t="s">
        <v>72</v>
      </c>
      <c r="S454" t="str">
        <f t="shared" si="92"/>
        <v>Technology</v>
      </c>
      <c r="T454" t="s">
        <v>73</v>
      </c>
      <c r="U454" t="str">
        <f t="shared" si="93"/>
        <v>Accessories</v>
      </c>
      <c r="V454" t="s">
        <v>1479</v>
      </c>
      <c r="X454" t="s">
        <v>29</v>
      </c>
      <c r="Y454" t="str">
        <f t="shared" si="94"/>
        <v>Second Class</v>
      </c>
      <c r="Z454">
        <v>6</v>
      </c>
      <c r="AA454">
        <v>2013.33</v>
      </c>
      <c r="AB454">
        <v>0.2</v>
      </c>
      <c r="AC454">
        <v>9663.98</v>
      </c>
      <c r="AD454">
        <v>5628.93</v>
      </c>
      <c r="AE454">
        <v>4035.05</v>
      </c>
      <c r="AF454" t="s">
        <v>30</v>
      </c>
      <c r="AG454" t="str">
        <f t="shared" si="95"/>
        <v>Paid</v>
      </c>
      <c r="AH454" t="s">
        <v>31</v>
      </c>
    </row>
    <row r="455" spans="1:34">
      <c r="A455" t="s">
        <v>1480</v>
      </c>
      <c r="B455">
        <f>COUNTIF($A:$A,A455)</f>
        <v>1</v>
      </c>
      <c r="C455" t="str">
        <f t="shared" si="86"/>
        <v>Unique</v>
      </c>
      <c r="D455" s="4">
        <v>45780</v>
      </c>
      <c r="E455">
        <f t="shared" si="87"/>
        <v>186</v>
      </c>
      <c r="F455" s="4">
        <v>45966</v>
      </c>
      <c r="G455" t="s">
        <v>1481</v>
      </c>
      <c r="H455" t="s">
        <v>139</v>
      </c>
      <c r="I455" t="str">
        <f t="shared" si="88"/>
        <v>Rohan Mehta</v>
      </c>
      <c r="J455" t="s">
        <v>35</v>
      </c>
      <c r="K455" t="str">
        <f t="shared" si="89"/>
        <v>Small Business</v>
      </c>
      <c r="L455" t="s">
        <v>61</v>
      </c>
      <c r="M455" t="str">
        <f t="shared" si="85"/>
        <v>West</v>
      </c>
      <c r="N455" t="s">
        <v>70</v>
      </c>
      <c r="O455" t="str">
        <f t="shared" si="90"/>
        <v>Madhya Pradesh</v>
      </c>
      <c r="P455" t="s">
        <v>71</v>
      </c>
      <c r="Q455" t="str">
        <f t="shared" si="91"/>
        <v>Indore</v>
      </c>
      <c r="R455" t="s">
        <v>26</v>
      </c>
      <c r="S455" t="str">
        <f t="shared" si="92"/>
        <v>Office Supplies</v>
      </c>
      <c r="T455" t="s">
        <v>89</v>
      </c>
      <c r="U455" t="str">
        <f t="shared" si="93"/>
        <v>Labels</v>
      </c>
      <c r="V455" t="s">
        <v>1482</v>
      </c>
      <c r="X455" t="s">
        <v>42</v>
      </c>
      <c r="Y455" t="str">
        <f t="shared" si="94"/>
        <v>Same Day</v>
      </c>
      <c r="Z455">
        <v>5</v>
      </c>
      <c r="AA455">
        <v>1483.52</v>
      </c>
      <c r="AB455">
        <v>0</v>
      </c>
      <c r="AC455">
        <v>7417.6</v>
      </c>
      <c r="AD455">
        <v>4955.8599999999997</v>
      </c>
      <c r="AE455">
        <v>2461.7399999999998</v>
      </c>
      <c r="AF455" t="s">
        <v>30</v>
      </c>
      <c r="AG455" t="str">
        <f t="shared" si="95"/>
        <v>Paid</v>
      </c>
      <c r="AH455" t="s">
        <v>31</v>
      </c>
    </row>
    <row r="456" spans="1:34">
      <c r="A456" t="s">
        <v>1483</v>
      </c>
      <c r="B456">
        <f>COUNTIF($A:$A,A456)</f>
        <v>1</v>
      </c>
      <c r="C456" t="str">
        <f t="shared" si="86"/>
        <v>Unique</v>
      </c>
      <c r="D456" s="4">
        <v>45739</v>
      </c>
      <c r="E456">
        <f t="shared" si="87"/>
        <v>5</v>
      </c>
      <c r="F456" s="4">
        <v>45744</v>
      </c>
      <c r="G456" t="s">
        <v>1484</v>
      </c>
      <c r="H456" t="s">
        <v>69</v>
      </c>
      <c r="I456" t="str">
        <f t="shared" si="88"/>
        <v>Vikram Iyer</v>
      </c>
      <c r="J456" t="s">
        <v>35</v>
      </c>
      <c r="K456" t="str">
        <f t="shared" si="89"/>
        <v>Small Business</v>
      </c>
      <c r="L456" t="s">
        <v>23</v>
      </c>
      <c r="M456" t="str">
        <f t="shared" si="85"/>
        <v>North</v>
      </c>
      <c r="N456" t="s">
        <v>24</v>
      </c>
      <c r="O456" t="str">
        <f t="shared" si="90"/>
        <v>Rajasthan</v>
      </c>
      <c r="P456" t="s">
        <v>25</v>
      </c>
      <c r="Q456" t="str">
        <f t="shared" si="91"/>
        <v>Jaipur</v>
      </c>
      <c r="R456" t="s">
        <v>39</v>
      </c>
      <c r="S456" t="str">
        <f t="shared" si="92"/>
        <v>Furniture</v>
      </c>
      <c r="T456" t="s">
        <v>55</v>
      </c>
      <c r="U456" t="str">
        <f t="shared" si="93"/>
        <v>Furnishings</v>
      </c>
      <c r="V456" t="s">
        <v>1485</v>
      </c>
      <c r="X456" t="s">
        <v>57</v>
      </c>
      <c r="Y456" t="str">
        <f t="shared" si="94"/>
        <v>Standard Class</v>
      </c>
      <c r="Z456">
        <v>9</v>
      </c>
      <c r="AA456">
        <v>3298</v>
      </c>
      <c r="AB456">
        <v>0.15</v>
      </c>
      <c r="AC456">
        <v>25229.7</v>
      </c>
      <c r="AD456">
        <v>20170.43</v>
      </c>
      <c r="AE456">
        <v>5059.2700000000004</v>
      </c>
      <c r="AF456" t="s">
        <v>30</v>
      </c>
      <c r="AG456" t="str">
        <f t="shared" si="95"/>
        <v>Paid</v>
      </c>
      <c r="AH456" t="s">
        <v>31</v>
      </c>
    </row>
    <row r="457" spans="1:34">
      <c r="A457" t="s">
        <v>1486</v>
      </c>
      <c r="B457">
        <f>COUNTIF($A:$A,A457)</f>
        <v>1</v>
      </c>
      <c r="C457" t="str">
        <f t="shared" si="86"/>
        <v>Unique</v>
      </c>
      <c r="D457" s="4">
        <v>45491</v>
      </c>
      <c r="E457">
        <f t="shared" si="87"/>
        <v>4</v>
      </c>
      <c r="F457" s="4">
        <v>45495</v>
      </c>
      <c r="G457" t="s">
        <v>1487</v>
      </c>
      <c r="H457" t="s">
        <v>77</v>
      </c>
      <c r="I457" t="str">
        <f t="shared" si="88"/>
        <v>Neha Gupta</v>
      </c>
      <c r="J457" t="s">
        <v>35</v>
      </c>
      <c r="K457" t="str">
        <f t="shared" si="89"/>
        <v>Small Business</v>
      </c>
      <c r="L457" t="s">
        <v>52</v>
      </c>
      <c r="M457" t="str">
        <f t="shared" si="85"/>
        <v>South</v>
      </c>
      <c r="N457" t="s">
        <v>53</v>
      </c>
      <c r="O457" t="str">
        <f t="shared" si="90"/>
        <v>Telangana</v>
      </c>
      <c r="P457" t="s">
        <v>54</v>
      </c>
      <c r="Q457" t="str">
        <f t="shared" si="91"/>
        <v>Hyderabad</v>
      </c>
      <c r="R457" t="s">
        <v>26</v>
      </c>
      <c r="S457" t="str">
        <f t="shared" si="92"/>
        <v>Office Supplies</v>
      </c>
      <c r="T457" t="s">
        <v>46</v>
      </c>
      <c r="U457" t="str">
        <f t="shared" si="93"/>
        <v>Art</v>
      </c>
      <c r="V457" t="s">
        <v>1488</v>
      </c>
      <c r="X457" t="s">
        <v>57</v>
      </c>
      <c r="Y457" t="str">
        <f t="shared" si="94"/>
        <v>Standard Class</v>
      </c>
      <c r="Z457">
        <v>4</v>
      </c>
      <c r="AA457">
        <v>808.77</v>
      </c>
      <c r="AB457">
        <v>0</v>
      </c>
      <c r="AC457">
        <v>3235.08</v>
      </c>
      <c r="AD457">
        <v>1848.6</v>
      </c>
      <c r="AE457">
        <v>1386.48</v>
      </c>
      <c r="AF457" t="s">
        <v>30</v>
      </c>
      <c r="AG457" t="str">
        <f t="shared" si="95"/>
        <v>Paid</v>
      </c>
      <c r="AH457" t="s">
        <v>31</v>
      </c>
    </row>
    <row r="458" spans="1:34">
      <c r="A458" t="s">
        <v>1489</v>
      </c>
      <c r="B458">
        <f>COUNTIF($A:$A,A458)</f>
        <v>1</v>
      </c>
      <c r="C458" t="str">
        <f t="shared" si="86"/>
        <v>Unique</v>
      </c>
      <c r="D458" s="4">
        <v>45342</v>
      </c>
      <c r="E458">
        <f t="shared" si="87"/>
        <v>0</v>
      </c>
      <c r="F458" s="4">
        <v>45342</v>
      </c>
      <c r="G458" t="s">
        <v>1490</v>
      </c>
      <c r="H458" t="s">
        <v>77</v>
      </c>
      <c r="I458" t="str">
        <f t="shared" si="88"/>
        <v>Neha Gupta</v>
      </c>
      <c r="J458" t="s">
        <v>88</v>
      </c>
      <c r="K458" t="str">
        <f t="shared" si="89"/>
        <v>Corporate</v>
      </c>
      <c r="L458" t="s">
        <v>23</v>
      </c>
      <c r="M458" t="str">
        <f t="shared" si="85"/>
        <v>North</v>
      </c>
      <c r="N458" t="s">
        <v>134</v>
      </c>
      <c r="O458" t="str">
        <f t="shared" si="90"/>
        <v>Uttar Pradesh</v>
      </c>
      <c r="P458" t="s">
        <v>135</v>
      </c>
      <c r="Q458" t="str">
        <f t="shared" si="91"/>
        <v>Noida</v>
      </c>
      <c r="R458" t="s">
        <v>72</v>
      </c>
      <c r="S458" t="str">
        <f t="shared" si="92"/>
        <v>Technology</v>
      </c>
      <c r="T458" t="s">
        <v>73</v>
      </c>
      <c r="U458" t="str">
        <f t="shared" si="93"/>
        <v>Accessories</v>
      </c>
      <c r="V458" t="s">
        <v>1491</v>
      </c>
      <c r="X458" t="s">
        <v>42</v>
      </c>
      <c r="Y458" t="str">
        <f t="shared" si="94"/>
        <v>Same Day</v>
      </c>
      <c r="Z458">
        <v>5</v>
      </c>
      <c r="AA458">
        <v>2604.91</v>
      </c>
      <c r="AB458">
        <v>0.15</v>
      </c>
      <c r="AC458">
        <v>11070.87</v>
      </c>
      <c r="AD458">
        <v>6623.61</v>
      </c>
      <c r="AE458">
        <v>4447.26</v>
      </c>
      <c r="AF458" t="s">
        <v>30</v>
      </c>
      <c r="AG458" t="str">
        <f t="shared" si="95"/>
        <v>Paid</v>
      </c>
      <c r="AH458" t="s">
        <v>101</v>
      </c>
    </row>
    <row r="459" spans="1:34">
      <c r="A459" t="s">
        <v>1492</v>
      </c>
      <c r="B459">
        <f>COUNTIF($A:$A,A459)</f>
        <v>1</v>
      </c>
      <c r="C459" t="str">
        <f t="shared" si="86"/>
        <v>Unique</v>
      </c>
      <c r="D459" s="4">
        <v>45416</v>
      </c>
      <c r="E459">
        <f t="shared" si="87"/>
        <v>-29</v>
      </c>
      <c r="F459" s="4">
        <v>45387</v>
      </c>
      <c r="G459" t="s">
        <v>1493</v>
      </c>
      <c r="H459" t="s">
        <v>34</v>
      </c>
      <c r="I459" t="str">
        <f t="shared" si="88"/>
        <v>Mira Das</v>
      </c>
      <c r="J459" t="s">
        <v>35</v>
      </c>
      <c r="K459" t="str">
        <f t="shared" si="89"/>
        <v>Small Business</v>
      </c>
      <c r="L459" t="s">
        <v>61</v>
      </c>
      <c r="M459" t="str">
        <f t="shared" si="85"/>
        <v>West</v>
      </c>
      <c r="N459" t="s">
        <v>188</v>
      </c>
      <c r="O459" t="str">
        <f t="shared" si="90"/>
        <v>Goa</v>
      </c>
      <c r="P459" t="s">
        <v>189</v>
      </c>
      <c r="Q459" t="str">
        <f t="shared" si="91"/>
        <v>Panaji</v>
      </c>
      <c r="R459" t="s">
        <v>39</v>
      </c>
      <c r="S459" t="str">
        <f t="shared" si="92"/>
        <v>Furniture</v>
      </c>
      <c r="T459" t="s">
        <v>40</v>
      </c>
      <c r="U459" t="str">
        <f t="shared" si="93"/>
        <v>Tables</v>
      </c>
      <c r="V459" t="s">
        <v>1494</v>
      </c>
      <c r="X459" t="s">
        <v>57</v>
      </c>
      <c r="Y459" t="str">
        <f t="shared" si="94"/>
        <v>Standard Class</v>
      </c>
      <c r="Z459">
        <v>7</v>
      </c>
      <c r="AA459">
        <v>2851.51</v>
      </c>
      <c r="AB459">
        <v>0</v>
      </c>
      <c r="AC459">
        <v>19960.57</v>
      </c>
      <c r="AD459">
        <v>16603.599999999999</v>
      </c>
      <c r="AE459">
        <v>3356.97</v>
      </c>
      <c r="AF459" t="s">
        <v>30</v>
      </c>
      <c r="AG459" t="str">
        <f t="shared" si="95"/>
        <v>Paid</v>
      </c>
      <c r="AH459" t="s">
        <v>31</v>
      </c>
    </row>
    <row r="460" spans="1:34">
      <c r="A460" t="s">
        <v>1495</v>
      </c>
      <c r="B460">
        <f>COUNTIF($A:$A,A460)</f>
        <v>1</v>
      </c>
      <c r="C460" t="str">
        <f t="shared" si="86"/>
        <v>Unique</v>
      </c>
      <c r="D460" s="4">
        <v>45567</v>
      </c>
      <c r="E460">
        <f t="shared" si="87"/>
        <v>-234</v>
      </c>
      <c r="F460" s="4">
        <v>45333</v>
      </c>
      <c r="G460" t="s">
        <v>1496</v>
      </c>
      <c r="H460" t="s">
        <v>21</v>
      </c>
      <c r="I460" t="str">
        <f t="shared" si="88"/>
        <v>Karan Malhotra</v>
      </c>
      <c r="J460" t="s">
        <v>88</v>
      </c>
      <c r="K460" t="str">
        <f t="shared" si="89"/>
        <v>Corporate</v>
      </c>
      <c r="L460" t="s">
        <v>23</v>
      </c>
      <c r="M460" t="str">
        <f t="shared" si="85"/>
        <v>North</v>
      </c>
      <c r="N460" t="s">
        <v>24</v>
      </c>
      <c r="O460" t="str">
        <f t="shared" si="90"/>
        <v>Rajasthan</v>
      </c>
      <c r="P460" t="s">
        <v>25</v>
      </c>
      <c r="Q460" t="str">
        <f t="shared" si="91"/>
        <v>Jaipur</v>
      </c>
      <c r="R460" t="s">
        <v>72</v>
      </c>
      <c r="S460" t="str">
        <f t="shared" si="92"/>
        <v>Technology</v>
      </c>
      <c r="T460" t="s">
        <v>169</v>
      </c>
      <c r="U460" t="str">
        <f t="shared" si="93"/>
        <v>Phones</v>
      </c>
      <c r="V460" t="s">
        <v>1497</v>
      </c>
      <c r="X460" t="s">
        <v>29</v>
      </c>
      <c r="Y460" t="str">
        <f t="shared" si="94"/>
        <v>Second Class</v>
      </c>
      <c r="Z460">
        <v>3</v>
      </c>
      <c r="AA460">
        <v>3183.72</v>
      </c>
      <c r="AB460">
        <v>0.1</v>
      </c>
      <c r="AC460">
        <v>8596.0400000000009</v>
      </c>
      <c r="AD460">
        <v>5378.16</v>
      </c>
      <c r="AE460">
        <v>3217.88</v>
      </c>
      <c r="AF460" t="s">
        <v>30</v>
      </c>
      <c r="AG460" t="str">
        <f t="shared" si="95"/>
        <v>Paid</v>
      </c>
      <c r="AH460" t="s">
        <v>31</v>
      </c>
    </row>
    <row r="461" spans="1:34">
      <c r="A461" t="s">
        <v>1498</v>
      </c>
      <c r="B461">
        <f>COUNTIF($A:$A,A461)</f>
        <v>1</v>
      </c>
      <c r="C461" t="str">
        <f t="shared" si="86"/>
        <v>Unique</v>
      </c>
      <c r="D461" s="4">
        <v>45379</v>
      </c>
      <c r="E461">
        <f t="shared" si="87"/>
        <v>7</v>
      </c>
      <c r="F461" s="4">
        <v>45386</v>
      </c>
      <c r="G461" t="s">
        <v>1499</v>
      </c>
      <c r="H461" t="s">
        <v>60</v>
      </c>
      <c r="I461" t="str">
        <f t="shared" si="88"/>
        <v>Ananya Rao</v>
      </c>
      <c r="J461" t="s">
        <v>93</v>
      </c>
      <c r="K461" t="str">
        <f t="shared" si="89"/>
        <v>Home Office</v>
      </c>
      <c r="L461" t="s">
        <v>61</v>
      </c>
      <c r="M461" t="str">
        <f t="shared" si="85"/>
        <v>West</v>
      </c>
      <c r="N461" t="s">
        <v>188</v>
      </c>
      <c r="O461" t="str">
        <f t="shared" si="90"/>
        <v>Goa</v>
      </c>
      <c r="P461" t="s">
        <v>189</v>
      </c>
      <c r="Q461" t="str">
        <f t="shared" si="91"/>
        <v>Panaji</v>
      </c>
      <c r="R461" t="s">
        <v>26</v>
      </c>
      <c r="S461" t="str">
        <f t="shared" si="92"/>
        <v>Office Supplies</v>
      </c>
      <c r="T461" t="s">
        <v>27</v>
      </c>
      <c r="U461" t="str">
        <f t="shared" si="93"/>
        <v>Paper</v>
      </c>
      <c r="V461" t="s">
        <v>1500</v>
      </c>
      <c r="X461" t="s">
        <v>48</v>
      </c>
      <c r="Y461" t="str">
        <f t="shared" si="94"/>
        <v>First Class</v>
      </c>
      <c r="Z461">
        <v>3</v>
      </c>
      <c r="AA461">
        <v>1150.92</v>
      </c>
      <c r="AB461">
        <v>0</v>
      </c>
      <c r="AC461">
        <v>3452.76</v>
      </c>
      <c r="AD461">
        <v>2077.96</v>
      </c>
      <c r="AE461">
        <v>1374.8</v>
      </c>
      <c r="AF461" t="s">
        <v>30</v>
      </c>
      <c r="AG461" t="str">
        <f t="shared" si="95"/>
        <v>Paid</v>
      </c>
      <c r="AH461" t="s">
        <v>31</v>
      </c>
    </row>
    <row r="462" spans="1:34">
      <c r="A462" t="s">
        <v>1501</v>
      </c>
      <c r="B462">
        <f>COUNTIF($A:$A,A462)</f>
        <v>1</v>
      </c>
      <c r="C462" t="str">
        <f t="shared" si="86"/>
        <v>Unique</v>
      </c>
      <c r="D462" s="4">
        <v>45930</v>
      </c>
      <c r="E462">
        <f t="shared" si="87"/>
        <v>-112</v>
      </c>
      <c r="F462" s="4">
        <v>45818</v>
      </c>
      <c r="G462" t="s">
        <v>1502</v>
      </c>
      <c r="H462" t="s">
        <v>126</v>
      </c>
      <c r="I462" t="str">
        <f t="shared" si="88"/>
        <v>Aarav Sharma</v>
      </c>
      <c r="J462" t="s">
        <v>88</v>
      </c>
      <c r="K462" t="str">
        <f t="shared" si="89"/>
        <v>Corporate</v>
      </c>
      <c r="M462" t="s">
        <v>2828</v>
      </c>
      <c r="N462" t="s">
        <v>24</v>
      </c>
      <c r="O462" t="str">
        <f t="shared" si="90"/>
        <v>Rajasthan</v>
      </c>
      <c r="P462" t="s">
        <v>25</v>
      </c>
      <c r="Q462" t="str">
        <f t="shared" si="91"/>
        <v>Jaipur</v>
      </c>
      <c r="R462" t="s">
        <v>72</v>
      </c>
      <c r="S462" t="str">
        <f t="shared" si="92"/>
        <v>Technology</v>
      </c>
      <c r="T462" t="s">
        <v>78</v>
      </c>
      <c r="U462" t="str">
        <f t="shared" si="93"/>
        <v>Copiers</v>
      </c>
      <c r="V462" t="s">
        <v>1503</v>
      </c>
      <c r="X462" t="s">
        <v>29</v>
      </c>
      <c r="Y462" t="str">
        <f t="shared" si="94"/>
        <v>Second Class</v>
      </c>
      <c r="Z462">
        <v>9</v>
      </c>
      <c r="AA462">
        <v>1359.88</v>
      </c>
      <c r="AB462">
        <v>0.05</v>
      </c>
      <c r="AC462">
        <v>11626.97</v>
      </c>
      <c r="AD462">
        <v>7394.07</v>
      </c>
      <c r="AE462">
        <v>4232.8999999999996</v>
      </c>
      <c r="AF462" t="s">
        <v>30</v>
      </c>
      <c r="AG462" t="str">
        <f t="shared" si="95"/>
        <v>Paid</v>
      </c>
      <c r="AH462" t="s">
        <v>31</v>
      </c>
    </row>
    <row r="463" spans="1:34">
      <c r="A463" t="s">
        <v>1504</v>
      </c>
      <c r="B463">
        <f>COUNTIF($A:$A,A463)</f>
        <v>1</v>
      </c>
      <c r="C463" t="str">
        <f t="shared" si="86"/>
        <v>Unique</v>
      </c>
      <c r="D463" s="4">
        <v>45802</v>
      </c>
      <c r="E463">
        <f t="shared" si="87"/>
        <v>1</v>
      </c>
      <c r="F463" s="4">
        <v>45803</v>
      </c>
      <c r="G463" t="s">
        <v>1505</v>
      </c>
      <c r="H463" t="s">
        <v>77</v>
      </c>
      <c r="I463" t="str">
        <f t="shared" si="88"/>
        <v>Neha Gupta</v>
      </c>
      <c r="J463" t="s">
        <v>88</v>
      </c>
      <c r="K463" t="str">
        <f t="shared" si="89"/>
        <v>Corporate</v>
      </c>
      <c r="L463" t="s">
        <v>52</v>
      </c>
      <c r="M463" t="str">
        <f t="shared" ref="M463:M479" si="96">PROPER(TRIM(L463))</f>
        <v>South</v>
      </c>
      <c r="N463" t="s">
        <v>82</v>
      </c>
      <c r="O463" t="str">
        <f t="shared" si="90"/>
        <v>Andhra Pradesh</v>
      </c>
      <c r="P463" t="s">
        <v>83</v>
      </c>
      <c r="Q463" t="str">
        <f t="shared" si="91"/>
        <v>Vijayawada</v>
      </c>
      <c r="R463" t="s">
        <v>26</v>
      </c>
      <c r="S463" t="str">
        <f t="shared" si="92"/>
        <v>Office Supplies</v>
      </c>
      <c r="T463" t="s">
        <v>27</v>
      </c>
      <c r="U463" t="str">
        <f t="shared" si="93"/>
        <v>Paper</v>
      </c>
      <c r="V463" t="s">
        <v>1506</v>
      </c>
      <c r="X463" t="s">
        <v>57</v>
      </c>
      <c r="Y463" t="str">
        <f t="shared" si="94"/>
        <v>Standard Class</v>
      </c>
      <c r="Z463">
        <v>3</v>
      </c>
      <c r="AA463">
        <v>3378.15</v>
      </c>
      <c r="AB463">
        <v>0.15</v>
      </c>
      <c r="AC463">
        <v>8614.2800000000007</v>
      </c>
      <c r="AD463">
        <v>7052.08</v>
      </c>
      <c r="AE463">
        <v>1562.2</v>
      </c>
      <c r="AF463" t="s">
        <v>30</v>
      </c>
      <c r="AG463" t="str">
        <f t="shared" si="95"/>
        <v>Paid</v>
      </c>
      <c r="AH463" t="s">
        <v>31</v>
      </c>
    </row>
    <row r="464" spans="1:34">
      <c r="A464" t="s">
        <v>1507</v>
      </c>
      <c r="B464">
        <f>COUNTIF($A:$A,A464)</f>
        <v>1</v>
      </c>
      <c r="C464" t="str">
        <f t="shared" si="86"/>
        <v>Unique</v>
      </c>
      <c r="D464" s="4">
        <v>45558</v>
      </c>
      <c r="E464">
        <f t="shared" si="87"/>
        <v>2</v>
      </c>
      <c r="F464" s="4">
        <v>45560</v>
      </c>
      <c r="G464" t="s">
        <v>1508</v>
      </c>
      <c r="H464" t="s">
        <v>126</v>
      </c>
      <c r="I464" t="str">
        <f t="shared" si="88"/>
        <v>Aarav Sharma</v>
      </c>
      <c r="J464" t="s">
        <v>93</v>
      </c>
      <c r="K464" t="str">
        <f t="shared" si="89"/>
        <v>Home Office</v>
      </c>
      <c r="L464" t="s">
        <v>23</v>
      </c>
      <c r="M464" t="str">
        <f t="shared" si="96"/>
        <v>North</v>
      </c>
      <c r="N464" t="s">
        <v>349</v>
      </c>
      <c r="O464" t="str">
        <f t="shared" si="90"/>
        <v>Delhi</v>
      </c>
      <c r="P464" t="s">
        <v>350</v>
      </c>
      <c r="Q464" t="str">
        <f t="shared" si="91"/>
        <v>New Delhi</v>
      </c>
      <c r="R464" t="s">
        <v>26</v>
      </c>
      <c r="S464" t="str">
        <f t="shared" si="92"/>
        <v>Office Supplies</v>
      </c>
      <c r="T464" t="s">
        <v>151</v>
      </c>
      <c r="U464" t="str">
        <f t="shared" si="93"/>
        <v>Binders</v>
      </c>
      <c r="V464" t="s">
        <v>1509</v>
      </c>
      <c r="X464" t="s">
        <v>48</v>
      </c>
      <c r="Y464" t="str">
        <f t="shared" si="94"/>
        <v>First Class</v>
      </c>
      <c r="Z464">
        <v>2</v>
      </c>
      <c r="AA464">
        <v>1275.1400000000001</v>
      </c>
      <c r="AB464">
        <v>0.2</v>
      </c>
      <c r="AC464">
        <v>2040.22</v>
      </c>
      <c r="AD464">
        <v>1395.71</v>
      </c>
      <c r="AE464">
        <v>644.51</v>
      </c>
      <c r="AF464" t="s">
        <v>30</v>
      </c>
      <c r="AG464" t="str">
        <f t="shared" si="95"/>
        <v>Paid</v>
      </c>
      <c r="AH464" t="s">
        <v>31</v>
      </c>
    </row>
    <row r="465" spans="1:34">
      <c r="A465" t="s">
        <v>1510</v>
      </c>
      <c r="B465">
        <f>COUNTIF($A:$A,A465)</f>
        <v>1</v>
      </c>
      <c r="C465" t="str">
        <f t="shared" si="86"/>
        <v>Unique</v>
      </c>
      <c r="D465" s="4">
        <v>45840</v>
      </c>
      <c r="E465">
        <f t="shared" si="87"/>
        <v>31</v>
      </c>
      <c r="F465" s="4">
        <v>45871</v>
      </c>
      <c r="G465" t="s">
        <v>1511</v>
      </c>
      <c r="H465" t="s">
        <v>51</v>
      </c>
      <c r="I465" t="str">
        <f t="shared" si="88"/>
        <v>Arjun Bose</v>
      </c>
      <c r="J465" t="s">
        <v>88</v>
      </c>
      <c r="K465" t="str">
        <f t="shared" si="89"/>
        <v>Corporate</v>
      </c>
      <c r="L465" t="s">
        <v>61</v>
      </c>
      <c r="M465" t="str">
        <f t="shared" si="96"/>
        <v>West</v>
      </c>
      <c r="N465" t="s">
        <v>70</v>
      </c>
      <c r="O465" t="str">
        <f t="shared" si="90"/>
        <v>Madhya Pradesh</v>
      </c>
      <c r="P465" t="s">
        <v>71</v>
      </c>
      <c r="Q465" t="str">
        <f t="shared" si="91"/>
        <v>Indore</v>
      </c>
      <c r="R465" t="s">
        <v>72</v>
      </c>
      <c r="S465" t="str">
        <f t="shared" si="92"/>
        <v>Technology</v>
      </c>
      <c r="T465" t="s">
        <v>169</v>
      </c>
      <c r="U465" t="str">
        <f t="shared" si="93"/>
        <v>Phones</v>
      </c>
      <c r="V465" t="s">
        <v>1512</v>
      </c>
      <c r="X465" t="s">
        <v>57</v>
      </c>
      <c r="Y465" t="str">
        <f t="shared" si="94"/>
        <v>Standard Class</v>
      </c>
      <c r="Z465">
        <v>4</v>
      </c>
      <c r="AA465">
        <v>889.5</v>
      </c>
      <c r="AB465">
        <v>0.2</v>
      </c>
      <c r="AC465">
        <v>2846.4</v>
      </c>
      <c r="AD465">
        <v>2132.37</v>
      </c>
      <c r="AE465">
        <v>714.03</v>
      </c>
      <c r="AF465" t="s">
        <v>30</v>
      </c>
      <c r="AG465" t="str">
        <f t="shared" si="95"/>
        <v>Paid</v>
      </c>
      <c r="AH465" t="s">
        <v>31</v>
      </c>
    </row>
    <row r="466" spans="1:34">
      <c r="A466" t="s">
        <v>1513</v>
      </c>
      <c r="B466">
        <f>COUNTIF($A:$A,A466)</f>
        <v>1</v>
      </c>
      <c r="C466" t="str">
        <f t="shared" si="86"/>
        <v>Unique</v>
      </c>
      <c r="D466" s="4">
        <v>45964</v>
      </c>
      <c r="E466">
        <f t="shared" si="87"/>
        <v>-233</v>
      </c>
      <c r="F466" s="4">
        <v>45731</v>
      </c>
      <c r="G466" t="s">
        <v>1514</v>
      </c>
      <c r="H466" t="s">
        <v>51</v>
      </c>
      <c r="I466" t="str">
        <f t="shared" si="88"/>
        <v>Arjun Bose</v>
      </c>
      <c r="J466" t="s">
        <v>88</v>
      </c>
      <c r="K466" t="str">
        <f t="shared" si="89"/>
        <v>Corporate</v>
      </c>
      <c r="L466" t="s">
        <v>36</v>
      </c>
      <c r="M466" t="str">
        <f t="shared" si="96"/>
        <v>East</v>
      </c>
      <c r="N466" t="s">
        <v>143</v>
      </c>
      <c r="O466" t="str">
        <f t="shared" si="90"/>
        <v>Bihar</v>
      </c>
      <c r="P466" t="s">
        <v>144</v>
      </c>
      <c r="Q466" t="str">
        <f t="shared" si="91"/>
        <v>Patna</v>
      </c>
      <c r="R466" t="s">
        <v>26</v>
      </c>
      <c r="S466" t="str">
        <f t="shared" si="92"/>
        <v>Office Supplies</v>
      </c>
      <c r="T466" t="s">
        <v>27</v>
      </c>
      <c r="U466" t="str">
        <f t="shared" si="93"/>
        <v>Paper</v>
      </c>
      <c r="V466" t="s">
        <v>1515</v>
      </c>
      <c r="X466" t="s">
        <v>42</v>
      </c>
      <c r="Y466" t="str">
        <f t="shared" si="94"/>
        <v>Same Day</v>
      </c>
      <c r="Z466">
        <v>3</v>
      </c>
      <c r="AA466">
        <v>3625.08</v>
      </c>
      <c r="AB466">
        <v>0.05</v>
      </c>
      <c r="AC466">
        <v>10331.48</v>
      </c>
      <c r="AD466">
        <v>7131.91</v>
      </c>
      <c r="AE466">
        <v>3199.57</v>
      </c>
      <c r="AF466" t="s">
        <v>109</v>
      </c>
      <c r="AG466" t="str">
        <f t="shared" si="95"/>
        <v>Pending</v>
      </c>
      <c r="AH466" t="s">
        <v>66</v>
      </c>
    </row>
    <row r="467" spans="1:34">
      <c r="A467" t="s">
        <v>1516</v>
      </c>
      <c r="B467">
        <f>COUNTIF($A:$A,A467)</f>
        <v>1</v>
      </c>
      <c r="C467" t="str">
        <f t="shared" si="86"/>
        <v>Unique</v>
      </c>
      <c r="D467" s="4">
        <v>45320</v>
      </c>
      <c r="E467">
        <f t="shared" si="87"/>
        <v>125</v>
      </c>
      <c r="F467" s="4">
        <v>45445</v>
      </c>
      <c r="G467" t="s">
        <v>1517</v>
      </c>
      <c r="H467" t="s">
        <v>126</v>
      </c>
      <c r="I467" t="str">
        <f t="shared" si="88"/>
        <v>Aarav Sharma</v>
      </c>
      <c r="J467" t="s">
        <v>35</v>
      </c>
      <c r="K467" t="str">
        <f t="shared" si="89"/>
        <v>Small Business</v>
      </c>
      <c r="L467" t="s">
        <v>61</v>
      </c>
      <c r="M467" t="str">
        <f t="shared" si="96"/>
        <v>West</v>
      </c>
      <c r="N467" t="s">
        <v>70</v>
      </c>
      <c r="O467" t="str">
        <f t="shared" si="90"/>
        <v>Madhya Pradesh</v>
      </c>
      <c r="P467" t="s">
        <v>71</v>
      </c>
      <c r="Q467" t="str">
        <f t="shared" si="91"/>
        <v>Indore</v>
      </c>
      <c r="R467" t="s">
        <v>26</v>
      </c>
      <c r="S467" t="str">
        <f t="shared" si="92"/>
        <v>Office Supplies</v>
      </c>
      <c r="T467" t="s">
        <v>89</v>
      </c>
      <c r="U467" t="str">
        <f t="shared" si="93"/>
        <v>Labels</v>
      </c>
      <c r="V467" t="s">
        <v>1518</v>
      </c>
      <c r="X467" t="s">
        <v>57</v>
      </c>
      <c r="Y467" t="str">
        <f t="shared" si="94"/>
        <v>Standard Class</v>
      </c>
      <c r="Z467">
        <v>2</v>
      </c>
      <c r="AA467">
        <v>1258.9000000000001</v>
      </c>
      <c r="AB467">
        <v>0</v>
      </c>
      <c r="AC467">
        <v>2517.8000000000002</v>
      </c>
      <c r="AD467">
        <v>1478.54</v>
      </c>
      <c r="AE467">
        <v>1039.26</v>
      </c>
      <c r="AF467" t="s">
        <v>30</v>
      </c>
      <c r="AG467" t="str">
        <f t="shared" si="95"/>
        <v>Paid</v>
      </c>
      <c r="AH467" t="s">
        <v>31</v>
      </c>
    </row>
    <row r="468" spans="1:34">
      <c r="A468" t="s">
        <v>1519</v>
      </c>
      <c r="B468">
        <f>COUNTIF($A:$A,A468)</f>
        <v>1</v>
      </c>
      <c r="C468" t="str">
        <f t="shared" si="86"/>
        <v>Unique</v>
      </c>
      <c r="D468" s="4">
        <v>45383</v>
      </c>
      <c r="E468">
        <f t="shared" si="87"/>
        <v>-84</v>
      </c>
      <c r="F468" s="4">
        <v>45299</v>
      </c>
      <c r="G468" t="s">
        <v>1520</v>
      </c>
      <c r="H468" t="s">
        <v>34</v>
      </c>
      <c r="I468" t="str">
        <f t="shared" si="88"/>
        <v>Mira Das</v>
      </c>
      <c r="J468" t="s">
        <v>35</v>
      </c>
      <c r="K468" t="str">
        <f t="shared" si="89"/>
        <v>Small Business</v>
      </c>
      <c r="L468" t="s">
        <v>36</v>
      </c>
      <c r="M468" t="str">
        <f t="shared" si="96"/>
        <v>East</v>
      </c>
      <c r="N468" t="s">
        <v>143</v>
      </c>
      <c r="O468" t="str">
        <f t="shared" si="90"/>
        <v>Bihar</v>
      </c>
      <c r="P468" t="s">
        <v>144</v>
      </c>
      <c r="Q468" t="str">
        <f t="shared" si="91"/>
        <v>Patna</v>
      </c>
      <c r="R468" t="s">
        <v>72</v>
      </c>
      <c r="S468" t="str">
        <f t="shared" si="92"/>
        <v>Technology</v>
      </c>
      <c r="T468" t="s">
        <v>73</v>
      </c>
      <c r="U468" t="str">
        <f t="shared" si="93"/>
        <v>Accessories</v>
      </c>
      <c r="V468" t="s">
        <v>1521</v>
      </c>
      <c r="X468" t="s">
        <v>42</v>
      </c>
      <c r="Y468" t="str">
        <f t="shared" si="94"/>
        <v>Same Day</v>
      </c>
      <c r="Z468">
        <v>9</v>
      </c>
      <c r="AA468">
        <v>1591.96</v>
      </c>
      <c r="AB468">
        <v>0.2</v>
      </c>
      <c r="AC468">
        <v>11462.11</v>
      </c>
      <c r="AD468">
        <v>7105.48</v>
      </c>
      <c r="AE468">
        <v>4356.63</v>
      </c>
      <c r="AF468" t="s">
        <v>30</v>
      </c>
      <c r="AG468" t="str">
        <f t="shared" si="95"/>
        <v>Paid</v>
      </c>
      <c r="AH468" t="s">
        <v>31</v>
      </c>
    </row>
    <row r="469" spans="1:34">
      <c r="A469" t="s">
        <v>1522</v>
      </c>
      <c r="B469">
        <f>COUNTIF($A:$A,A469)</f>
        <v>1</v>
      </c>
      <c r="C469" t="str">
        <f t="shared" si="86"/>
        <v>Unique</v>
      </c>
      <c r="D469" s="4">
        <v>45524</v>
      </c>
      <c r="E469">
        <f t="shared" si="87"/>
        <v>1</v>
      </c>
      <c r="F469" s="4">
        <v>45525</v>
      </c>
      <c r="G469" t="s">
        <v>1523</v>
      </c>
      <c r="H469" t="s">
        <v>87</v>
      </c>
      <c r="I469" t="str">
        <f t="shared" si="88"/>
        <v>Aditi Sen</v>
      </c>
      <c r="J469" t="s">
        <v>88</v>
      </c>
      <c r="K469" t="str">
        <f t="shared" si="89"/>
        <v>Corporate</v>
      </c>
      <c r="L469" t="s">
        <v>36</v>
      </c>
      <c r="M469" t="str">
        <f t="shared" si="96"/>
        <v>East</v>
      </c>
      <c r="N469" t="s">
        <v>37</v>
      </c>
      <c r="O469" t="str">
        <f t="shared" si="90"/>
        <v>Odisha</v>
      </c>
      <c r="P469" t="s">
        <v>38</v>
      </c>
      <c r="Q469" t="str">
        <f t="shared" si="91"/>
        <v>Bhubaneswar</v>
      </c>
      <c r="R469" t="s">
        <v>72</v>
      </c>
      <c r="S469" t="str">
        <f t="shared" si="92"/>
        <v>Technology</v>
      </c>
      <c r="T469" t="s">
        <v>78</v>
      </c>
      <c r="U469" t="str">
        <f t="shared" si="93"/>
        <v>Copiers</v>
      </c>
      <c r="V469" t="s">
        <v>1524</v>
      </c>
      <c r="X469" t="s">
        <v>48</v>
      </c>
      <c r="Y469" t="str">
        <f t="shared" si="94"/>
        <v>First Class</v>
      </c>
      <c r="Z469">
        <v>5</v>
      </c>
      <c r="AA469">
        <v>4288.33</v>
      </c>
      <c r="AB469">
        <v>0.1</v>
      </c>
      <c r="AC469">
        <v>19297.490000000002</v>
      </c>
      <c r="AD469">
        <v>15451.66</v>
      </c>
      <c r="AE469">
        <v>3845.83</v>
      </c>
      <c r="AF469" t="s">
        <v>100</v>
      </c>
      <c r="AG469" t="str">
        <f t="shared" si="95"/>
        <v>Refunded</v>
      </c>
      <c r="AH469" t="s">
        <v>66</v>
      </c>
    </row>
    <row r="470" spans="1:34">
      <c r="A470" t="s">
        <v>1525</v>
      </c>
      <c r="B470">
        <f>COUNTIF($A:$A,A470)</f>
        <v>1</v>
      </c>
      <c r="C470" t="str">
        <f t="shared" si="86"/>
        <v>Unique</v>
      </c>
      <c r="D470" s="4">
        <v>45901</v>
      </c>
      <c r="E470">
        <f t="shared" si="87"/>
        <v>-62</v>
      </c>
      <c r="F470" s="4">
        <v>45839</v>
      </c>
      <c r="G470" t="s">
        <v>1526</v>
      </c>
      <c r="H470" t="s">
        <v>126</v>
      </c>
      <c r="I470" t="str">
        <f t="shared" si="88"/>
        <v>Aarav Sharma</v>
      </c>
      <c r="J470" t="s">
        <v>93</v>
      </c>
      <c r="K470" t="str">
        <f t="shared" si="89"/>
        <v>Home Office</v>
      </c>
      <c r="L470" t="s">
        <v>36</v>
      </c>
      <c r="M470" t="str">
        <f t="shared" si="96"/>
        <v>East</v>
      </c>
      <c r="N470" t="s">
        <v>97</v>
      </c>
      <c r="O470" t="str">
        <f t="shared" si="90"/>
        <v>West Bengal</v>
      </c>
      <c r="P470" t="s">
        <v>98</v>
      </c>
      <c r="Q470" t="str">
        <f t="shared" si="91"/>
        <v>Kolkata</v>
      </c>
      <c r="R470" t="s">
        <v>26</v>
      </c>
      <c r="S470" t="str">
        <f t="shared" si="92"/>
        <v>Office Supplies</v>
      </c>
      <c r="T470" t="s">
        <v>151</v>
      </c>
      <c r="U470" t="str">
        <f t="shared" si="93"/>
        <v>Binders</v>
      </c>
      <c r="V470" t="s">
        <v>1527</v>
      </c>
      <c r="X470" t="s">
        <v>29</v>
      </c>
      <c r="Y470" t="str">
        <f t="shared" si="94"/>
        <v>Second Class</v>
      </c>
      <c r="Z470">
        <v>3</v>
      </c>
      <c r="AA470">
        <v>2188.33</v>
      </c>
      <c r="AB470">
        <v>0</v>
      </c>
      <c r="AC470">
        <v>6564.99</v>
      </c>
      <c r="AD470">
        <v>5407.24</v>
      </c>
      <c r="AE470">
        <v>1157.75</v>
      </c>
      <c r="AF470" t="s">
        <v>30</v>
      </c>
      <c r="AG470" t="str">
        <f t="shared" si="95"/>
        <v>Paid</v>
      </c>
      <c r="AH470" t="s">
        <v>31</v>
      </c>
    </row>
    <row r="471" spans="1:34">
      <c r="A471" t="s">
        <v>1528</v>
      </c>
      <c r="B471">
        <f>COUNTIF($A:$A,A471)</f>
        <v>1</v>
      </c>
      <c r="C471" t="str">
        <f t="shared" si="86"/>
        <v>Unique</v>
      </c>
      <c r="D471" s="4">
        <v>45310</v>
      </c>
      <c r="E471">
        <f t="shared" si="87"/>
        <v>6</v>
      </c>
      <c r="F471" s="4">
        <v>45316</v>
      </c>
      <c r="G471" t="s">
        <v>1529</v>
      </c>
      <c r="H471" t="s">
        <v>87</v>
      </c>
      <c r="I471" t="str">
        <f t="shared" si="88"/>
        <v>Aditi Sen</v>
      </c>
      <c r="J471" t="s">
        <v>88</v>
      </c>
      <c r="K471" t="str">
        <f t="shared" si="89"/>
        <v>Corporate</v>
      </c>
      <c r="L471" t="s">
        <v>61</v>
      </c>
      <c r="M471" t="str">
        <f t="shared" si="96"/>
        <v>West</v>
      </c>
      <c r="N471" t="s">
        <v>188</v>
      </c>
      <c r="O471" t="str">
        <f t="shared" si="90"/>
        <v>Goa</v>
      </c>
      <c r="P471" t="s">
        <v>189</v>
      </c>
      <c r="Q471" t="str">
        <f t="shared" si="91"/>
        <v>Panaji</v>
      </c>
      <c r="R471" t="s">
        <v>72</v>
      </c>
      <c r="S471" t="str">
        <f t="shared" si="92"/>
        <v>Technology</v>
      </c>
      <c r="T471" t="s">
        <v>78</v>
      </c>
      <c r="U471" t="str">
        <f t="shared" si="93"/>
        <v>Copiers</v>
      </c>
      <c r="V471" t="s">
        <v>1530</v>
      </c>
      <c r="X471" t="s">
        <v>48</v>
      </c>
      <c r="Y471" t="str">
        <f t="shared" si="94"/>
        <v>First Class</v>
      </c>
      <c r="Z471">
        <v>3</v>
      </c>
      <c r="AA471">
        <v>1041.6600000000001</v>
      </c>
      <c r="AB471">
        <v>0.1</v>
      </c>
      <c r="AC471">
        <v>2812.48</v>
      </c>
      <c r="AD471">
        <v>2282.12</v>
      </c>
      <c r="AE471">
        <v>530.36</v>
      </c>
      <c r="AF471" t="s">
        <v>30</v>
      </c>
      <c r="AG471" t="str">
        <f t="shared" si="95"/>
        <v>Paid</v>
      </c>
      <c r="AH471" t="s">
        <v>31</v>
      </c>
    </row>
    <row r="472" spans="1:34">
      <c r="A472" t="s">
        <v>1531</v>
      </c>
      <c r="B472">
        <f>COUNTIF($A:$A,A472)</f>
        <v>1</v>
      </c>
      <c r="C472" t="str">
        <f t="shared" si="86"/>
        <v>Unique</v>
      </c>
      <c r="D472" s="4">
        <v>45501</v>
      </c>
      <c r="E472">
        <f t="shared" si="87"/>
        <v>3</v>
      </c>
      <c r="F472" s="4">
        <v>45504</v>
      </c>
      <c r="G472" t="s">
        <v>1532</v>
      </c>
      <c r="H472" t="s">
        <v>87</v>
      </c>
      <c r="I472" t="str">
        <f t="shared" si="88"/>
        <v>Aditi Sen</v>
      </c>
      <c r="J472" t="s">
        <v>22</v>
      </c>
      <c r="K472" t="str">
        <f t="shared" si="89"/>
        <v>Consumer</v>
      </c>
      <c r="L472" t="s">
        <v>23</v>
      </c>
      <c r="M472" t="str">
        <f t="shared" si="96"/>
        <v>North</v>
      </c>
      <c r="N472" t="s">
        <v>24</v>
      </c>
      <c r="O472" t="str">
        <f t="shared" si="90"/>
        <v>Rajasthan</v>
      </c>
      <c r="P472" t="s">
        <v>25</v>
      </c>
      <c r="Q472" t="str">
        <f t="shared" si="91"/>
        <v>Jaipur</v>
      </c>
      <c r="R472" t="s">
        <v>39</v>
      </c>
      <c r="S472" t="str">
        <f t="shared" si="92"/>
        <v>Furniture</v>
      </c>
      <c r="T472" t="s">
        <v>40</v>
      </c>
      <c r="U472" t="str">
        <f t="shared" si="93"/>
        <v>Tables</v>
      </c>
      <c r="V472" t="s">
        <v>1533</v>
      </c>
      <c r="X472" t="s">
        <v>42</v>
      </c>
      <c r="Y472" t="str">
        <f t="shared" si="94"/>
        <v>Same Day</v>
      </c>
      <c r="Z472">
        <v>2</v>
      </c>
      <c r="AA472">
        <v>4424.78</v>
      </c>
      <c r="AB472">
        <v>0.2</v>
      </c>
      <c r="AC472">
        <v>7079.65</v>
      </c>
      <c r="AD472">
        <v>4465.91</v>
      </c>
      <c r="AE472">
        <v>2613.7399999999998</v>
      </c>
      <c r="AF472" t="s">
        <v>30</v>
      </c>
      <c r="AG472" t="str">
        <f t="shared" si="95"/>
        <v>Paid</v>
      </c>
      <c r="AH472" t="s">
        <v>31</v>
      </c>
    </row>
    <row r="473" spans="1:34">
      <c r="A473" t="s">
        <v>1534</v>
      </c>
      <c r="B473">
        <f>COUNTIF($A:$A,A473)</f>
        <v>1</v>
      </c>
      <c r="C473" t="str">
        <f t="shared" si="86"/>
        <v>Unique</v>
      </c>
      <c r="D473" s="4">
        <v>45598</v>
      </c>
      <c r="E473">
        <f t="shared" si="87"/>
        <v>-261</v>
      </c>
      <c r="F473" s="4">
        <v>45337</v>
      </c>
      <c r="G473" t="s">
        <v>1535</v>
      </c>
      <c r="H473" t="s">
        <v>263</v>
      </c>
      <c r="I473" t="str">
        <f t="shared" si="88"/>
        <v>Kabir Singh</v>
      </c>
      <c r="J473" t="s">
        <v>22</v>
      </c>
      <c r="K473" t="str">
        <f t="shared" si="89"/>
        <v>Consumer</v>
      </c>
      <c r="L473" t="s">
        <v>52</v>
      </c>
      <c r="M473" t="str">
        <f t="shared" si="96"/>
        <v>South</v>
      </c>
      <c r="N473" t="s">
        <v>53</v>
      </c>
      <c r="O473" t="str">
        <f t="shared" si="90"/>
        <v>Telangana</v>
      </c>
      <c r="P473" t="s">
        <v>54</v>
      </c>
      <c r="Q473" t="str">
        <f t="shared" si="91"/>
        <v>Hyderabad</v>
      </c>
      <c r="R473" t="s">
        <v>26</v>
      </c>
      <c r="S473" t="str">
        <f t="shared" si="92"/>
        <v>Office Supplies</v>
      </c>
      <c r="T473" t="s">
        <v>151</v>
      </c>
      <c r="U473" t="str">
        <f t="shared" si="93"/>
        <v>Binders</v>
      </c>
      <c r="V473" t="s">
        <v>1536</v>
      </c>
      <c r="X473" t="s">
        <v>57</v>
      </c>
      <c r="Y473" t="str">
        <f t="shared" si="94"/>
        <v>Standard Class</v>
      </c>
      <c r="Z473">
        <v>3</v>
      </c>
      <c r="AA473">
        <v>3019.14</v>
      </c>
      <c r="AB473">
        <v>0.25</v>
      </c>
      <c r="AC473">
        <v>6793.07</v>
      </c>
      <c r="AD473">
        <v>4985.22</v>
      </c>
      <c r="AE473">
        <v>1807.85</v>
      </c>
      <c r="AF473" t="s">
        <v>30</v>
      </c>
      <c r="AG473" t="str">
        <f t="shared" si="95"/>
        <v>Paid</v>
      </c>
      <c r="AH473" t="s">
        <v>31</v>
      </c>
    </row>
    <row r="474" spans="1:34">
      <c r="A474" t="s">
        <v>1537</v>
      </c>
      <c r="B474">
        <f>COUNTIF($A:$A,A474)</f>
        <v>1</v>
      </c>
      <c r="C474" t="str">
        <f t="shared" si="86"/>
        <v>Unique</v>
      </c>
      <c r="D474" s="4">
        <v>45325</v>
      </c>
      <c r="E474">
        <f t="shared" si="87"/>
        <v>33</v>
      </c>
      <c r="F474" s="4">
        <v>45358</v>
      </c>
      <c r="G474" t="s">
        <v>1538</v>
      </c>
      <c r="H474" t="s">
        <v>139</v>
      </c>
      <c r="I474" t="str">
        <f t="shared" si="88"/>
        <v>Rohan Mehta</v>
      </c>
      <c r="J474" t="s">
        <v>88</v>
      </c>
      <c r="K474" t="str">
        <f t="shared" si="89"/>
        <v>Corporate</v>
      </c>
      <c r="L474" t="s">
        <v>36</v>
      </c>
      <c r="M474" t="str">
        <f t="shared" si="96"/>
        <v>East</v>
      </c>
      <c r="N474" t="s">
        <v>37</v>
      </c>
      <c r="O474" t="str">
        <f t="shared" si="90"/>
        <v>Odisha</v>
      </c>
      <c r="P474" t="s">
        <v>38</v>
      </c>
      <c r="Q474" t="str">
        <f t="shared" si="91"/>
        <v>Bhubaneswar</v>
      </c>
      <c r="R474" t="s">
        <v>26</v>
      </c>
      <c r="S474" t="str">
        <f t="shared" si="92"/>
        <v>Office Supplies</v>
      </c>
      <c r="T474" t="s">
        <v>122</v>
      </c>
      <c r="U474" t="str">
        <f t="shared" si="93"/>
        <v>Storage</v>
      </c>
      <c r="V474" t="s">
        <v>1539</v>
      </c>
      <c r="X474" t="s">
        <v>57</v>
      </c>
      <c r="Y474" t="str">
        <f t="shared" si="94"/>
        <v>Standard Class</v>
      </c>
      <c r="Z474">
        <v>7</v>
      </c>
      <c r="AA474">
        <v>263.45999999999998</v>
      </c>
      <c r="AB474">
        <v>0</v>
      </c>
      <c r="AC474">
        <v>1844.22</v>
      </c>
      <c r="AD474">
        <v>1094.21</v>
      </c>
      <c r="AE474">
        <v>750.01</v>
      </c>
      <c r="AF474" t="s">
        <v>30</v>
      </c>
      <c r="AG474" t="str">
        <f t="shared" si="95"/>
        <v>Paid</v>
      </c>
      <c r="AH474" t="s">
        <v>31</v>
      </c>
    </row>
    <row r="475" spans="1:34">
      <c r="A475" t="s">
        <v>1540</v>
      </c>
      <c r="B475">
        <f>COUNTIF($A:$A,A475)</f>
        <v>1</v>
      </c>
      <c r="C475" t="str">
        <f t="shared" si="86"/>
        <v>Unique</v>
      </c>
      <c r="D475" s="4">
        <v>45609</v>
      </c>
      <c r="E475">
        <f t="shared" si="87"/>
        <v>0</v>
      </c>
      <c r="F475" s="4">
        <v>45609</v>
      </c>
      <c r="G475" t="s">
        <v>1541</v>
      </c>
      <c r="H475" t="s">
        <v>112</v>
      </c>
      <c r="I475" t="str">
        <f t="shared" si="88"/>
        <v>Priya Menon</v>
      </c>
      <c r="J475" t="s">
        <v>22</v>
      </c>
      <c r="K475" t="str">
        <f t="shared" si="89"/>
        <v>Consumer</v>
      </c>
      <c r="L475" t="s">
        <v>61</v>
      </c>
      <c r="M475" t="str">
        <f t="shared" si="96"/>
        <v>West</v>
      </c>
      <c r="N475" t="s">
        <v>188</v>
      </c>
      <c r="O475" t="str">
        <f t="shared" si="90"/>
        <v>Goa</v>
      </c>
      <c r="P475" t="s">
        <v>189</v>
      </c>
      <c r="Q475" t="str">
        <f t="shared" si="91"/>
        <v>Panaji</v>
      </c>
      <c r="R475" t="s">
        <v>72</v>
      </c>
      <c r="S475" t="str">
        <f t="shared" si="92"/>
        <v>Technology</v>
      </c>
      <c r="T475" t="s">
        <v>78</v>
      </c>
      <c r="U475" t="str">
        <f t="shared" si="93"/>
        <v>Copiers</v>
      </c>
      <c r="V475" t="s">
        <v>1542</v>
      </c>
      <c r="X475" t="s">
        <v>57</v>
      </c>
      <c r="Y475" t="str">
        <f t="shared" si="94"/>
        <v>Standard Class</v>
      </c>
      <c r="Z475">
        <v>6</v>
      </c>
      <c r="AA475">
        <v>191.45</v>
      </c>
      <c r="AB475">
        <v>0.2</v>
      </c>
      <c r="AC475">
        <v>918.96</v>
      </c>
      <c r="AD475">
        <v>554.17999999999995</v>
      </c>
      <c r="AE475">
        <v>364.78</v>
      </c>
      <c r="AF475" t="s">
        <v>30</v>
      </c>
      <c r="AG475" t="str">
        <f t="shared" si="95"/>
        <v>Paid</v>
      </c>
      <c r="AH475" t="s">
        <v>31</v>
      </c>
    </row>
    <row r="476" spans="1:34">
      <c r="A476" t="s">
        <v>1543</v>
      </c>
      <c r="B476">
        <f>COUNTIF($A:$A,A476)</f>
        <v>1</v>
      </c>
      <c r="C476" t="str">
        <f t="shared" si="86"/>
        <v>Unique</v>
      </c>
      <c r="D476" s="4">
        <v>45357</v>
      </c>
      <c r="E476">
        <f t="shared" si="87"/>
        <v>214</v>
      </c>
      <c r="F476" s="4">
        <v>45571</v>
      </c>
      <c r="G476" t="s">
        <v>1544</v>
      </c>
      <c r="H476" t="s">
        <v>160</v>
      </c>
      <c r="I476" t="str">
        <f t="shared" si="88"/>
        <v>Diya Patel</v>
      </c>
      <c r="J476" t="s">
        <v>88</v>
      </c>
      <c r="K476" t="str">
        <f t="shared" si="89"/>
        <v>Corporate</v>
      </c>
      <c r="L476" t="s">
        <v>23</v>
      </c>
      <c r="M476" t="str">
        <f t="shared" si="96"/>
        <v>North</v>
      </c>
      <c r="N476" t="s">
        <v>120</v>
      </c>
      <c r="O476" t="str">
        <f t="shared" si="90"/>
        <v>Punjab</v>
      </c>
      <c r="P476" t="s">
        <v>121</v>
      </c>
      <c r="Q476" t="str">
        <f t="shared" si="91"/>
        <v>Ludhiana</v>
      </c>
      <c r="R476" t="s">
        <v>39</v>
      </c>
      <c r="S476" t="str">
        <f t="shared" si="92"/>
        <v>Furniture</v>
      </c>
      <c r="T476" t="s">
        <v>55</v>
      </c>
      <c r="U476" t="str">
        <f t="shared" si="93"/>
        <v>Furnishings</v>
      </c>
      <c r="V476" t="s">
        <v>1545</v>
      </c>
      <c r="X476" t="s">
        <v>57</v>
      </c>
      <c r="Y476" t="str">
        <f t="shared" si="94"/>
        <v>Standard Class</v>
      </c>
      <c r="Z476">
        <v>3</v>
      </c>
      <c r="AA476">
        <v>1633.57</v>
      </c>
      <c r="AB476">
        <v>0</v>
      </c>
      <c r="AC476">
        <v>4900.71</v>
      </c>
      <c r="AD476">
        <v>2713.9</v>
      </c>
      <c r="AE476">
        <v>2186.81</v>
      </c>
      <c r="AF476" t="s">
        <v>30</v>
      </c>
      <c r="AG476" t="str">
        <f t="shared" si="95"/>
        <v>Paid</v>
      </c>
      <c r="AH476" t="s">
        <v>31</v>
      </c>
    </row>
    <row r="477" spans="1:34">
      <c r="A477" t="s">
        <v>1546</v>
      </c>
      <c r="B477">
        <f>COUNTIF($A:$A,A477)</f>
        <v>1</v>
      </c>
      <c r="C477" t="str">
        <f t="shared" si="86"/>
        <v>Unique</v>
      </c>
      <c r="D477" s="4">
        <v>45717</v>
      </c>
      <c r="E477">
        <f t="shared" si="87"/>
        <v>155</v>
      </c>
      <c r="F477" s="4">
        <v>45872</v>
      </c>
      <c r="G477" t="s">
        <v>1547</v>
      </c>
      <c r="H477" t="s">
        <v>69</v>
      </c>
      <c r="I477" t="str">
        <f t="shared" si="88"/>
        <v>Vikram Iyer</v>
      </c>
      <c r="J477" t="s">
        <v>22</v>
      </c>
      <c r="K477" t="str">
        <f t="shared" si="89"/>
        <v>Consumer</v>
      </c>
      <c r="L477" t="s">
        <v>36</v>
      </c>
      <c r="M477" t="str">
        <f t="shared" si="96"/>
        <v>East</v>
      </c>
      <c r="N477" t="s">
        <v>97</v>
      </c>
      <c r="O477" t="str">
        <f t="shared" si="90"/>
        <v>West Bengal</v>
      </c>
      <c r="P477" t="s">
        <v>98</v>
      </c>
      <c r="Q477" t="str">
        <f t="shared" si="91"/>
        <v>Kolkata</v>
      </c>
      <c r="R477" t="s">
        <v>39</v>
      </c>
      <c r="S477" t="str">
        <f t="shared" si="92"/>
        <v>Furniture</v>
      </c>
      <c r="T477" t="s">
        <v>64</v>
      </c>
      <c r="U477" t="str">
        <f t="shared" si="93"/>
        <v>Chairs</v>
      </c>
      <c r="V477" t="s">
        <v>1548</v>
      </c>
      <c r="X477" t="s">
        <v>42</v>
      </c>
      <c r="Y477" t="str">
        <f t="shared" si="94"/>
        <v>Same Day</v>
      </c>
      <c r="Z477">
        <v>8</v>
      </c>
      <c r="AA477">
        <v>3378.82</v>
      </c>
      <c r="AB477">
        <v>0.25</v>
      </c>
      <c r="AC477">
        <v>20272.919999999998</v>
      </c>
      <c r="AD477">
        <v>15873.38</v>
      </c>
      <c r="AE477">
        <v>4399.54</v>
      </c>
      <c r="AF477" t="s">
        <v>109</v>
      </c>
      <c r="AG477" t="str">
        <f t="shared" si="95"/>
        <v>Pending</v>
      </c>
      <c r="AH477" t="s">
        <v>101</v>
      </c>
    </row>
    <row r="478" spans="1:34">
      <c r="A478" t="s">
        <v>1549</v>
      </c>
      <c r="B478">
        <f>COUNTIF($A:$A,A478)</f>
        <v>1</v>
      </c>
      <c r="C478" t="str">
        <f t="shared" si="86"/>
        <v>Unique</v>
      </c>
      <c r="D478" s="4">
        <v>45419</v>
      </c>
      <c r="E478">
        <f t="shared" si="87"/>
        <v>7</v>
      </c>
      <c r="F478" s="4">
        <v>45426</v>
      </c>
      <c r="G478" t="s">
        <v>1550</v>
      </c>
      <c r="H478" t="s">
        <v>130</v>
      </c>
      <c r="I478" t="str">
        <f t="shared" si="88"/>
        <v>Sneha Kapoor</v>
      </c>
      <c r="J478" t="s">
        <v>35</v>
      </c>
      <c r="K478" t="str">
        <f t="shared" si="89"/>
        <v>Small Business</v>
      </c>
      <c r="L478" t="s">
        <v>23</v>
      </c>
      <c r="M478" t="str">
        <f t="shared" si="96"/>
        <v>North</v>
      </c>
      <c r="N478" t="s">
        <v>24</v>
      </c>
      <c r="O478" t="str">
        <f t="shared" si="90"/>
        <v>Rajasthan</v>
      </c>
      <c r="P478" t="s">
        <v>25</v>
      </c>
      <c r="Q478" t="str">
        <f t="shared" si="91"/>
        <v>Jaipur</v>
      </c>
      <c r="R478" t="s">
        <v>26</v>
      </c>
      <c r="S478" t="str">
        <f t="shared" si="92"/>
        <v>Office Supplies</v>
      </c>
      <c r="T478" t="s">
        <v>122</v>
      </c>
      <c r="U478" t="str">
        <f t="shared" si="93"/>
        <v>Storage</v>
      </c>
      <c r="V478" t="s">
        <v>1551</v>
      </c>
      <c r="X478" t="s">
        <v>48</v>
      </c>
      <c r="Y478" t="str">
        <f t="shared" si="94"/>
        <v>First Class</v>
      </c>
      <c r="Z478">
        <v>3</v>
      </c>
      <c r="AA478">
        <v>383.58</v>
      </c>
      <c r="AB478">
        <v>0.1</v>
      </c>
      <c r="AC478">
        <v>1035.67</v>
      </c>
      <c r="AD478">
        <v>595.41999999999996</v>
      </c>
      <c r="AE478">
        <v>440.25</v>
      </c>
      <c r="AF478" t="s">
        <v>30</v>
      </c>
      <c r="AG478" t="str">
        <f t="shared" si="95"/>
        <v>Paid</v>
      </c>
      <c r="AH478" t="s">
        <v>31</v>
      </c>
    </row>
    <row r="479" spans="1:34">
      <c r="A479" t="s">
        <v>1552</v>
      </c>
      <c r="B479">
        <f>COUNTIF($A:$A,A479)</f>
        <v>1</v>
      </c>
      <c r="C479" t="str">
        <f t="shared" si="86"/>
        <v>Unique</v>
      </c>
      <c r="D479" s="4">
        <v>45892</v>
      </c>
      <c r="E479">
        <f t="shared" si="87"/>
        <v>5</v>
      </c>
      <c r="F479" s="4">
        <v>45897</v>
      </c>
      <c r="G479" t="s">
        <v>1553</v>
      </c>
      <c r="H479" t="s">
        <v>69</v>
      </c>
      <c r="I479" t="str">
        <f t="shared" si="88"/>
        <v>Vikram Iyer</v>
      </c>
      <c r="J479" t="s">
        <v>88</v>
      </c>
      <c r="K479" t="str">
        <f t="shared" si="89"/>
        <v>Corporate</v>
      </c>
      <c r="L479" t="s">
        <v>61</v>
      </c>
      <c r="M479" t="str">
        <f t="shared" si="96"/>
        <v>West</v>
      </c>
      <c r="N479" t="s">
        <v>178</v>
      </c>
      <c r="O479" t="str">
        <f t="shared" si="90"/>
        <v>Gujarat</v>
      </c>
      <c r="P479" t="s">
        <v>179</v>
      </c>
      <c r="Q479" t="str">
        <f t="shared" si="91"/>
        <v>Ahmedabad</v>
      </c>
      <c r="R479" t="s">
        <v>39</v>
      </c>
      <c r="S479" t="str">
        <f t="shared" si="92"/>
        <v>Furniture</v>
      </c>
      <c r="T479" t="s">
        <v>64</v>
      </c>
      <c r="U479" t="str">
        <f t="shared" si="93"/>
        <v>Chairs</v>
      </c>
      <c r="V479" t="s">
        <v>1554</v>
      </c>
      <c r="X479" t="s">
        <v>57</v>
      </c>
      <c r="Y479" t="str">
        <f t="shared" si="94"/>
        <v>Standard Class</v>
      </c>
      <c r="Z479">
        <v>6</v>
      </c>
      <c r="AA479">
        <v>2193.23</v>
      </c>
      <c r="AB479">
        <v>0.1</v>
      </c>
      <c r="AC479">
        <v>11843.44</v>
      </c>
      <c r="AD479">
        <v>9356.8799999999992</v>
      </c>
      <c r="AE479">
        <v>2486.56</v>
      </c>
      <c r="AF479" t="s">
        <v>30</v>
      </c>
      <c r="AG479" t="str">
        <f t="shared" si="95"/>
        <v>Paid</v>
      </c>
      <c r="AH479" t="s">
        <v>66</v>
      </c>
    </row>
    <row r="480" spans="1:34">
      <c r="A480" t="s">
        <v>1555</v>
      </c>
      <c r="B480">
        <f>COUNTIF($A:$A,A480)</f>
        <v>1</v>
      </c>
      <c r="C480" t="str">
        <f t="shared" si="86"/>
        <v>Unique</v>
      </c>
      <c r="D480" s="4">
        <v>45452</v>
      </c>
      <c r="E480">
        <f t="shared" si="87"/>
        <v>4</v>
      </c>
      <c r="F480" s="4">
        <v>45456</v>
      </c>
      <c r="G480" t="s">
        <v>1556</v>
      </c>
      <c r="H480" t="s">
        <v>34</v>
      </c>
      <c r="I480" t="str">
        <f t="shared" si="88"/>
        <v>Mira Das</v>
      </c>
      <c r="J480" t="s">
        <v>93</v>
      </c>
      <c r="K480" t="str">
        <f t="shared" si="89"/>
        <v>Home Office</v>
      </c>
      <c r="M480" t="s">
        <v>2828</v>
      </c>
      <c r="N480" t="s">
        <v>134</v>
      </c>
      <c r="O480" t="str">
        <f t="shared" si="90"/>
        <v>Uttar Pradesh</v>
      </c>
      <c r="P480" t="s">
        <v>135</v>
      </c>
      <c r="Q480" t="str">
        <f t="shared" si="91"/>
        <v>Noida</v>
      </c>
      <c r="R480" t="s">
        <v>72</v>
      </c>
      <c r="S480" t="str">
        <f t="shared" si="92"/>
        <v>Technology</v>
      </c>
      <c r="T480" t="s">
        <v>273</v>
      </c>
      <c r="U480" t="str">
        <f t="shared" si="93"/>
        <v>Machines</v>
      </c>
      <c r="V480" t="s">
        <v>1557</v>
      </c>
      <c r="X480" t="s">
        <v>42</v>
      </c>
      <c r="Y480" t="str">
        <f t="shared" si="94"/>
        <v>Same Day</v>
      </c>
      <c r="Z480">
        <v>7</v>
      </c>
      <c r="AA480">
        <v>4079.71</v>
      </c>
      <c r="AB480">
        <v>0.1</v>
      </c>
      <c r="AC480">
        <v>25702.17</v>
      </c>
      <c r="AD480">
        <v>14571.48</v>
      </c>
      <c r="AE480">
        <v>11130.69</v>
      </c>
      <c r="AF480" t="s">
        <v>100</v>
      </c>
      <c r="AG480" t="str">
        <f t="shared" si="95"/>
        <v>Refunded</v>
      </c>
      <c r="AH480" t="s">
        <v>101</v>
      </c>
    </row>
    <row r="481" spans="1:34">
      <c r="A481" t="s">
        <v>1558</v>
      </c>
      <c r="B481">
        <f>COUNTIF($A:$A,A481)</f>
        <v>1</v>
      </c>
      <c r="C481" t="str">
        <f t="shared" si="86"/>
        <v>Unique</v>
      </c>
      <c r="D481" s="4">
        <v>45345</v>
      </c>
      <c r="E481">
        <f t="shared" si="87"/>
        <v>-3</v>
      </c>
      <c r="F481" s="4">
        <v>45342</v>
      </c>
      <c r="G481" t="s">
        <v>1559</v>
      </c>
      <c r="H481" t="s">
        <v>51</v>
      </c>
      <c r="I481" t="str">
        <f t="shared" si="88"/>
        <v>Arjun Bose</v>
      </c>
      <c r="J481" t="s">
        <v>88</v>
      </c>
      <c r="K481" t="str">
        <f t="shared" si="89"/>
        <v>Corporate</v>
      </c>
      <c r="L481" t="s">
        <v>36</v>
      </c>
      <c r="M481" t="str">
        <f t="shared" ref="M481:M512" si="97">PROPER(TRIM(L481))</f>
        <v>East</v>
      </c>
      <c r="N481" t="s">
        <v>37</v>
      </c>
      <c r="O481" t="str">
        <f t="shared" si="90"/>
        <v>Odisha</v>
      </c>
      <c r="P481" t="s">
        <v>38</v>
      </c>
      <c r="Q481" t="str">
        <f t="shared" si="91"/>
        <v>Bhubaneswar</v>
      </c>
      <c r="R481" t="s">
        <v>39</v>
      </c>
      <c r="S481" t="str">
        <f t="shared" si="92"/>
        <v>Furniture</v>
      </c>
      <c r="T481" t="s">
        <v>64</v>
      </c>
      <c r="U481" t="str">
        <f t="shared" si="93"/>
        <v>Chairs</v>
      </c>
      <c r="V481" t="s">
        <v>1560</v>
      </c>
      <c r="X481" t="s">
        <v>29</v>
      </c>
      <c r="Y481" t="str">
        <f t="shared" si="94"/>
        <v>Second Class</v>
      </c>
      <c r="Z481">
        <v>1</v>
      </c>
      <c r="AA481">
        <v>2202.5500000000002</v>
      </c>
      <c r="AC481">
        <v>1651.91</v>
      </c>
      <c r="AD481">
        <v>1034.57</v>
      </c>
      <c r="AE481">
        <v>617.34</v>
      </c>
      <c r="AF481" t="s">
        <v>30</v>
      </c>
      <c r="AG481" t="str">
        <f t="shared" si="95"/>
        <v>Paid</v>
      </c>
      <c r="AH481" t="s">
        <v>31</v>
      </c>
    </row>
    <row r="482" spans="1:34">
      <c r="A482" t="s">
        <v>1561</v>
      </c>
      <c r="B482">
        <f>COUNTIF($A:$A,A482)</f>
        <v>1</v>
      </c>
      <c r="C482" t="str">
        <f t="shared" si="86"/>
        <v>Unique</v>
      </c>
      <c r="D482" s="4">
        <v>45778</v>
      </c>
      <c r="E482">
        <f t="shared" si="87"/>
        <v>123</v>
      </c>
      <c r="F482" s="4">
        <v>45901</v>
      </c>
      <c r="G482" t="s">
        <v>1562</v>
      </c>
      <c r="H482" t="s">
        <v>77</v>
      </c>
      <c r="I482" t="str">
        <f t="shared" si="88"/>
        <v>Neha Gupta</v>
      </c>
      <c r="J482" t="s">
        <v>35</v>
      </c>
      <c r="K482" t="str">
        <f t="shared" si="89"/>
        <v>Small Business</v>
      </c>
      <c r="L482" t="s">
        <v>52</v>
      </c>
      <c r="M482" t="str">
        <f t="shared" si="97"/>
        <v>South</v>
      </c>
      <c r="N482" t="s">
        <v>246</v>
      </c>
      <c r="O482" t="str">
        <f t="shared" si="90"/>
        <v>Tamil Nadu</v>
      </c>
      <c r="P482" t="s">
        <v>247</v>
      </c>
      <c r="Q482" t="str">
        <f t="shared" si="91"/>
        <v>Chennai</v>
      </c>
      <c r="R482" t="s">
        <v>26</v>
      </c>
      <c r="S482" t="str">
        <f t="shared" si="92"/>
        <v>Office Supplies</v>
      </c>
      <c r="T482" t="s">
        <v>122</v>
      </c>
      <c r="U482" t="str">
        <f t="shared" si="93"/>
        <v>Storage</v>
      </c>
      <c r="V482" t="s">
        <v>1563</v>
      </c>
      <c r="Y482" t="s">
        <v>2828</v>
      </c>
      <c r="Z482">
        <v>5</v>
      </c>
      <c r="AA482">
        <v>905.16</v>
      </c>
      <c r="AB482">
        <v>0</v>
      </c>
      <c r="AC482">
        <v>4525.8</v>
      </c>
      <c r="AD482">
        <v>2714.51</v>
      </c>
      <c r="AE482">
        <v>1811.29</v>
      </c>
      <c r="AF482" t="s">
        <v>30</v>
      </c>
      <c r="AG482" t="str">
        <f t="shared" si="95"/>
        <v>Paid</v>
      </c>
      <c r="AH482" t="s">
        <v>31</v>
      </c>
    </row>
    <row r="483" spans="1:34">
      <c r="A483" t="s">
        <v>1564</v>
      </c>
      <c r="B483">
        <f>COUNTIF($A:$A,A483)</f>
        <v>1</v>
      </c>
      <c r="C483" t="str">
        <f t="shared" si="86"/>
        <v>Unique</v>
      </c>
      <c r="D483" s="4">
        <v>45783</v>
      </c>
      <c r="E483">
        <f t="shared" si="87"/>
        <v>38</v>
      </c>
      <c r="F483" s="4">
        <v>45821</v>
      </c>
      <c r="G483" t="s">
        <v>1565</v>
      </c>
      <c r="H483" t="s">
        <v>45</v>
      </c>
      <c r="I483" t="str">
        <f t="shared" si="88"/>
        <v>Isha Nair</v>
      </c>
      <c r="J483" t="s">
        <v>22</v>
      </c>
      <c r="K483" t="str">
        <f t="shared" si="89"/>
        <v>Consumer</v>
      </c>
      <c r="L483" t="s">
        <v>23</v>
      </c>
      <c r="M483" t="str">
        <f t="shared" si="97"/>
        <v>North</v>
      </c>
      <c r="N483" t="s">
        <v>134</v>
      </c>
      <c r="O483" t="str">
        <f t="shared" si="90"/>
        <v>Uttar Pradesh</v>
      </c>
      <c r="P483" t="s">
        <v>135</v>
      </c>
      <c r="Q483" t="str">
        <f t="shared" si="91"/>
        <v>Noida</v>
      </c>
      <c r="R483" t="s">
        <v>72</v>
      </c>
      <c r="S483" t="str">
        <f t="shared" si="92"/>
        <v>Technology</v>
      </c>
      <c r="T483" t="s">
        <v>273</v>
      </c>
      <c r="U483" t="str">
        <f t="shared" si="93"/>
        <v>Machines</v>
      </c>
      <c r="V483" t="s">
        <v>1566</v>
      </c>
      <c r="X483" t="s">
        <v>42</v>
      </c>
      <c r="Y483" t="str">
        <f t="shared" si="94"/>
        <v>Same Day</v>
      </c>
      <c r="Z483">
        <v>4</v>
      </c>
      <c r="AA483">
        <v>2793.88</v>
      </c>
      <c r="AB483" t="s">
        <v>777</v>
      </c>
      <c r="AC483">
        <v>10616.74</v>
      </c>
      <c r="AD483">
        <v>6353.59</v>
      </c>
      <c r="AE483">
        <v>4263.1499999999996</v>
      </c>
      <c r="AF483" t="s">
        <v>30</v>
      </c>
      <c r="AG483" t="str">
        <f t="shared" si="95"/>
        <v>Paid</v>
      </c>
      <c r="AH483" t="s">
        <v>31</v>
      </c>
    </row>
    <row r="484" spans="1:34">
      <c r="A484" t="s">
        <v>1567</v>
      </c>
      <c r="B484">
        <f>COUNTIF($A:$A,A484)</f>
        <v>1</v>
      </c>
      <c r="C484" t="str">
        <f t="shared" si="86"/>
        <v>Unique</v>
      </c>
      <c r="D484" s="4">
        <v>45495</v>
      </c>
      <c r="E484">
        <f t="shared" si="87"/>
        <v>0</v>
      </c>
      <c r="F484" s="4">
        <v>45495</v>
      </c>
      <c r="G484" t="s">
        <v>1568</v>
      </c>
      <c r="H484" t="s">
        <v>112</v>
      </c>
      <c r="I484" t="str">
        <f t="shared" si="88"/>
        <v>Priya Menon</v>
      </c>
      <c r="J484" t="s">
        <v>22</v>
      </c>
      <c r="K484" t="str">
        <f t="shared" si="89"/>
        <v>Consumer</v>
      </c>
      <c r="L484" t="s">
        <v>52</v>
      </c>
      <c r="M484" t="str">
        <f t="shared" si="97"/>
        <v>South</v>
      </c>
      <c r="N484" t="s">
        <v>173</v>
      </c>
      <c r="O484" t="str">
        <f t="shared" si="90"/>
        <v>Karnataka</v>
      </c>
      <c r="P484" t="s">
        <v>174</v>
      </c>
      <c r="Q484" t="str">
        <f t="shared" si="91"/>
        <v>Bengaluru</v>
      </c>
      <c r="R484" t="s">
        <v>72</v>
      </c>
      <c r="S484" t="str">
        <f t="shared" si="92"/>
        <v>Technology</v>
      </c>
      <c r="T484" t="s">
        <v>73</v>
      </c>
      <c r="U484" t="str">
        <f t="shared" si="93"/>
        <v>Accessories</v>
      </c>
      <c r="V484" t="s">
        <v>1569</v>
      </c>
      <c r="X484" t="s">
        <v>29</v>
      </c>
      <c r="Y484" t="str">
        <f t="shared" si="94"/>
        <v>Second Class</v>
      </c>
      <c r="Z484">
        <v>3</v>
      </c>
      <c r="AA484">
        <v>1286.22</v>
      </c>
      <c r="AB484">
        <v>0.25</v>
      </c>
      <c r="AC484">
        <v>2893.99</v>
      </c>
      <c r="AD484">
        <v>1856.03</v>
      </c>
      <c r="AE484">
        <v>1037.96</v>
      </c>
      <c r="AF484" t="s">
        <v>30</v>
      </c>
      <c r="AG484" t="str">
        <f t="shared" si="95"/>
        <v>Paid</v>
      </c>
      <c r="AH484" t="s">
        <v>31</v>
      </c>
    </row>
    <row r="485" spans="1:34">
      <c r="A485" t="s">
        <v>1570</v>
      </c>
      <c r="B485">
        <f>COUNTIF($A:$A,A485)</f>
        <v>1</v>
      </c>
      <c r="C485" t="str">
        <f t="shared" si="86"/>
        <v>Unique</v>
      </c>
      <c r="D485" s="4">
        <v>45651</v>
      </c>
      <c r="E485">
        <f t="shared" si="87"/>
        <v>0</v>
      </c>
      <c r="F485" s="4">
        <v>45651</v>
      </c>
      <c r="G485" t="s">
        <v>1571</v>
      </c>
      <c r="H485" t="s">
        <v>34</v>
      </c>
      <c r="I485" t="str">
        <f t="shared" si="88"/>
        <v>Mira Das</v>
      </c>
      <c r="J485" t="s">
        <v>88</v>
      </c>
      <c r="K485" t="str">
        <f t="shared" si="89"/>
        <v>Corporate</v>
      </c>
      <c r="L485" t="s">
        <v>36</v>
      </c>
      <c r="M485" t="str">
        <f t="shared" si="97"/>
        <v>East</v>
      </c>
      <c r="N485" t="s">
        <v>143</v>
      </c>
      <c r="O485" t="str">
        <f t="shared" si="90"/>
        <v>Bihar</v>
      </c>
      <c r="P485" t="s">
        <v>144</v>
      </c>
      <c r="Q485" t="str">
        <f t="shared" si="91"/>
        <v>Patna</v>
      </c>
      <c r="R485" t="s">
        <v>72</v>
      </c>
      <c r="S485" t="str">
        <f t="shared" si="92"/>
        <v>Technology</v>
      </c>
      <c r="T485" t="s">
        <v>78</v>
      </c>
      <c r="U485" t="str">
        <f t="shared" si="93"/>
        <v>Copiers</v>
      </c>
      <c r="V485" t="s">
        <v>1572</v>
      </c>
      <c r="X485" t="s">
        <v>57</v>
      </c>
      <c r="Y485" t="str">
        <f t="shared" si="94"/>
        <v>Standard Class</v>
      </c>
      <c r="Z485">
        <v>1</v>
      </c>
      <c r="AA485">
        <v>829.66</v>
      </c>
      <c r="AB485">
        <v>0.15</v>
      </c>
      <c r="AC485">
        <v>705.21</v>
      </c>
      <c r="AD485">
        <v>438.32</v>
      </c>
      <c r="AE485">
        <v>266.89</v>
      </c>
      <c r="AF485" t="s">
        <v>30</v>
      </c>
      <c r="AG485" t="str">
        <f t="shared" si="95"/>
        <v>Paid</v>
      </c>
      <c r="AH485" t="s">
        <v>31</v>
      </c>
    </row>
    <row r="486" spans="1:34">
      <c r="A486" t="s">
        <v>1573</v>
      </c>
      <c r="B486">
        <f>COUNTIF($A:$A,A486)</f>
        <v>1</v>
      </c>
      <c r="C486" t="str">
        <f t="shared" si="86"/>
        <v>Unique</v>
      </c>
      <c r="D486" s="4">
        <v>45654</v>
      </c>
      <c r="E486">
        <f t="shared" si="87"/>
        <v>3</v>
      </c>
      <c r="F486" s="4">
        <v>45657</v>
      </c>
      <c r="G486" t="s">
        <v>1574</v>
      </c>
      <c r="H486" t="s">
        <v>34</v>
      </c>
      <c r="I486" t="str">
        <f t="shared" si="88"/>
        <v>Mira Das</v>
      </c>
      <c r="J486" t="s">
        <v>35</v>
      </c>
      <c r="K486" t="str">
        <f t="shared" si="89"/>
        <v>Small Business</v>
      </c>
      <c r="L486" t="s">
        <v>52</v>
      </c>
      <c r="M486" t="str">
        <f t="shared" si="97"/>
        <v>South</v>
      </c>
      <c r="N486" t="s">
        <v>82</v>
      </c>
      <c r="O486" t="str">
        <f t="shared" si="90"/>
        <v>Andhra Pradesh</v>
      </c>
      <c r="P486" t="s">
        <v>83</v>
      </c>
      <c r="Q486" t="str">
        <f t="shared" si="91"/>
        <v>Vijayawada</v>
      </c>
      <c r="R486" t="s">
        <v>39</v>
      </c>
      <c r="S486" t="str">
        <f t="shared" si="92"/>
        <v>Furniture</v>
      </c>
      <c r="T486" t="s">
        <v>55</v>
      </c>
      <c r="U486" t="str">
        <f t="shared" si="93"/>
        <v>Furnishings</v>
      </c>
      <c r="V486" t="s">
        <v>1575</v>
      </c>
      <c r="X486" t="s">
        <v>48</v>
      </c>
      <c r="Y486" t="str">
        <f t="shared" si="94"/>
        <v>First Class</v>
      </c>
      <c r="Z486">
        <v>6</v>
      </c>
      <c r="AA486">
        <v>3641.22</v>
      </c>
      <c r="AB486">
        <v>0.25</v>
      </c>
      <c r="AC486">
        <v>16385.490000000002</v>
      </c>
      <c r="AD486">
        <v>13679.24</v>
      </c>
      <c r="AE486">
        <v>2706.25</v>
      </c>
      <c r="AF486" t="s">
        <v>30</v>
      </c>
      <c r="AG486" t="str">
        <f t="shared" si="95"/>
        <v>Paid</v>
      </c>
      <c r="AH486" t="s">
        <v>31</v>
      </c>
    </row>
    <row r="487" spans="1:34">
      <c r="A487" t="s">
        <v>1576</v>
      </c>
      <c r="B487">
        <f>COUNTIF($A:$A,A487)</f>
        <v>1</v>
      </c>
      <c r="C487" t="str">
        <f t="shared" si="86"/>
        <v>Unique</v>
      </c>
      <c r="D487" s="4">
        <v>45679</v>
      </c>
      <c r="E487">
        <f t="shared" si="87"/>
        <v>1</v>
      </c>
      <c r="F487" s="4">
        <v>45680</v>
      </c>
      <c r="G487" t="s">
        <v>1577</v>
      </c>
      <c r="H487" t="s">
        <v>116</v>
      </c>
      <c r="I487" t="str">
        <f t="shared" si="88"/>
        <v>Rahul Verma</v>
      </c>
      <c r="J487" t="s">
        <v>88</v>
      </c>
      <c r="K487" t="str">
        <f t="shared" si="89"/>
        <v>Corporate</v>
      </c>
      <c r="L487" t="s">
        <v>61</v>
      </c>
      <c r="M487" t="str">
        <f t="shared" si="97"/>
        <v>West</v>
      </c>
      <c r="N487" t="s">
        <v>188</v>
      </c>
      <c r="O487" t="str">
        <f t="shared" si="90"/>
        <v>Goa</v>
      </c>
      <c r="P487" t="s">
        <v>189</v>
      </c>
      <c r="Q487" t="str">
        <f t="shared" si="91"/>
        <v>Panaji</v>
      </c>
      <c r="R487" t="s">
        <v>39</v>
      </c>
      <c r="S487" t="str">
        <f t="shared" si="92"/>
        <v>Furniture</v>
      </c>
      <c r="T487" t="s">
        <v>156</v>
      </c>
      <c r="U487" t="str">
        <f t="shared" si="93"/>
        <v>Bookcases</v>
      </c>
      <c r="V487" t="s">
        <v>1578</v>
      </c>
      <c r="X487" t="s">
        <v>57</v>
      </c>
      <c r="Y487" t="str">
        <f t="shared" si="94"/>
        <v>Standard Class</v>
      </c>
      <c r="Z487">
        <v>4</v>
      </c>
      <c r="AA487">
        <v>2555.19</v>
      </c>
      <c r="AB487">
        <v>0.25</v>
      </c>
      <c r="AC487">
        <v>7665.57</v>
      </c>
      <c r="AD487">
        <v>5595.6</v>
      </c>
      <c r="AE487">
        <v>2069.9699999999998</v>
      </c>
      <c r="AF487" t="s">
        <v>30</v>
      </c>
      <c r="AG487" t="str">
        <f t="shared" si="95"/>
        <v>Paid</v>
      </c>
      <c r="AH487" t="s">
        <v>31</v>
      </c>
    </row>
    <row r="488" spans="1:34">
      <c r="A488" t="s">
        <v>1579</v>
      </c>
      <c r="B488">
        <f>COUNTIF($A:$A,A488)</f>
        <v>1</v>
      </c>
      <c r="C488" t="str">
        <f t="shared" si="86"/>
        <v>Unique</v>
      </c>
      <c r="D488" s="4">
        <v>45830</v>
      </c>
      <c r="E488">
        <f t="shared" si="87"/>
        <v>4</v>
      </c>
      <c r="F488" s="4">
        <v>45834</v>
      </c>
      <c r="G488" t="s">
        <v>1580</v>
      </c>
      <c r="H488" t="s">
        <v>116</v>
      </c>
      <c r="I488" t="str">
        <f t="shared" si="88"/>
        <v>Rahul Verma</v>
      </c>
      <c r="J488" t="s">
        <v>88</v>
      </c>
      <c r="K488" t="str">
        <f t="shared" si="89"/>
        <v>Corporate</v>
      </c>
      <c r="L488" t="s">
        <v>61</v>
      </c>
      <c r="M488" t="str">
        <f t="shared" si="97"/>
        <v>West</v>
      </c>
      <c r="N488" t="s">
        <v>188</v>
      </c>
      <c r="O488" t="str">
        <f t="shared" si="90"/>
        <v>Goa</v>
      </c>
      <c r="P488" t="s">
        <v>189</v>
      </c>
      <c r="Q488" t="str">
        <f t="shared" si="91"/>
        <v>Panaji</v>
      </c>
      <c r="R488" t="s">
        <v>39</v>
      </c>
      <c r="S488" t="str">
        <f t="shared" si="92"/>
        <v>Furniture</v>
      </c>
      <c r="T488" t="s">
        <v>40</v>
      </c>
      <c r="U488" t="str">
        <f t="shared" si="93"/>
        <v>Tables</v>
      </c>
      <c r="V488" t="s">
        <v>1581</v>
      </c>
      <c r="X488" t="s">
        <v>57</v>
      </c>
      <c r="Y488" t="str">
        <f t="shared" si="94"/>
        <v>Standard Class</v>
      </c>
      <c r="Z488">
        <v>3</v>
      </c>
      <c r="AA488">
        <v>1946.18</v>
      </c>
      <c r="AB488">
        <v>0.2</v>
      </c>
      <c r="AC488">
        <v>4670.83</v>
      </c>
      <c r="AD488">
        <v>3166.49</v>
      </c>
      <c r="AE488">
        <v>1504.34</v>
      </c>
      <c r="AF488" t="s">
        <v>30</v>
      </c>
      <c r="AG488" t="str">
        <f t="shared" si="95"/>
        <v>Paid</v>
      </c>
      <c r="AH488" t="s">
        <v>31</v>
      </c>
    </row>
    <row r="489" spans="1:34">
      <c r="A489" t="s">
        <v>1582</v>
      </c>
      <c r="B489">
        <f>COUNTIF($A:$A,A489)</f>
        <v>1</v>
      </c>
      <c r="C489" t="str">
        <f t="shared" si="86"/>
        <v>Unique</v>
      </c>
      <c r="D489" s="4">
        <v>45936</v>
      </c>
      <c r="E489">
        <f t="shared" si="87"/>
        <v>-111</v>
      </c>
      <c r="F489" s="4">
        <v>45825</v>
      </c>
      <c r="G489" t="s">
        <v>1583</v>
      </c>
      <c r="H489" t="s">
        <v>116</v>
      </c>
      <c r="I489" t="str">
        <f t="shared" si="88"/>
        <v>Rahul Verma</v>
      </c>
      <c r="J489" t="s">
        <v>88</v>
      </c>
      <c r="K489" t="str">
        <f t="shared" si="89"/>
        <v>Corporate</v>
      </c>
      <c r="L489" t="s">
        <v>52</v>
      </c>
      <c r="M489" t="str">
        <f t="shared" si="97"/>
        <v>South</v>
      </c>
      <c r="N489" t="s">
        <v>53</v>
      </c>
      <c r="O489" t="str">
        <f t="shared" si="90"/>
        <v>Telangana</v>
      </c>
      <c r="P489" t="s">
        <v>54</v>
      </c>
      <c r="Q489" t="str">
        <f t="shared" si="91"/>
        <v>Hyderabad</v>
      </c>
      <c r="R489" t="s">
        <v>39</v>
      </c>
      <c r="S489" t="str">
        <f t="shared" si="92"/>
        <v>Furniture</v>
      </c>
      <c r="T489" t="s">
        <v>55</v>
      </c>
      <c r="U489" t="str">
        <f t="shared" si="93"/>
        <v>Furnishings</v>
      </c>
      <c r="V489" t="s">
        <v>1584</v>
      </c>
      <c r="X489" t="s">
        <v>57</v>
      </c>
      <c r="Y489" t="str">
        <f t="shared" si="94"/>
        <v>Standard Class</v>
      </c>
      <c r="Z489">
        <v>5</v>
      </c>
      <c r="AA489">
        <v>1231.0999999999999</v>
      </c>
      <c r="AB489">
        <v>0</v>
      </c>
      <c r="AC489">
        <v>6155.5</v>
      </c>
      <c r="AD489">
        <v>4282.09</v>
      </c>
      <c r="AE489">
        <v>1873.41</v>
      </c>
      <c r="AF489" t="s">
        <v>100</v>
      </c>
      <c r="AG489" t="str">
        <f t="shared" si="95"/>
        <v>Refunded</v>
      </c>
      <c r="AH489" t="s">
        <v>101</v>
      </c>
    </row>
    <row r="490" spans="1:34">
      <c r="A490" t="s">
        <v>1585</v>
      </c>
      <c r="B490">
        <f>COUNTIF($A:$A,A490)</f>
        <v>1</v>
      </c>
      <c r="C490" t="str">
        <f t="shared" si="86"/>
        <v>Unique</v>
      </c>
      <c r="D490" s="4">
        <v>45579</v>
      </c>
      <c r="E490">
        <f t="shared" si="87"/>
        <v>6</v>
      </c>
      <c r="F490" s="4">
        <v>45585</v>
      </c>
      <c r="G490" t="s">
        <v>1586</v>
      </c>
      <c r="H490" t="s">
        <v>87</v>
      </c>
      <c r="I490" t="str">
        <f t="shared" si="88"/>
        <v>Aditi Sen</v>
      </c>
      <c r="J490" t="s">
        <v>35</v>
      </c>
      <c r="K490" t="str">
        <f t="shared" si="89"/>
        <v>Small Business</v>
      </c>
      <c r="L490" t="s">
        <v>23</v>
      </c>
      <c r="M490" t="str">
        <f t="shared" si="97"/>
        <v>North</v>
      </c>
      <c r="N490" t="s">
        <v>24</v>
      </c>
      <c r="O490" t="str">
        <f t="shared" si="90"/>
        <v>Rajasthan</v>
      </c>
      <c r="P490" t="s">
        <v>25</v>
      </c>
      <c r="Q490" t="str">
        <f t="shared" si="91"/>
        <v>Jaipur</v>
      </c>
      <c r="R490" t="s">
        <v>39</v>
      </c>
      <c r="S490" t="str">
        <f t="shared" si="92"/>
        <v>Furniture</v>
      </c>
      <c r="T490" t="s">
        <v>40</v>
      </c>
      <c r="U490" t="str">
        <f t="shared" si="93"/>
        <v>Tables</v>
      </c>
      <c r="V490" t="s">
        <v>1587</v>
      </c>
      <c r="X490" t="s">
        <v>42</v>
      </c>
      <c r="Y490" t="str">
        <f t="shared" si="94"/>
        <v>Same Day</v>
      </c>
      <c r="Z490">
        <v>7</v>
      </c>
      <c r="AA490">
        <v>1547.6</v>
      </c>
      <c r="AB490">
        <v>0.2</v>
      </c>
      <c r="AC490">
        <v>8666.56</v>
      </c>
      <c r="AD490">
        <v>5967.44</v>
      </c>
      <c r="AE490">
        <v>2699.12</v>
      </c>
      <c r="AF490" t="s">
        <v>30</v>
      </c>
      <c r="AG490" t="str">
        <f t="shared" si="95"/>
        <v>Paid</v>
      </c>
      <c r="AH490" t="s">
        <v>31</v>
      </c>
    </row>
    <row r="491" spans="1:34">
      <c r="A491" t="s">
        <v>1588</v>
      </c>
      <c r="B491">
        <f>COUNTIF($A:$A,A491)</f>
        <v>1</v>
      </c>
      <c r="C491" t="str">
        <f t="shared" si="86"/>
        <v>Unique</v>
      </c>
      <c r="D491" s="4">
        <v>45475</v>
      </c>
      <c r="E491">
        <f t="shared" si="87"/>
        <v>153</v>
      </c>
      <c r="F491" s="4">
        <v>45628</v>
      </c>
      <c r="G491" t="s">
        <v>1589</v>
      </c>
      <c r="H491" t="s">
        <v>51</v>
      </c>
      <c r="I491" t="str">
        <f t="shared" si="88"/>
        <v>Arjun Bose</v>
      </c>
      <c r="J491" t="s">
        <v>93</v>
      </c>
      <c r="K491" t="str">
        <f t="shared" si="89"/>
        <v>Home Office</v>
      </c>
      <c r="L491" t="s">
        <v>36</v>
      </c>
      <c r="M491" t="str">
        <f t="shared" si="97"/>
        <v>East</v>
      </c>
      <c r="N491" t="s">
        <v>97</v>
      </c>
      <c r="O491" t="str">
        <f t="shared" si="90"/>
        <v>West Bengal</v>
      </c>
      <c r="P491" t="s">
        <v>98</v>
      </c>
      <c r="Q491" t="str">
        <f t="shared" si="91"/>
        <v>Kolkata</v>
      </c>
      <c r="R491" t="s">
        <v>72</v>
      </c>
      <c r="S491" t="str">
        <f t="shared" si="92"/>
        <v>Technology</v>
      </c>
      <c r="T491" t="s">
        <v>73</v>
      </c>
      <c r="U491" t="str">
        <f t="shared" si="93"/>
        <v>Accessories</v>
      </c>
      <c r="V491" t="s">
        <v>1590</v>
      </c>
      <c r="X491" t="s">
        <v>29</v>
      </c>
      <c r="Y491" t="str">
        <f t="shared" si="94"/>
        <v>Second Class</v>
      </c>
      <c r="Z491">
        <v>1</v>
      </c>
      <c r="AA491">
        <v>452.19</v>
      </c>
      <c r="AB491">
        <v>0.2</v>
      </c>
      <c r="AC491">
        <v>361.75</v>
      </c>
      <c r="AD491">
        <v>262.52999999999997</v>
      </c>
      <c r="AE491">
        <v>99.22</v>
      </c>
      <c r="AF491" t="s">
        <v>30</v>
      </c>
      <c r="AG491" t="str">
        <f t="shared" si="95"/>
        <v>Paid</v>
      </c>
      <c r="AH491" t="s">
        <v>31</v>
      </c>
    </row>
    <row r="492" spans="1:34">
      <c r="A492" t="s">
        <v>1591</v>
      </c>
      <c r="B492">
        <f>COUNTIF($A:$A,A492)</f>
        <v>1</v>
      </c>
      <c r="C492" t="str">
        <f t="shared" si="86"/>
        <v>Unique</v>
      </c>
      <c r="D492" s="4">
        <v>45551</v>
      </c>
      <c r="E492">
        <f t="shared" si="87"/>
        <v>3</v>
      </c>
      <c r="F492" s="4">
        <v>45554</v>
      </c>
      <c r="G492" t="s">
        <v>1592</v>
      </c>
      <c r="H492" t="s">
        <v>87</v>
      </c>
      <c r="I492" t="str">
        <f t="shared" si="88"/>
        <v>Aditi Sen</v>
      </c>
      <c r="J492" t="s">
        <v>22</v>
      </c>
      <c r="K492" t="str">
        <f t="shared" si="89"/>
        <v>Consumer</v>
      </c>
      <c r="L492" t="s">
        <v>61</v>
      </c>
      <c r="M492" t="str">
        <f t="shared" si="97"/>
        <v>West</v>
      </c>
      <c r="N492" t="s">
        <v>24</v>
      </c>
      <c r="O492" t="str">
        <f t="shared" si="90"/>
        <v>Rajasthan</v>
      </c>
      <c r="P492" t="s">
        <v>107</v>
      </c>
      <c r="Q492" t="str">
        <f t="shared" si="91"/>
        <v>Udaipur</v>
      </c>
      <c r="R492" t="s">
        <v>26</v>
      </c>
      <c r="S492" t="str">
        <f t="shared" si="92"/>
        <v>Office Supplies</v>
      </c>
      <c r="T492" t="s">
        <v>151</v>
      </c>
      <c r="U492" t="str">
        <f t="shared" si="93"/>
        <v>Binders</v>
      </c>
      <c r="V492" t="s">
        <v>1593</v>
      </c>
      <c r="X492" t="s">
        <v>48</v>
      </c>
      <c r="Y492" t="str">
        <f t="shared" si="94"/>
        <v>First Class</v>
      </c>
      <c r="Z492">
        <v>7</v>
      </c>
      <c r="AA492">
        <v>406.42</v>
      </c>
      <c r="AB492">
        <v>0.15</v>
      </c>
      <c r="AC492">
        <v>2418.1999999999998</v>
      </c>
      <c r="AD492">
        <v>1613.82</v>
      </c>
      <c r="AE492">
        <v>804.38</v>
      </c>
      <c r="AF492" t="s">
        <v>30</v>
      </c>
      <c r="AG492" t="str">
        <f t="shared" si="95"/>
        <v>Paid</v>
      </c>
      <c r="AH492" t="s">
        <v>31</v>
      </c>
    </row>
    <row r="493" spans="1:34">
      <c r="A493" t="s">
        <v>1594</v>
      </c>
      <c r="B493">
        <f>COUNTIF($A:$A,A493)</f>
        <v>1</v>
      </c>
      <c r="C493" t="str">
        <f t="shared" si="86"/>
        <v>Unique</v>
      </c>
      <c r="D493" s="4">
        <v>45776</v>
      </c>
      <c r="E493">
        <f t="shared" si="87"/>
        <v>1</v>
      </c>
      <c r="F493" s="4">
        <v>45777</v>
      </c>
      <c r="G493" t="s">
        <v>1595</v>
      </c>
      <c r="H493" t="s">
        <v>34</v>
      </c>
      <c r="I493" t="str">
        <f t="shared" si="88"/>
        <v>Mira Das</v>
      </c>
      <c r="J493" t="s">
        <v>88</v>
      </c>
      <c r="K493" t="str">
        <f t="shared" si="89"/>
        <v>Corporate</v>
      </c>
      <c r="L493" t="s">
        <v>52</v>
      </c>
      <c r="M493" t="str">
        <f t="shared" si="97"/>
        <v>South</v>
      </c>
      <c r="N493" t="s">
        <v>183</v>
      </c>
      <c r="O493" t="str">
        <f t="shared" si="90"/>
        <v>Kerala</v>
      </c>
      <c r="P493" t="s">
        <v>184</v>
      </c>
      <c r="Q493" t="str">
        <f t="shared" si="91"/>
        <v>Kochi</v>
      </c>
      <c r="R493" t="s">
        <v>72</v>
      </c>
      <c r="S493" t="str">
        <f t="shared" si="92"/>
        <v>Technology</v>
      </c>
      <c r="T493" t="s">
        <v>73</v>
      </c>
      <c r="U493" t="str">
        <f t="shared" si="93"/>
        <v>Accessories</v>
      </c>
      <c r="V493" t="s">
        <v>1596</v>
      </c>
      <c r="X493" t="s">
        <v>57</v>
      </c>
      <c r="Y493" t="str">
        <f t="shared" si="94"/>
        <v>Standard Class</v>
      </c>
      <c r="Z493">
        <v>4</v>
      </c>
      <c r="AA493">
        <v>606.58000000000004</v>
      </c>
      <c r="AB493">
        <v>0.2</v>
      </c>
      <c r="AC493">
        <v>1941.06</v>
      </c>
      <c r="AD493">
        <v>1207.42</v>
      </c>
      <c r="AE493">
        <v>733.64</v>
      </c>
      <c r="AF493" t="s">
        <v>30</v>
      </c>
      <c r="AG493" t="str">
        <f t="shared" si="95"/>
        <v>Paid</v>
      </c>
      <c r="AH493" t="s">
        <v>31</v>
      </c>
    </row>
    <row r="494" spans="1:34">
      <c r="A494" t="s">
        <v>1597</v>
      </c>
      <c r="B494">
        <f>COUNTIF($A:$A,A494)</f>
        <v>1</v>
      </c>
      <c r="C494" t="str">
        <f t="shared" si="86"/>
        <v>Unique</v>
      </c>
      <c r="D494" s="4">
        <v>45836</v>
      </c>
      <c r="E494">
        <f t="shared" si="87"/>
        <v>4</v>
      </c>
      <c r="F494" s="4">
        <v>45840</v>
      </c>
      <c r="G494" t="s">
        <v>1598</v>
      </c>
      <c r="H494" t="s">
        <v>60</v>
      </c>
      <c r="I494" t="str">
        <f t="shared" si="88"/>
        <v>Ananya Rao</v>
      </c>
      <c r="J494" t="s">
        <v>88</v>
      </c>
      <c r="K494" t="str">
        <f t="shared" si="89"/>
        <v>Corporate</v>
      </c>
      <c r="L494" t="s">
        <v>52</v>
      </c>
      <c r="M494" t="str">
        <f t="shared" si="97"/>
        <v>South</v>
      </c>
      <c r="N494" t="s">
        <v>82</v>
      </c>
      <c r="O494" t="str">
        <f t="shared" si="90"/>
        <v>Andhra Pradesh</v>
      </c>
      <c r="P494" t="s">
        <v>83</v>
      </c>
      <c r="Q494" t="str">
        <f t="shared" si="91"/>
        <v>Vijayawada</v>
      </c>
      <c r="R494" t="s">
        <v>26</v>
      </c>
      <c r="S494" t="str">
        <f t="shared" si="92"/>
        <v>Office Supplies</v>
      </c>
      <c r="T494" t="s">
        <v>122</v>
      </c>
      <c r="U494" t="str">
        <f t="shared" si="93"/>
        <v>Storage</v>
      </c>
      <c r="V494" t="s">
        <v>1599</v>
      </c>
      <c r="X494" t="s">
        <v>29</v>
      </c>
      <c r="Y494" t="str">
        <f t="shared" si="94"/>
        <v>Second Class</v>
      </c>
      <c r="Z494">
        <v>2</v>
      </c>
      <c r="AA494">
        <v>2725.44</v>
      </c>
      <c r="AB494">
        <v>0.25</v>
      </c>
      <c r="AC494">
        <v>4088.16</v>
      </c>
      <c r="AD494">
        <v>3205.68</v>
      </c>
      <c r="AE494">
        <v>882.48</v>
      </c>
      <c r="AF494" t="s">
        <v>30</v>
      </c>
      <c r="AG494" t="str">
        <f t="shared" si="95"/>
        <v>Paid</v>
      </c>
      <c r="AH494" t="s">
        <v>31</v>
      </c>
    </row>
    <row r="495" spans="1:34">
      <c r="A495" t="s">
        <v>1600</v>
      </c>
      <c r="B495">
        <f>COUNTIF($A:$A,A495)</f>
        <v>1</v>
      </c>
      <c r="C495" t="str">
        <f t="shared" si="86"/>
        <v>Unique</v>
      </c>
      <c r="D495" s="4">
        <v>45701</v>
      </c>
      <c r="E495">
        <f t="shared" si="87"/>
        <v>0</v>
      </c>
      <c r="F495" s="4">
        <v>45701</v>
      </c>
      <c r="G495" t="s">
        <v>1601</v>
      </c>
      <c r="H495" t="s">
        <v>263</v>
      </c>
      <c r="I495" t="str">
        <f t="shared" si="88"/>
        <v>Kabir Singh</v>
      </c>
      <c r="J495" t="s">
        <v>88</v>
      </c>
      <c r="K495" t="str">
        <f t="shared" si="89"/>
        <v>Corporate</v>
      </c>
      <c r="L495" t="s">
        <v>36</v>
      </c>
      <c r="M495" t="str">
        <f t="shared" si="97"/>
        <v>East</v>
      </c>
      <c r="N495" t="s">
        <v>37</v>
      </c>
      <c r="O495" t="str">
        <f t="shared" si="90"/>
        <v>Odisha</v>
      </c>
      <c r="P495" t="s">
        <v>38</v>
      </c>
      <c r="Q495" t="str">
        <f t="shared" si="91"/>
        <v>Bhubaneswar</v>
      </c>
      <c r="R495" t="s">
        <v>26</v>
      </c>
      <c r="S495" t="str">
        <f t="shared" si="92"/>
        <v>Office Supplies</v>
      </c>
      <c r="T495" t="s">
        <v>27</v>
      </c>
      <c r="U495" t="str">
        <f t="shared" si="93"/>
        <v>Paper</v>
      </c>
      <c r="V495" t="s">
        <v>1602</v>
      </c>
      <c r="X495" t="s">
        <v>29</v>
      </c>
      <c r="Y495" t="str">
        <f t="shared" si="94"/>
        <v>Second Class</v>
      </c>
      <c r="Z495">
        <v>7</v>
      </c>
      <c r="AA495">
        <v>2296.6999999999998</v>
      </c>
      <c r="AB495">
        <v>0.05</v>
      </c>
      <c r="AC495">
        <v>15273.05</v>
      </c>
      <c r="AD495">
        <v>11088.76</v>
      </c>
      <c r="AE495">
        <v>4184.29</v>
      </c>
      <c r="AF495" t="s">
        <v>30</v>
      </c>
      <c r="AG495" t="str">
        <f t="shared" si="95"/>
        <v>Paid</v>
      </c>
      <c r="AH495" t="s">
        <v>1603</v>
      </c>
    </row>
    <row r="496" spans="1:34">
      <c r="A496" t="s">
        <v>1604</v>
      </c>
      <c r="B496">
        <f>COUNTIF($A:$A,A496)</f>
        <v>1</v>
      </c>
      <c r="C496" t="str">
        <f t="shared" si="86"/>
        <v>Unique</v>
      </c>
      <c r="D496" s="4">
        <v>45610</v>
      </c>
      <c r="E496">
        <f t="shared" si="87"/>
        <v>8</v>
      </c>
      <c r="F496" s="4">
        <v>45618</v>
      </c>
      <c r="G496" t="s">
        <v>1605</v>
      </c>
      <c r="H496" t="s">
        <v>45</v>
      </c>
      <c r="I496" t="str">
        <f t="shared" si="88"/>
        <v>Isha Nair</v>
      </c>
      <c r="J496" t="s">
        <v>22</v>
      </c>
      <c r="K496" t="str">
        <f t="shared" si="89"/>
        <v>Consumer</v>
      </c>
      <c r="L496" t="s">
        <v>61</v>
      </c>
      <c r="M496" t="str">
        <f t="shared" si="97"/>
        <v>West</v>
      </c>
      <c r="N496" t="s">
        <v>70</v>
      </c>
      <c r="O496" t="str">
        <f t="shared" si="90"/>
        <v>Madhya Pradesh</v>
      </c>
      <c r="P496" t="s">
        <v>71</v>
      </c>
      <c r="Q496" t="str">
        <f t="shared" si="91"/>
        <v>Indore</v>
      </c>
      <c r="R496" t="s">
        <v>72</v>
      </c>
      <c r="S496" t="str">
        <f t="shared" si="92"/>
        <v>Technology</v>
      </c>
      <c r="T496" t="s">
        <v>169</v>
      </c>
      <c r="U496" t="str">
        <f t="shared" si="93"/>
        <v>Phones</v>
      </c>
      <c r="V496" t="s">
        <v>1606</v>
      </c>
      <c r="X496" t="s">
        <v>57</v>
      </c>
      <c r="Y496" t="str">
        <f t="shared" si="94"/>
        <v>Standard Class</v>
      </c>
      <c r="Z496">
        <v>3</v>
      </c>
      <c r="AA496">
        <v>671.68</v>
      </c>
      <c r="AB496">
        <v>-0.13</v>
      </c>
      <c r="AC496">
        <v>1712.78</v>
      </c>
      <c r="AD496">
        <v>1569.38</v>
      </c>
      <c r="AE496">
        <v>360.66</v>
      </c>
      <c r="AF496" t="s">
        <v>153</v>
      </c>
      <c r="AG496" t="str">
        <f t="shared" si="95"/>
        <v>Failed</v>
      </c>
      <c r="AH496" t="s">
        <v>66</v>
      </c>
    </row>
    <row r="497" spans="1:34">
      <c r="A497" t="s">
        <v>1607</v>
      </c>
      <c r="B497">
        <f>COUNTIF($A:$A,A497)</f>
        <v>1</v>
      </c>
      <c r="C497" t="str">
        <f t="shared" si="86"/>
        <v>Unique</v>
      </c>
      <c r="D497" s="4">
        <v>45421</v>
      </c>
      <c r="E497">
        <f t="shared" si="87"/>
        <v>6</v>
      </c>
      <c r="F497" s="4">
        <v>45427</v>
      </c>
      <c r="G497" t="s">
        <v>1608</v>
      </c>
      <c r="H497" t="s">
        <v>34</v>
      </c>
      <c r="I497" t="str">
        <f t="shared" si="88"/>
        <v>Mira Das</v>
      </c>
      <c r="J497" t="s">
        <v>35</v>
      </c>
      <c r="K497" t="str">
        <f t="shared" si="89"/>
        <v>Small Business</v>
      </c>
      <c r="L497" t="s">
        <v>36</v>
      </c>
      <c r="M497" t="str">
        <f t="shared" si="97"/>
        <v>East</v>
      </c>
      <c r="N497" t="s">
        <v>164</v>
      </c>
      <c r="O497" t="str">
        <f t="shared" si="90"/>
        <v>Assam</v>
      </c>
      <c r="P497" t="s">
        <v>165</v>
      </c>
      <c r="Q497" t="str">
        <f t="shared" si="91"/>
        <v>Guwahati</v>
      </c>
      <c r="R497" t="s">
        <v>72</v>
      </c>
      <c r="S497" t="str">
        <f t="shared" si="92"/>
        <v>Technology</v>
      </c>
      <c r="T497" t="s">
        <v>169</v>
      </c>
      <c r="U497" t="str">
        <f t="shared" si="93"/>
        <v>Phones</v>
      </c>
      <c r="V497" t="s">
        <v>1609</v>
      </c>
      <c r="X497" t="s">
        <v>29</v>
      </c>
      <c r="Y497" t="str">
        <f t="shared" si="94"/>
        <v>Second Class</v>
      </c>
      <c r="Z497">
        <v>4</v>
      </c>
      <c r="AA497">
        <v>995.98</v>
      </c>
      <c r="AB497">
        <v>0.05</v>
      </c>
      <c r="AC497">
        <v>3784.72</v>
      </c>
      <c r="AD497">
        <v>2419.2399999999998</v>
      </c>
      <c r="AE497">
        <v>1365.48</v>
      </c>
      <c r="AF497" t="s">
        <v>100</v>
      </c>
      <c r="AG497" t="str">
        <f t="shared" si="95"/>
        <v>Refunded</v>
      </c>
      <c r="AH497" t="s">
        <v>101</v>
      </c>
    </row>
    <row r="498" spans="1:34">
      <c r="A498" t="s">
        <v>1610</v>
      </c>
      <c r="B498">
        <f>COUNTIF($A:$A,A498)</f>
        <v>1</v>
      </c>
      <c r="C498" t="str">
        <f t="shared" si="86"/>
        <v>Unique</v>
      </c>
      <c r="D498" s="4">
        <v>45754</v>
      </c>
      <c r="E498">
        <f t="shared" si="87"/>
        <v>61</v>
      </c>
      <c r="F498" s="4">
        <v>45815</v>
      </c>
      <c r="G498" t="s">
        <v>1611</v>
      </c>
      <c r="H498" t="s">
        <v>263</v>
      </c>
      <c r="I498" t="str">
        <f t="shared" si="88"/>
        <v>Kabir Singh</v>
      </c>
      <c r="J498" t="s">
        <v>35</v>
      </c>
      <c r="K498" t="str">
        <f t="shared" si="89"/>
        <v>Small Business</v>
      </c>
      <c r="L498" t="s">
        <v>36</v>
      </c>
      <c r="M498" t="str">
        <f t="shared" si="97"/>
        <v>East</v>
      </c>
      <c r="N498" t="s">
        <v>227</v>
      </c>
      <c r="O498" t="str">
        <f t="shared" si="90"/>
        <v>Jharkhand</v>
      </c>
      <c r="P498" t="s">
        <v>228</v>
      </c>
      <c r="Q498" t="str">
        <f t="shared" si="91"/>
        <v>Ranchi</v>
      </c>
      <c r="R498" t="s">
        <v>39</v>
      </c>
      <c r="S498" t="str">
        <f t="shared" si="92"/>
        <v>Furniture</v>
      </c>
      <c r="T498" t="s">
        <v>64</v>
      </c>
      <c r="U498" t="str">
        <f t="shared" si="93"/>
        <v>Chairs</v>
      </c>
      <c r="V498" t="s">
        <v>1612</v>
      </c>
      <c r="X498" t="s">
        <v>29</v>
      </c>
      <c r="Y498" t="str">
        <f t="shared" si="94"/>
        <v>Second Class</v>
      </c>
      <c r="Z498">
        <v>2</v>
      </c>
      <c r="AA498">
        <v>3686.42</v>
      </c>
      <c r="AB498">
        <v>0.1</v>
      </c>
      <c r="AC498">
        <v>6635.56</v>
      </c>
      <c r="AD498">
        <v>3652.91</v>
      </c>
      <c r="AE498">
        <v>2982.65</v>
      </c>
      <c r="AF498" t="s">
        <v>30</v>
      </c>
      <c r="AG498" t="str">
        <f t="shared" si="95"/>
        <v>Paid</v>
      </c>
      <c r="AH498" t="s">
        <v>31</v>
      </c>
    </row>
    <row r="499" spans="1:34">
      <c r="A499" t="s">
        <v>1613</v>
      </c>
      <c r="B499">
        <f>COUNTIF($A:$A,A499)</f>
        <v>1</v>
      </c>
      <c r="C499" t="str">
        <f t="shared" si="86"/>
        <v>Unique</v>
      </c>
      <c r="D499" s="4">
        <v>45533</v>
      </c>
      <c r="E499">
        <f t="shared" si="87"/>
        <v>0</v>
      </c>
      <c r="F499" s="4">
        <v>45533</v>
      </c>
      <c r="G499" t="s">
        <v>1614</v>
      </c>
      <c r="H499" t="s">
        <v>130</v>
      </c>
      <c r="I499" t="str">
        <f t="shared" si="88"/>
        <v>Sneha Kapoor</v>
      </c>
      <c r="J499" t="s">
        <v>35</v>
      </c>
      <c r="K499" t="str">
        <f t="shared" si="89"/>
        <v>Small Business</v>
      </c>
      <c r="L499" t="s">
        <v>482</v>
      </c>
      <c r="M499" t="str">
        <f t="shared" si="97"/>
        <v>North</v>
      </c>
      <c r="N499" t="s">
        <v>134</v>
      </c>
      <c r="O499" t="str">
        <f t="shared" si="90"/>
        <v>Uttar Pradesh</v>
      </c>
      <c r="P499" t="s">
        <v>135</v>
      </c>
      <c r="Q499" t="str">
        <f t="shared" si="91"/>
        <v>Noida</v>
      </c>
      <c r="R499" t="s">
        <v>72</v>
      </c>
      <c r="S499" t="str">
        <f t="shared" si="92"/>
        <v>Technology</v>
      </c>
      <c r="T499" t="s">
        <v>73</v>
      </c>
      <c r="U499" t="str">
        <f t="shared" si="93"/>
        <v>Accessories</v>
      </c>
      <c r="V499" t="s">
        <v>1615</v>
      </c>
      <c r="X499" t="s">
        <v>29</v>
      </c>
      <c r="Y499" t="str">
        <f t="shared" si="94"/>
        <v>Second Class</v>
      </c>
      <c r="Z499">
        <v>1</v>
      </c>
      <c r="AA499">
        <v>3106.88</v>
      </c>
      <c r="AB499">
        <v>0.2</v>
      </c>
      <c r="AC499">
        <v>2485.5</v>
      </c>
      <c r="AD499">
        <v>2028.43</v>
      </c>
      <c r="AE499">
        <v>457.07</v>
      </c>
      <c r="AF499" t="s">
        <v>30</v>
      </c>
      <c r="AG499" t="str">
        <f t="shared" si="95"/>
        <v>Paid</v>
      </c>
      <c r="AH499" t="s">
        <v>66</v>
      </c>
    </row>
    <row r="500" spans="1:34">
      <c r="A500" t="s">
        <v>1616</v>
      </c>
      <c r="B500">
        <f>COUNTIF($A:$A,A500)</f>
        <v>1</v>
      </c>
      <c r="C500" t="str">
        <f t="shared" si="86"/>
        <v>Unique</v>
      </c>
      <c r="D500" s="4">
        <v>45847</v>
      </c>
      <c r="E500">
        <f t="shared" si="87"/>
        <v>92</v>
      </c>
      <c r="F500" s="4">
        <v>45939</v>
      </c>
      <c r="G500" t="s">
        <v>1617</v>
      </c>
      <c r="H500" t="s">
        <v>21</v>
      </c>
      <c r="I500" t="str">
        <f t="shared" si="88"/>
        <v>Karan Malhotra</v>
      </c>
      <c r="J500" t="s">
        <v>22</v>
      </c>
      <c r="K500" t="str">
        <f t="shared" si="89"/>
        <v>Consumer</v>
      </c>
      <c r="L500" t="s">
        <v>23</v>
      </c>
      <c r="M500" t="str">
        <f t="shared" si="97"/>
        <v>North</v>
      </c>
      <c r="N500" t="s">
        <v>120</v>
      </c>
      <c r="O500" t="str">
        <f t="shared" si="90"/>
        <v>Punjab</v>
      </c>
      <c r="P500" t="s">
        <v>121</v>
      </c>
      <c r="Q500" t="str">
        <f t="shared" si="91"/>
        <v>Ludhiana</v>
      </c>
      <c r="R500" t="s">
        <v>39</v>
      </c>
      <c r="S500" t="str">
        <f t="shared" si="92"/>
        <v>Furniture</v>
      </c>
      <c r="T500" t="s">
        <v>64</v>
      </c>
      <c r="U500" t="str">
        <f t="shared" si="93"/>
        <v>Chairs</v>
      </c>
      <c r="V500" t="s">
        <v>1618</v>
      </c>
      <c r="X500" t="s">
        <v>42</v>
      </c>
      <c r="Y500" t="str">
        <f t="shared" si="94"/>
        <v>Same Day</v>
      </c>
      <c r="Z500">
        <v>2</v>
      </c>
      <c r="AA500">
        <v>447.55</v>
      </c>
      <c r="AB500">
        <v>0.05</v>
      </c>
      <c r="AC500">
        <v>850.35</v>
      </c>
      <c r="AD500">
        <v>600.98</v>
      </c>
      <c r="AE500">
        <v>249.37</v>
      </c>
      <c r="AF500" t="s">
        <v>100</v>
      </c>
      <c r="AG500" t="str">
        <f t="shared" si="95"/>
        <v>Refunded</v>
      </c>
      <c r="AH500" t="s">
        <v>1619</v>
      </c>
    </row>
    <row r="501" spans="1:34">
      <c r="A501" t="s">
        <v>1620</v>
      </c>
      <c r="B501">
        <f>COUNTIF($A:$A,A501)</f>
        <v>1</v>
      </c>
      <c r="C501" t="str">
        <f t="shared" si="86"/>
        <v>Unique</v>
      </c>
      <c r="D501" s="4">
        <v>45648</v>
      </c>
      <c r="E501">
        <f t="shared" si="87"/>
        <v>4</v>
      </c>
      <c r="F501" s="4">
        <v>45652</v>
      </c>
      <c r="G501" t="s">
        <v>1621</v>
      </c>
      <c r="H501" t="s">
        <v>116</v>
      </c>
      <c r="I501" t="str">
        <f t="shared" si="88"/>
        <v>Rahul Verma</v>
      </c>
      <c r="J501" t="s">
        <v>93</v>
      </c>
      <c r="K501" t="str">
        <f t="shared" si="89"/>
        <v>Home Office</v>
      </c>
      <c r="L501" t="s">
        <v>23</v>
      </c>
      <c r="M501" t="str">
        <f t="shared" si="97"/>
        <v>North</v>
      </c>
      <c r="N501" t="s">
        <v>134</v>
      </c>
      <c r="O501" t="str">
        <f t="shared" si="90"/>
        <v>Uttar Pradesh</v>
      </c>
      <c r="P501" t="s">
        <v>135</v>
      </c>
      <c r="Q501" t="str">
        <f t="shared" si="91"/>
        <v>Noida</v>
      </c>
      <c r="R501" t="s">
        <v>39</v>
      </c>
      <c r="S501" t="str">
        <f t="shared" si="92"/>
        <v>Furniture</v>
      </c>
      <c r="T501" t="s">
        <v>64</v>
      </c>
      <c r="U501" t="str">
        <f t="shared" si="93"/>
        <v>Chairs</v>
      </c>
      <c r="V501" t="s">
        <v>1622</v>
      </c>
      <c r="X501" t="s">
        <v>57</v>
      </c>
      <c r="Y501" t="str">
        <f t="shared" si="94"/>
        <v>Standard Class</v>
      </c>
      <c r="Z501">
        <v>9</v>
      </c>
      <c r="AA501">
        <v>1110.8699999999999</v>
      </c>
      <c r="AC501">
        <v>7498.37</v>
      </c>
      <c r="AD501">
        <v>6059.07</v>
      </c>
      <c r="AE501">
        <v>1439.3</v>
      </c>
      <c r="AF501" t="s">
        <v>30</v>
      </c>
      <c r="AG501" t="str">
        <f t="shared" si="95"/>
        <v>Paid</v>
      </c>
      <c r="AH501" t="s">
        <v>66</v>
      </c>
    </row>
    <row r="502" spans="1:34">
      <c r="A502" t="s">
        <v>1623</v>
      </c>
      <c r="B502">
        <f>COUNTIF($A:$A,A502)</f>
        <v>1</v>
      </c>
      <c r="C502" t="str">
        <f t="shared" si="86"/>
        <v>Unique</v>
      </c>
      <c r="D502" s="4">
        <v>45429</v>
      </c>
      <c r="E502">
        <f t="shared" si="87"/>
        <v>5</v>
      </c>
      <c r="F502" s="4">
        <v>45434</v>
      </c>
      <c r="G502" t="s">
        <v>1624</v>
      </c>
      <c r="H502" t="s">
        <v>130</v>
      </c>
      <c r="I502" t="str">
        <f t="shared" si="88"/>
        <v>Sneha Kapoor</v>
      </c>
      <c r="J502" t="s">
        <v>22</v>
      </c>
      <c r="K502" t="str">
        <f t="shared" si="89"/>
        <v>Consumer</v>
      </c>
      <c r="L502" t="s">
        <v>52</v>
      </c>
      <c r="M502" t="str">
        <f t="shared" si="97"/>
        <v>South</v>
      </c>
      <c r="N502" t="s">
        <v>183</v>
      </c>
      <c r="O502" t="str">
        <f t="shared" si="90"/>
        <v>Kerala</v>
      </c>
      <c r="P502" t="s">
        <v>184</v>
      </c>
      <c r="Q502" t="str">
        <f t="shared" si="91"/>
        <v>Kochi</v>
      </c>
      <c r="R502" t="s">
        <v>72</v>
      </c>
      <c r="S502" t="str">
        <f t="shared" si="92"/>
        <v>Technology</v>
      </c>
      <c r="T502" t="s">
        <v>169</v>
      </c>
      <c r="U502" t="str">
        <f t="shared" si="93"/>
        <v>Phones</v>
      </c>
      <c r="V502" t="s">
        <v>1625</v>
      </c>
      <c r="X502" t="s">
        <v>42</v>
      </c>
      <c r="Y502" t="str">
        <f t="shared" si="94"/>
        <v>Same Day</v>
      </c>
      <c r="Z502">
        <v>9</v>
      </c>
      <c r="AA502">
        <v>3795.99</v>
      </c>
      <c r="AB502" t="s">
        <v>777</v>
      </c>
      <c r="AC502">
        <v>34163.910000000003</v>
      </c>
      <c r="AD502">
        <v>28577.15</v>
      </c>
      <c r="AE502">
        <v>5586.76</v>
      </c>
      <c r="AF502" t="s">
        <v>30</v>
      </c>
      <c r="AG502" t="str">
        <f t="shared" si="95"/>
        <v>Paid</v>
      </c>
      <c r="AH502" t="s">
        <v>31</v>
      </c>
    </row>
    <row r="503" spans="1:34">
      <c r="A503" t="s">
        <v>1626</v>
      </c>
      <c r="B503">
        <f>COUNTIF($A:$A,A503)</f>
        <v>1</v>
      </c>
      <c r="C503" t="str">
        <f t="shared" si="86"/>
        <v>Unique</v>
      </c>
      <c r="D503" s="4">
        <v>45604</v>
      </c>
      <c r="E503">
        <f t="shared" si="87"/>
        <v>-83</v>
      </c>
      <c r="F503" s="4">
        <v>45521</v>
      </c>
      <c r="G503" t="s">
        <v>820</v>
      </c>
      <c r="H503" t="s">
        <v>77</v>
      </c>
      <c r="I503" t="str">
        <f t="shared" si="88"/>
        <v>Neha Gupta</v>
      </c>
      <c r="J503" t="s">
        <v>22</v>
      </c>
      <c r="K503" t="str">
        <f t="shared" si="89"/>
        <v>Consumer</v>
      </c>
      <c r="L503" t="s">
        <v>36</v>
      </c>
      <c r="M503" t="str">
        <f t="shared" si="97"/>
        <v>East</v>
      </c>
      <c r="N503" t="s">
        <v>227</v>
      </c>
      <c r="O503" t="str">
        <f t="shared" si="90"/>
        <v>Jharkhand</v>
      </c>
      <c r="P503" t="s">
        <v>228</v>
      </c>
      <c r="Q503" t="str">
        <f t="shared" si="91"/>
        <v>Ranchi</v>
      </c>
      <c r="R503" t="s">
        <v>26</v>
      </c>
      <c r="S503" t="str">
        <f t="shared" si="92"/>
        <v>Office Supplies</v>
      </c>
      <c r="T503" t="s">
        <v>46</v>
      </c>
      <c r="U503" t="str">
        <f t="shared" si="93"/>
        <v>Art</v>
      </c>
      <c r="V503" t="s">
        <v>1627</v>
      </c>
      <c r="X503" t="s">
        <v>29</v>
      </c>
      <c r="Y503" t="str">
        <f t="shared" si="94"/>
        <v>Second Class</v>
      </c>
      <c r="Z503">
        <v>6</v>
      </c>
      <c r="AA503">
        <v>3497.54</v>
      </c>
      <c r="AB503">
        <v>0.15</v>
      </c>
      <c r="AC503">
        <v>17837.45</v>
      </c>
      <c r="AD503">
        <v>13627.02</v>
      </c>
      <c r="AE503">
        <v>4210.43</v>
      </c>
      <c r="AF503" t="s">
        <v>30</v>
      </c>
      <c r="AG503" t="str">
        <f t="shared" si="95"/>
        <v>Paid</v>
      </c>
      <c r="AH503" t="s">
        <v>31</v>
      </c>
    </row>
    <row r="504" spans="1:34">
      <c r="A504" t="s">
        <v>1628</v>
      </c>
      <c r="B504">
        <f>COUNTIF($A:$A,A504)</f>
        <v>1</v>
      </c>
      <c r="C504" t="str">
        <f t="shared" si="86"/>
        <v>Unique</v>
      </c>
      <c r="D504" s="4">
        <v>45383</v>
      </c>
      <c r="E504">
        <f t="shared" si="87"/>
        <v>156</v>
      </c>
      <c r="F504" s="4">
        <v>45539</v>
      </c>
      <c r="G504" t="s">
        <v>1629</v>
      </c>
      <c r="H504" t="s">
        <v>112</v>
      </c>
      <c r="I504" t="str">
        <f t="shared" si="88"/>
        <v>Priya Menon</v>
      </c>
      <c r="J504" t="s">
        <v>35</v>
      </c>
      <c r="K504" t="str">
        <f t="shared" si="89"/>
        <v>Small Business</v>
      </c>
      <c r="L504" t="s">
        <v>36</v>
      </c>
      <c r="M504" t="str">
        <f t="shared" si="97"/>
        <v>East</v>
      </c>
      <c r="N504" t="s">
        <v>37</v>
      </c>
      <c r="O504" t="str">
        <f t="shared" si="90"/>
        <v>Odisha</v>
      </c>
      <c r="P504" t="s">
        <v>38</v>
      </c>
      <c r="Q504" t="str">
        <f t="shared" si="91"/>
        <v>Bhubaneswar</v>
      </c>
      <c r="R504" t="s">
        <v>72</v>
      </c>
      <c r="S504" t="str">
        <f t="shared" si="92"/>
        <v>Technology</v>
      </c>
      <c r="T504" t="s">
        <v>78</v>
      </c>
      <c r="U504" t="str">
        <f t="shared" si="93"/>
        <v>Copiers</v>
      </c>
      <c r="V504" t="s">
        <v>1630</v>
      </c>
      <c r="X504" t="s">
        <v>29</v>
      </c>
      <c r="Y504" t="str">
        <f t="shared" si="94"/>
        <v>Second Class</v>
      </c>
      <c r="Z504">
        <v>6</v>
      </c>
      <c r="AA504">
        <v>826.93</v>
      </c>
      <c r="AB504">
        <v>0.1</v>
      </c>
      <c r="AC504">
        <v>4465.42</v>
      </c>
      <c r="AD504">
        <v>3377.1</v>
      </c>
      <c r="AE504">
        <v>1088.32</v>
      </c>
      <c r="AF504" t="s">
        <v>30</v>
      </c>
      <c r="AG504" t="str">
        <f t="shared" si="95"/>
        <v>Paid</v>
      </c>
      <c r="AH504" t="s">
        <v>31</v>
      </c>
    </row>
    <row r="505" spans="1:34">
      <c r="A505" t="s">
        <v>1631</v>
      </c>
      <c r="B505">
        <f>COUNTIF($A:$A,A505)</f>
        <v>1</v>
      </c>
      <c r="C505" t="str">
        <f t="shared" si="86"/>
        <v>Unique</v>
      </c>
      <c r="D505" s="4">
        <v>45563</v>
      </c>
      <c r="E505">
        <f t="shared" si="87"/>
        <v>-141</v>
      </c>
      <c r="F505" s="4">
        <v>45422</v>
      </c>
      <c r="G505" t="s">
        <v>1632</v>
      </c>
      <c r="H505" t="s">
        <v>126</v>
      </c>
      <c r="I505" t="str">
        <f t="shared" si="88"/>
        <v>Aarav Sharma</v>
      </c>
      <c r="J505" t="s">
        <v>22</v>
      </c>
      <c r="K505" t="str">
        <f t="shared" si="89"/>
        <v>Consumer</v>
      </c>
      <c r="L505" t="s">
        <v>52</v>
      </c>
      <c r="M505" t="str">
        <f t="shared" si="97"/>
        <v>South</v>
      </c>
      <c r="N505" t="s">
        <v>246</v>
      </c>
      <c r="O505" t="str">
        <f t="shared" si="90"/>
        <v>Tamil Nadu</v>
      </c>
      <c r="P505" t="s">
        <v>247</v>
      </c>
      <c r="Q505" t="str">
        <f t="shared" si="91"/>
        <v>Chennai</v>
      </c>
      <c r="R505" t="s">
        <v>72</v>
      </c>
      <c r="S505" t="str">
        <f t="shared" si="92"/>
        <v>Technology</v>
      </c>
      <c r="T505" t="s">
        <v>169</v>
      </c>
      <c r="U505" t="str">
        <f t="shared" si="93"/>
        <v>Phones</v>
      </c>
      <c r="V505" t="s">
        <v>1633</v>
      </c>
      <c r="X505" t="s">
        <v>57</v>
      </c>
      <c r="Y505" t="str">
        <f t="shared" si="94"/>
        <v>Standard Class</v>
      </c>
      <c r="Z505">
        <v>7</v>
      </c>
      <c r="AA505">
        <v>1681.6</v>
      </c>
      <c r="AB505">
        <v>0.1</v>
      </c>
      <c r="AC505">
        <v>10594.08</v>
      </c>
      <c r="AD505">
        <v>7160.31</v>
      </c>
      <c r="AE505">
        <v>3433.77</v>
      </c>
      <c r="AF505" t="s">
        <v>30</v>
      </c>
      <c r="AG505" t="str">
        <f t="shared" si="95"/>
        <v>Paid</v>
      </c>
      <c r="AH505" t="s">
        <v>31</v>
      </c>
    </row>
    <row r="506" spans="1:34">
      <c r="A506" t="s">
        <v>1634</v>
      </c>
      <c r="B506">
        <f>COUNTIF($A:$A,A506)</f>
        <v>1</v>
      </c>
      <c r="C506" t="str">
        <f t="shared" si="86"/>
        <v>Unique</v>
      </c>
      <c r="D506" s="4">
        <v>45993</v>
      </c>
      <c r="E506">
        <f t="shared" si="87"/>
        <v>-288</v>
      </c>
      <c r="F506" s="4">
        <v>45705</v>
      </c>
      <c r="G506" t="s">
        <v>1635</v>
      </c>
      <c r="H506" t="s">
        <v>51</v>
      </c>
      <c r="I506" t="str">
        <f t="shared" si="88"/>
        <v>Arjun Bose</v>
      </c>
      <c r="J506" t="s">
        <v>88</v>
      </c>
      <c r="K506" t="str">
        <f t="shared" si="89"/>
        <v>Corporate</v>
      </c>
      <c r="L506" t="s">
        <v>61</v>
      </c>
      <c r="M506" t="str">
        <f t="shared" si="97"/>
        <v>West</v>
      </c>
      <c r="N506" t="s">
        <v>178</v>
      </c>
      <c r="O506" t="str">
        <f t="shared" si="90"/>
        <v>Gujarat</v>
      </c>
      <c r="P506" t="s">
        <v>179</v>
      </c>
      <c r="Q506" t="str">
        <f t="shared" si="91"/>
        <v>Ahmedabad</v>
      </c>
      <c r="R506" t="s">
        <v>26</v>
      </c>
      <c r="S506" t="str">
        <f t="shared" si="92"/>
        <v>Office Supplies</v>
      </c>
      <c r="T506" t="s">
        <v>46</v>
      </c>
      <c r="U506" t="str">
        <f t="shared" si="93"/>
        <v>Art</v>
      </c>
      <c r="V506" t="s">
        <v>1636</v>
      </c>
      <c r="X506" t="s">
        <v>57</v>
      </c>
      <c r="Y506" t="str">
        <f t="shared" si="94"/>
        <v>Standard Class</v>
      </c>
      <c r="Z506">
        <v>4</v>
      </c>
      <c r="AA506">
        <v>4328.12</v>
      </c>
      <c r="AB506">
        <v>0</v>
      </c>
      <c r="AC506">
        <v>17312.48</v>
      </c>
      <c r="AD506">
        <v>14424.22</v>
      </c>
      <c r="AE506">
        <v>2888.26</v>
      </c>
      <c r="AF506" t="s">
        <v>30</v>
      </c>
      <c r="AG506" t="str">
        <f t="shared" si="95"/>
        <v>Paid</v>
      </c>
      <c r="AH506" t="s">
        <v>31</v>
      </c>
    </row>
    <row r="507" spans="1:34">
      <c r="A507" t="s">
        <v>1637</v>
      </c>
      <c r="B507">
        <f>COUNTIF($A:$A,A507)</f>
        <v>1</v>
      </c>
      <c r="C507" t="str">
        <f t="shared" si="86"/>
        <v>Unique</v>
      </c>
      <c r="D507" s="4">
        <v>45546</v>
      </c>
      <c r="E507">
        <f t="shared" si="87"/>
        <v>64</v>
      </c>
      <c r="F507" s="4">
        <v>45610</v>
      </c>
      <c r="G507" t="s">
        <v>1638</v>
      </c>
      <c r="H507" t="s">
        <v>77</v>
      </c>
      <c r="I507" t="str">
        <f t="shared" si="88"/>
        <v>Neha Gupta</v>
      </c>
      <c r="J507" t="s">
        <v>88</v>
      </c>
      <c r="K507" t="str">
        <f t="shared" si="89"/>
        <v>Corporate</v>
      </c>
      <c r="L507" t="s">
        <v>61</v>
      </c>
      <c r="M507" t="str">
        <f t="shared" si="97"/>
        <v>West</v>
      </c>
      <c r="N507" t="s">
        <v>70</v>
      </c>
      <c r="O507" t="str">
        <f t="shared" si="90"/>
        <v>Madhya Pradesh</v>
      </c>
      <c r="P507" t="s">
        <v>71</v>
      </c>
      <c r="Q507" t="str">
        <f t="shared" si="91"/>
        <v>Indore</v>
      </c>
      <c r="R507" t="s">
        <v>26</v>
      </c>
      <c r="S507" t="str">
        <f t="shared" si="92"/>
        <v>Office Supplies</v>
      </c>
      <c r="T507" t="s">
        <v>46</v>
      </c>
      <c r="U507" t="str">
        <f t="shared" si="93"/>
        <v>Art</v>
      </c>
      <c r="V507" t="s">
        <v>1639</v>
      </c>
      <c r="X507" t="s">
        <v>48</v>
      </c>
      <c r="Y507" t="str">
        <f t="shared" si="94"/>
        <v>First Class</v>
      </c>
      <c r="Z507">
        <v>9</v>
      </c>
      <c r="AA507">
        <v>2438.29</v>
      </c>
      <c r="AB507">
        <v>0.2</v>
      </c>
      <c r="AC507">
        <v>17555.689999999999</v>
      </c>
      <c r="AD507">
        <v>13293.2</v>
      </c>
      <c r="AE507">
        <v>4262.49</v>
      </c>
      <c r="AF507" t="s">
        <v>30</v>
      </c>
      <c r="AG507" t="str">
        <f t="shared" si="95"/>
        <v>Paid</v>
      </c>
      <c r="AH507" t="s">
        <v>66</v>
      </c>
    </row>
    <row r="508" spans="1:34">
      <c r="A508" t="s">
        <v>1640</v>
      </c>
      <c r="B508">
        <f>COUNTIF($A:$A,A508)</f>
        <v>1</v>
      </c>
      <c r="C508" t="str">
        <f t="shared" si="86"/>
        <v>Unique</v>
      </c>
      <c r="D508" s="4">
        <v>45641</v>
      </c>
      <c r="E508">
        <f t="shared" si="87"/>
        <v>0</v>
      </c>
      <c r="F508" s="4">
        <v>45641</v>
      </c>
      <c r="G508" t="s">
        <v>1641</v>
      </c>
      <c r="H508" t="s">
        <v>126</v>
      </c>
      <c r="I508" t="str">
        <f t="shared" si="88"/>
        <v>Aarav Sharma</v>
      </c>
      <c r="J508" t="s">
        <v>35</v>
      </c>
      <c r="K508" t="str">
        <f t="shared" si="89"/>
        <v>Small Business</v>
      </c>
      <c r="L508" t="s">
        <v>23</v>
      </c>
      <c r="M508" t="str">
        <f t="shared" si="97"/>
        <v>North</v>
      </c>
      <c r="N508" t="s">
        <v>120</v>
      </c>
      <c r="O508" t="str">
        <f t="shared" si="90"/>
        <v>Punjab</v>
      </c>
      <c r="P508" t="s">
        <v>121</v>
      </c>
      <c r="Q508" t="str">
        <f t="shared" si="91"/>
        <v>Ludhiana</v>
      </c>
      <c r="R508" t="s">
        <v>39</v>
      </c>
      <c r="S508" t="str">
        <f t="shared" si="92"/>
        <v>Furniture</v>
      </c>
      <c r="T508" t="s">
        <v>55</v>
      </c>
      <c r="U508" t="str">
        <f t="shared" si="93"/>
        <v>Furnishings</v>
      </c>
      <c r="V508" t="s">
        <v>1642</v>
      </c>
      <c r="X508" t="s">
        <v>48</v>
      </c>
      <c r="Y508" t="str">
        <f t="shared" si="94"/>
        <v>First Class</v>
      </c>
      <c r="Z508">
        <v>2</v>
      </c>
      <c r="AA508">
        <v>669.8</v>
      </c>
      <c r="AB508">
        <v>0.1</v>
      </c>
      <c r="AC508">
        <v>1205.6400000000001</v>
      </c>
      <c r="AD508">
        <v>842.07</v>
      </c>
      <c r="AE508">
        <v>363.57</v>
      </c>
      <c r="AF508" t="s">
        <v>100</v>
      </c>
      <c r="AG508" t="str">
        <f t="shared" si="95"/>
        <v>Refunded</v>
      </c>
      <c r="AH508" t="s">
        <v>101</v>
      </c>
    </row>
    <row r="509" spans="1:34">
      <c r="A509" t="s">
        <v>1643</v>
      </c>
      <c r="B509">
        <f>COUNTIF($A:$A,A509)</f>
        <v>1</v>
      </c>
      <c r="C509" t="str">
        <f t="shared" si="86"/>
        <v>Unique</v>
      </c>
      <c r="D509" s="4">
        <v>45762</v>
      </c>
      <c r="E509">
        <f t="shared" si="87"/>
        <v>7</v>
      </c>
      <c r="F509" s="4">
        <v>45769</v>
      </c>
      <c r="G509" t="s">
        <v>1644</v>
      </c>
      <c r="H509" t="s">
        <v>45</v>
      </c>
      <c r="I509" t="str">
        <f t="shared" si="88"/>
        <v>Isha Nair</v>
      </c>
      <c r="J509" t="s">
        <v>35</v>
      </c>
      <c r="K509" t="str">
        <f t="shared" si="89"/>
        <v>Small Business</v>
      </c>
      <c r="L509" t="s">
        <v>23</v>
      </c>
      <c r="M509" t="str">
        <f t="shared" si="97"/>
        <v>North</v>
      </c>
      <c r="N509" t="s">
        <v>235</v>
      </c>
      <c r="O509" t="str">
        <f t="shared" si="90"/>
        <v>Haryana</v>
      </c>
      <c r="P509" t="s">
        <v>236</v>
      </c>
      <c r="Q509" t="str">
        <f t="shared" si="91"/>
        <v>Gurugram</v>
      </c>
      <c r="R509" t="s">
        <v>26</v>
      </c>
      <c r="S509" t="str">
        <f t="shared" si="92"/>
        <v>Office Supplies</v>
      </c>
      <c r="T509" t="s">
        <v>151</v>
      </c>
      <c r="U509" t="str">
        <f t="shared" si="93"/>
        <v>Binders</v>
      </c>
      <c r="V509" t="s">
        <v>1645</v>
      </c>
      <c r="X509" t="s">
        <v>42</v>
      </c>
      <c r="Y509" t="str">
        <f t="shared" si="94"/>
        <v>Same Day</v>
      </c>
      <c r="Z509">
        <v>4</v>
      </c>
      <c r="AA509">
        <v>2990.42</v>
      </c>
      <c r="AB509">
        <v>0.25</v>
      </c>
      <c r="AC509">
        <v>8971.26</v>
      </c>
      <c r="AD509">
        <v>6814.35</v>
      </c>
      <c r="AE509">
        <v>2156.91</v>
      </c>
      <c r="AF509" t="s">
        <v>30</v>
      </c>
      <c r="AG509" t="str">
        <f t="shared" si="95"/>
        <v>Paid</v>
      </c>
      <c r="AH509" t="s">
        <v>31</v>
      </c>
    </row>
    <row r="510" spans="1:34">
      <c r="A510" t="s">
        <v>1646</v>
      </c>
      <c r="B510">
        <f>COUNTIF($A:$A,A510)</f>
        <v>1</v>
      </c>
      <c r="C510" t="str">
        <f t="shared" si="86"/>
        <v>Unique</v>
      </c>
      <c r="D510" s="4">
        <v>45382</v>
      </c>
      <c r="E510">
        <f t="shared" si="87"/>
        <v>95</v>
      </c>
      <c r="F510" s="4">
        <v>45477</v>
      </c>
      <c r="G510" t="s">
        <v>1647</v>
      </c>
      <c r="H510" t="s">
        <v>45</v>
      </c>
      <c r="I510" t="str">
        <f t="shared" si="88"/>
        <v>Isha Nair</v>
      </c>
      <c r="J510" t="s">
        <v>35</v>
      </c>
      <c r="K510" t="str">
        <f t="shared" si="89"/>
        <v>Small Business</v>
      </c>
      <c r="L510" t="s">
        <v>23</v>
      </c>
      <c r="M510" t="str">
        <f t="shared" si="97"/>
        <v>North</v>
      </c>
      <c r="N510" t="s">
        <v>235</v>
      </c>
      <c r="O510" t="str">
        <f t="shared" si="90"/>
        <v>Haryana</v>
      </c>
      <c r="P510" t="s">
        <v>236</v>
      </c>
      <c r="Q510" t="str">
        <f t="shared" si="91"/>
        <v>Gurugram</v>
      </c>
      <c r="R510" t="s">
        <v>72</v>
      </c>
      <c r="S510" t="str">
        <f t="shared" si="92"/>
        <v>Technology</v>
      </c>
      <c r="T510" t="s">
        <v>273</v>
      </c>
      <c r="U510" t="str">
        <f t="shared" si="93"/>
        <v>Machines</v>
      </c>
      <c r="V510" t="s">
        <v>1648</v>
      </c>
      <c r="X510" t="s">
        <v>29</v>
      </c>
      <c r="Y510" t="str">
        <f t="shared" si="94"/>
        <v>Second Class</v>
      </c>
      <c r="Z510">
        <v>4</v>
      </c>
      <c r="AA510">
        <v>1831</v>
      </c>
      <c r="AB510">
        <v>0</v>
      </c>
      <c r="AC510">
        <v>7324</v>
      </c>
      <c r="AD510">
        <v>4179.63</v>
      </c>
      <c r="AE510">
        <v>3144.37</v>
      </c>
      <c r="AF510" t="s">
        <v>30</v>
      </c>
      <c r="AG510" t="str">
        <f t="shared" si="95"/>
        <v>Paid</v>
      </c>
      <c r="AH510" t="s">
        <v>31</v>
      </c>
    </row>
    <row r="511" spans="1:34">
      <c r="A511" t="s">
        <v>1649</v>
      </c>
      <c r="B511">
        <f>COUNTIF($A:$A,A511)</f>
        <v>1</v>
      </c>
      <c r="C511" t="str">
        <f t="shared" si="86"/>
        <v>Unique</v>
      </c>
      <c r="D511" s="4">
        <v>45996</v>
      </c>
      <c r="E511">
        <f t="shared" si="87"/>
        <v>-205</v>
      </c>
      <c r="F511" s="4">
        <v>45791</v>
      </c>
      <c r="G511" t="s">
        <v>1650</v>
      </c>
      <c r="H511" t="s">
        <v>77</v>
      </c>
      <c r="I511" t="str">
        <f t="shared" si="88"/>
        <v>Neha Gupta</v>
      </c>
      <c r="J511" t="s">
        <v>22</v>
      </c>
      <c r="K511" t="str">
        <f t="shared" si="89"/>
        <v>Consumer</v>
      </c>
      <c r="L511" t="s">
        <v>61</v>
      </c>
      <c r="M511" t="str">
        <f t="shared" si="97"/>
        <v>West</v>
      </c>
      <c r="N511" t="s">
        <v>178</v>
      </c>
      <c r="O511" t="str">
        <f t="shared" si="90"/>
        <v>Gujarat</v>
      </c>
      <c r="P511" t="s">
        <v>179</v>
      </c>
      <c r="Q511" t="str">
        <f t="shared" si="91"/>
        <v>Ahmedabad</v>
      </c>
      <c r="R511" t="s">
        <v>72</v>
      </c>
      <c r="S511" t="str">
        <f t="shared" si="92"/>
        <v>Technology</v>
      </c>
      <c r="T511" t="s">
        <v>273</v>
      </c>
      <c r="U511" t="str">
        <f t="shared" si="93"/>
        <v>Machines</v>
      </c>
      <c r="V511" t="s">
        <v>1651</v>
      </c>
      <c r="X511" t="s">
        <v>42</v>
      </c>
      <c r="Y511" t="str">
        <f t="shared" si="94"/>
        <v>Same Day</v>
      </c>
      <c r="Z511">
        <v>8</v>
      </c>
      <c r="AA511">
        <v>3631.44</v>
      </c>
      <c r="AB511">
        <v>0.2</v>
      </c>
      <c r="AC511">
        <v>23241.22</v>
      </c>
      <c r="AD511">
        <v>17220.900000000001</v>
      </c>
      <c r="AE511">
        <v>6020.32</v>
      </c>
      <c r="AF511" t="s">
        <v>30</v>
      </c>
      <c r="AG511" t="str">
        <f t="shared" si="95"/>
        <v>Paid</v>
      </c>
      <c r="AH511" t="s">
        <v>31</v>
      </c>
    </row>
    <row r="512" spans="1:34">
      <c r="A512" t="s">
        <v>1652</v>
      </c>
      <c r="B512">
        <f>COUNTIF($A:$A,A512)</f>
        <v>1</v>
      </c>
      <c r="C512" t="str">
        <f t="shared" si="86"/>
        <v>Unique</v>
      </c>
      <c r="D512" s="4">
        <v>45583</v>
      </c>
      <c r="E512">
        <f t="shared" si="87"/>
        <v>3</v>
      </c>
      <c r="F512" s="4">
        <v>45586</v>
      </c>
      <c r="G512" t="s">
        <v>1653</v>
      </c>
      <c r="H512" t="s">
        <v>1654</v>
      </c>
      <c r="I512" t="str">
        <f t="shared" si="88"/>
        <v>Aarav Sharma</v>
      </c>
      <c r="J512" t="s">
        <v>22</v>
      </c>
      <c r="K512" t="str">
        <f t="shared" si="89"/>
        <v>Consumer</v>
      </c>
      <c r="L512" t="s">
        <v>52</v>
      </c>
      <c r="M512" t="str">
        <f t="shared" si="97"/>
        <v>South</v>
      </c>
      <c r="N512" t="s">
        <v>173</v>
      </c>
      <c r="O512" t="str">
        <f t="shared" si="90"/>
        <v>Karnataka</v>
      </c>
      <c r="P512" t="s">
        <v>174</v>
      </c>
      <c r="Q512" t="str">
        <f t="shared" si="91"/>
        <v>Bengaluru</v>
      </c>
      <c r="R512" t="s">
        <v>26</v>
      </c>
      <c r="S512" t="str">
        <f t="shared" si="92"/>
        <v>Office Supplies</v>
      </c>
      <c r="T512" t="s">
        <v>122</v>
      </c>
      <c r="U512" t="str">
        <f t="shared" si="93"/>
        <v>Storage</v>
      </c>
      <c r="V512" t="s">
        <v>1655</v>
      </c>
      <c r="X512" t="s">
        <v>29</v>
      </c>
      <c r="Y512" t="str">
        <f t="shared" si="94"/>
        <v>Second Class</v>
      </c>
      <c r="Z512">
        <v>2</v>
      </c>
      <c r="AA512">
        <v>4238.51</v>
      </c>
      <c r="AB512">
        <v>0</v>
      </c>
      <c r="AC512">
        <v>8477.02</v>
      </c>
      <c r="AD512">
        <v>6884.96</v>
      </c>
      <c r="AE512">
        <v>1592.06</v>
      </c>
      <c r="AF512" t="s">
        <v>30</v>
      </c>
      <c r="AG512" t="str">
        <f t="shared" si="95"/>
        <v>Paid</v>
      </c>
      <c r="AH512" t="s">
        <v>31</v>
      </c>
    </row>
    <row r="513" spans="1:34">
      <c r="A513" t="s">
        <v>1656</v>
      </c>
      <c r="B513">
        <f>COUNTIF($A:$A,A513)</f>
        <v>1</v>
      </c>
      <c r="C513" t="str">
        <f t="shared" si="86"/>
        <v>Unique</v>
      </c>
      <c r="D513" s="4">
        <v>45588</v>
      </c>
      <c r="E513">
        <f t="shared" si="87"/>
        <v>3</v>
      </c>
      <c r="F513" s="4">
        <v>45591</v>
      </c>
      <c r="G513" t="s">
        <v>1657</v>
      </c>
      <c r="H513" t="s">
        <v>130</v>
      </c>
      <c r="I513" t="str">
        <f t="shared" si="88"/>
        <v>Sneha Kapoor</v>
      </c>
      <c r="J513" t="s">
        <v>22</v>
      </c>
      <c r="K513" t="str">
        <f t="shared" si="89"/>
        <v>Consumer</v>
      </c>
      <c r="L513" t="s">
        <v>61</v>
      </c>
      <c r="M513" t="str">
        <f t="shared" ref="M513:M544" si="98">PROPER(TRIM(L513))</f>
        <v>West</v>
      </c>
      <c r="N513" t="s">
        <v>70</v>
      </c>
      <c r="O513" t="str">
        <f t="shared" si="90"/>
        <v>Madhya Pradesh</v>
      </c>
      <c r="P513" t="s">
        <v>71</v>
      </c>
      <c r="Q513" t="str">
        <f t="shared" si="91"/>
        <v>Indore</v>
      </c>
      <c r="R513" t="s">
        <v>39</v>
      </c>
      <c r="S513" t="str">
        <f t="shared" si="92"/>
        <v>Furniture</v>
      </c>
      <c r="T513" t="s">
        <v>156</v>
      </c>
      <c r="U513" t="str">
        <f t="shared" si="93"/>
        <v>Bookcases</v>
      </c>
      <c r="V513" t="s">
        <v>1658</v>
      </c>
      <c r="X513" t="s">
        <v>57</v>
      </c>
      <c r="Y513" t="str">
        <f t="shared" si="94"/>
        <v>Standard Class</v>
      </c>
      <c r="Z513">
        <v>9</v>
      </c>
      <c r="AA513">
        <v>544.27</v>
      </c>
      <c r="AB513">
        <v>0.25</v>
      </c>
      <c r="AC513">
        <v>3673.82</v>
      </c>
      <c r="AD513">
        <v>2088.15</v>
      </c>
      <c r="AE513">
        <v>1585.67</v>
      </c>
      <c r="AF513" t="s">
        <v>30</v>
      </c>
      <c r="AG513" t="str">
        <f t="shared" si="95"/>
        <v>Paid</v>
      </c>
      <c r="AH513" t="s">
        <v>31</v>
      </c>
    </row>
    <row r="514" spans="1:34">
      <c r="A514" t="s">
        <v>1659</v>
      </c>
      <c r="B514">
        <f>COUNTIF($A:$A,A514)</f>
        <v>1</v>
      </c>
      <c r="C514" t="str">
        <f t="shared" ref="C514:C577" si="99">IF(B514&gt;1,"Review Duplicate ID","Unique")</f>
        <v>Unique</v>
      </c>
      <c r="D514" s="4">
        <v>45718</v>
      </c>
      <c r="E514">
        <f t="shared" ref="E514:E577" si="100">F514-D514</f>
        <v>1</v>
      </c>
      <c r="F514" s="4">
        <v>45719</v>
      </c>
      <c r="G514" t="s">
        <v>1264</v>
      </c>
      <c r="H514" t="s">
        <v>45</v>
      </c>
      <c r="I514" t="str">
        <f t="shared" ref="I514:I577" si="101">PROPER(TRIM(H514))</f>
        <v>Isha Nair</v>
      </c>
      <c r="J514" t="s">
        <v>88</v>
      </c>
      <c r="K514" t="str">
        <f t="shared" ref="K514:K577" si="102">PROPER(TRIM(J514))</f>
        <v>Corporate</v>
      </c>
      <c r="L514" t="s">
        <v>52</v>
      </c>
      <c r="M514" t="str">
        <f t="shared" si="98"/>
        <v>South</v>
      </c>
      <c r="N514" t="s">
        <v>183</v>
      </c>
      <c r="O514" t="str">
        <f t="shared" ref="O514:O577" si="103">PROPER(TRIM(N514))</f>
        <v>Kerala</v>
      </c>
      <c r="P514" t="s">
        <v>184</v>
      </c>
      <c r="Q514" t="str">
        <f t="shared" ref="Q514:Q577" si="104">PROPER(TRIM(P514))</f>
        <v>Kochi</v>
      </c>
      <c r="R514" t="s">
        <v>26</v>
      </c>
      <c r="S514" t="str">
        <f t="shared" ref="S514:S577" si="105">PROPER(TRIM(R514))</f>
        <v>Office Supplies</v>
      </c>
      <c r="T514" t="s">
        <v>89</v>
      </c>
      <c r="U514" t="str">
        <f t="shared" ref="U514:U577" si="106">PROPER(TRIM(T514))</f>
        <v>Labels</v>
      </c>
      <c r="V514" t="s">
        <v>1660</v>
      </c>
      <c r="X514" t="s">
        <v>29</v>
      </c>
      <c r="Y514" t="str">
        <f t="shared" si="94"/>
        <v>Second Class</v>
      </c>
      <c r="Z514">
        <v>2</v>
      </c>
      <c r="AA514">
        <v>4031.45</v>
      </c>
      <c r="AB514">
        <v>0.25</v>
      </c>
      <c r="AC514">
        <v>6047.17</v>
      </c>
      <c r="AD514">
        <v>3368.79</v>
      </c>
      <c r="AE514">
        <v>2678.38</v>
      </c>
      <c r="AF514" t="s">
        <v>30</v>
      </c>
      <c r="AG514" t="str">
        <f t="shared" si="95"/>
        <v>Paid</v>
      </c>
      <c r="AH514" t="s">
        <v>31</v>
      </c>
    </row>
    <row r="515" spans="1:34">
      <c r="A515" t="s">
        <v>1661</v>
      </c>
      <c r="B515">
        <f>COUNTIF($A:$A,A515)</f>
        <v>1</v>
      </c>
      <c r="C515" t="str">
        <f t="shared" si="99"/>
        <v>Unique</v>
      </c>
      <c r="D515" s="4">
        <v>45835</v>
      </c>
      <c r="E515">
        <f t="shared" si="100"/>
        <v>5</v>
      </c>
      <c r="F515" s="4">
        <v>45840</v>
      </c>
      <c r="G515" t="s">
        <v>1662</v>
      </c>
      <c r="H515" t="s">
        <v>126</v>
      </c>
      <c r="I515" t="str">
        <f t="shared" si="101"/>
        <v>Aarav Sharma</v>
      </c>
      <c r="J515" t="s">
        <v>88</v>
      </c>
      <c r="K515" t="str">
        <f t="shared" si="102"/>
        <v>Corporate</v>
      </c>
      <c r="L515" t="s">
        <v>52</v>
      </c>
      <c r="M515" t="str">
        <f t="shared" si="98"/>
        <v>South</v>
      </c>
      <c r="N515" t="s">
        <v>183</v>
      </c>
      <c r="O515" t="str">
        <f t="shared" si="103"/>
        <v>Kerala</v>
      </c>
      <c r="P515" t="s">
        <v>184</v>
      </c>
      <c r="Q515" t="str">
        <f t="shared" si="104"/>
        <v>Kochi</v>
      </c>
      <c r="R515" t="s">
        <v>72</v>
      </c>
      <c r="S515" t="str">
        <f t="shared" si="105"/>
        <v>Technology</v>
      </c>
      <c r="T515" t="s">
        <v>73</v>
      </c>
      <c r="U515" t="str">
        <f t="shared" si="106"/>
        <v>Accessories</v>
      </c>
      <c r="V515" t="s">
        <v>1663</v>
      </c>
      <c r="X515" t="s">
        <v>48</v>
      </c>
      <c r="Y515" t="str">
        <f t="shared" ref="Y515:Y578" si="107">PROPER(TRIM(X515))</f>
        <v>First Class</v>
      </c>
      <c r="Z515">
        <v>6</v>
      </c>
      <c r="AA515">
        <v>1099.49</v>
      </c>
      <c r="AB515">
        <v>0.1</v>
      </c>
      <c r="AC515">
        <v>6212.38</v>
      </c>
      <c r="AD515">
        <v>4088.46</v>
      </c>
      <c r="AE515">
        <v>1848.79</v>
      </c>
      <c r="AF515" t="s">
        <v>30</v>
      </c>
      <c r="AG515" t="str">
        <f t="shared" ref="AG515:AG578" si="108">PROPER(TRIM(AF515))</f>
        <v>Paid</v>
      </c>
      <c r="AH515" t="s">
        <v>31</v>
      </c>
    </row>
    <row r="516" spans="1:34">
      <c r="A516" t="s">
        <v>1664</v>
      </c>
      <c r="B516">
        <f>COUNTIF($A:$A,A516)</f>
        <v>1</v>
      </c>
      <c r="C516" t="str">
        <f t="shared" si="99"/>
        <v>Unique</v>
      </c>
      <c r="D516" s="4">
        <v>45614</v>
      </c>
      <c r="E516">
        <f t="shared" si="100"/>
        <v>4</v>
      </c>
      <c r="F516" s="4">
        <v>45618</v>
      </c>
      <c r="G516" t="s">
        <v>1665</v>
      </c>
      <c r="H516" t="s">
        <v>21</v>
      </c>
      <c r="I516" t="str">
        <f t="shared" si="101"/>
        <v>Karan Malhotra</v>
      </c>
      <c r="J516" t="s">
        <v>93</v>
      </c>
      <c r="K516" t="str">
        <f t="shared" si="102"/>
        <v>Home Office</v>
      </c>
      <c r="L516" t="s">
        <v>52</v>
      </c>
      <c r="M516" t="str">
        <f t="shared" si="98"/>
        <v>South</v>
      </c>
      <c r="N516" t="s">
        <v>183</v>
      </c>
      <c r="O516" t="str">
        <f t="shared" si="103"/>
        <v>Kerala</v>
      </c>
      <c r="P516" t="s">
        <v>184</v>
      </c>
      <c r="Q516" t="str">
        <f t="shared" si="104"/>
        <v>Kochi</v>
      </c>
      <c r="R516" t="s">
        <v>72</v>
      </c>
      <c r="S516" t="str">
        <f t="shared" si="105"/>
        <v>Technology</v>
      </c>
      <c r="T516" t="s">
        <v>73</v>
      </c>
      <c r="U516" t="str">
        <f t="shared" si="106"/>
        <v>Accessories</v>
      </c>
      <c r="V516" t="s">
        <v>1666</v>
      </c>
      <c r="X516" t="s">
        <v>57</v>
      </c>
      <c r="Y516" t="str">
        <f t="shared" si="107"/>
        <v>Standard Class</v>
      </c>
      <c r="Z516">
        <v>6</v>
      </c>
      <c r="AA516">
        <v>3872.94</v>
      </c>
      <c r="AB516">
        <v>0.1</v>
      </c>
      <c r="AC516">
        <v>20913.88</v>
      </c>
      <c r="AD516">
        <v>11684.68</v>
      </c>
      <c r="AE516">
        <v>9229.2000000000007</v>
      </c>
      <c r="AF516" t="s">
        <v>30</v>
      </c>
      <c r="AG516" t="str">
        <f t="shared" si="108"/>
        <v>Paid</v>
      </c>
      <c r="AH516" t="s">
        <v>31</v>
      </c>
    </row>
    <row r="517" spans="1:34">
      <c r="A517" t="s">
        <v>1667</v>
      </c>
      <c r="B517">
        <f>COUNTIF($A:$A,A517)</f>
        <v>1</v>
      </c>
      <c r="C517" t="str">
        <f t="shared" si="99"/>
        <v>Unique</v>
      </c>
      <c r="D517" s="4">
        <v>45758</v>
      </c>
      <c r="E517">
        <f t="shared" si="100"/>
        <v>207</v>
      </c>
      <c r="F517" s="4">
        <v>45965</v>
      </c>
      <c r="G517" t="s">
        <v>1668</v>
      </c>
      <c r="H517" t="s">
        <v>116</v>
      </c>
      <c r="I517" t="str">
        <f t="shared" si="101"/>
        <v>Rahul Verma</v>
      </c>
      <c r="J517" t="s">
        <v>88</v>
      </c>
      <c r="K517" t="str">
        <f t="shared" si="102"/>
        <v>Corporate</v>
      </c>
      <c r="L517" t="s">
        <v>23</v>
      </c>
      <c r="M517" t="str">
        <f t="shared" si="98"/>
        <v>North</v>
      </c>
      <c r="N517" t="s">
        <v>349</v>
      </c>
      <c r="O517" t="str">
        <f t="shared" si="103"/>
        <v>Delhi</v>
      </c>
      <c r="P517" t="s">
        <v>350</v>
      </c>
      <c r="Q517" t="str">
        <f t="shared" si="104"/>
        <v>New Delhi</v>
      </c>
      <c r="R517" t="s">
        <v>26</v>
      </c>
      <c r="S517" t="str">
        <f t="shared" si="105"/>
        <v>Office Supplies</v>
      </c>
      <c r="T517" t="s">
        <v>27</v>
      </c>
      <c r="U517" t="str">
        <f t="shared" si="106"/>
        <v>Paper</v>
      </c>
      <c r="V517" t="s">
        <v>1669</v>
      </c>
      <c r="X517" t="s">
        <v>57</v>
      </c>
      <c r="Y517" t="str">
        <f t="shared" si="107"/>
        <v>Standard Class</v>
      </c>
      <c r="Z517">
        <v>1</v>
      </c>
      <c r="AA517">
        <v>4458.49</v>
      </c>
      <c r="AB517">
        <v>-7.0000000000000007E-2</v>
      </c>
      <c r="AC517">
        <v>3566.79</v>
      </c>
      <c r="AD517">
        <v>2083.41</v>
      </c>
      <c r="AE517">
        <v>1483.38</v>
      </c>
      <c r="AF517" t="s">
        <v>30</v>
      </c>
      <c r="AG517" t="str">
        <f t="shared" si="108"/>
        <v>Paid</v>
      </c>
      <c r="AH517" t="s">
        <v>31</v>
      </c>
    </row>
    <row r="518" spans="1:34">
      <c r="A518" t="s">
        <v>1670</v>
      </c>
      <c r="B518">
        <f>COUNTIF($A:$A,A518)</f>
        <v>1</v>
      </c>
      <c r="C518" t="str">
        <f t="shared" si="99"/>
        <v>Unique</v>
      </c>
      <c r="D518" s="4">
        <v>45563</v>
      </c>
      <c r="E518">
        <f t="shared" si="100"/>
        <v>-171</v>
      </c>
      <c r="F518" s="4">
        <v>45392</v>
      </c>
      <c r="G518" t="s">
        <v>1671</v>
      </c>
      <c r="H518" t="s">
        <v>263</v>
      </c>
      <c r="I518" t="str">
        <f t="shared" si="101"/>
        <v>Kabir Singh</v>
      </c>
      <c r="J518" t="s">
        <v>93</v>
      </c>
      <c r="K518" t="str">
        <f t="shared" si="102"/>
        <v>Home Office</v>
      </c>
      <c r="L518" t="s">
        <v>23</v>
      </c>
      <c r="M518" t="str">
        <f t="shared" si="98"/>
        <v>North</v>
      </c>
      <c r="N518" t="s">
        <v>349</v>
      </c>
      <c r="O518" t="str">
        <f t="shared" si="103"/>
        <v>Delhi</v>
      </c>
      <c r="P518" t="s">
        <v>350</v>
      </c>
      <c r="Q518" t="str">
        <f t="shared" si="104"/>
        <v>New Delhi</v>
      </c>
      <c r="R518" t="s">
        <v>72</v>
      </c>
      <c r="S518" t="str">
        <f t="shared" si="105"/>
        <v>Technology</v>
      </c>
      <c r="T518" t="s">
        <v>78</v>
      </c>
      <c r="U518" t="str">
        <f t="shared" si="106"/>
        <v>Copiers</v>
      </c>
      <c r="V518" t="s">
        <v>1672</v>
      </c>
      <c r="X518" t="s">
        <v>57</v>
      </c>
      <c r="Y518" t="str">
        <f t="shared" si="107"/>
        <v>Standard Class</v>
      </c>
      <c r="Z518">
        <v>1</v>
      </c>
      <c r="AA518">
        <v>2233.1799999999998</v>
      </c>
      <c r="AB518">
        <v>0</v>
      </c>
      <c r="AC518">
        <v>2233.1799999999998</v>
      </c>
      <c r="AD518">
        <v>1585.82</v>
      </c>
      <c r="AE518">
        <v>647.36</v>
      </c>
      <c r="AF518" t="s">
        <v>153</v>
      </c>
      <c r="AG518" t="str">
        <f t="shared" si="108"/>
        <v>Failed</v>
      </c>
      <c r="AH518" t="s">
        <v>101</v>
      </c>
    </row>
    <row r="519" spans="1:34">
      <c r="A519" t="s">
        <v>1673</v>
      </c>
      <c r="B519">
        <f>COUNTIF($A:$A,A519)</f>
        <v>1</v>
      </c>
      <c r="C519" t="str">
        <f t="shared" si="99"/>
        <v>Unique</v>
      </c>
      <c r="D519" s="4">
        <v>45802</v>
      </c>
      <c r="E519">
        <f t="shared" si="100"/>
        <v>2</v>
      </c>
      <c r="F519" s="4">
        <v>45804</v>
      </c>
      <c r="G519" t="s">
        <v>1674</v>
      </c>
      <c r="H519" t="s">
        <v>116</v>
      </c>
      <c r="I519" t="str">
        <f t="shared" si="101"/>
        <v>Rahul Verma</v>
      </c>
      <c r="J519" t="s">
        <v>22</v>
      </c>
      <c r="K519" t="str">
        <f t="shared" si="102"/>
        <v>Consumer</v>
      </c>
      <c r="L519" t="s">
        <v>36</v>
      </c>
      <c r="M519" t="str">
        <f t="shared" si="98"/>
        <v>East</v>
      </c>
      <c r="N519" t="s">
        <v>37</v>
      </c>
      <c r="O519" t="str">
        <f t="shared" si="103"/>
        <v>Odisha</v>
      </c>
      <c r="P519" t="s">
        <v>38</v>
      </c>
      <c r="Q519" t="str">
        <f t="shared" si="104"/>
        <v>Bhubaneswar</v>
      </c>
      <c r="R519" t="s">
        <v>39</v>
      </c>
      <c r="S519" t="str">
        <f t="shared" si="105"/>
        <v>Furniture</v>
      </c>
      <c r="T519" t="s">
        <v>55</v>
      </c>
      <c r="U519" t="str">
        <f t="shared" si="106"/>
        <v>Furnishings</v>
      </c>
      <c r="V519" t="s">
        <v>1675</v>
      </c>
      <c r="X519" t="s">
        <v>29</v>
      </c>
      <c r="Y519" t="str">
        <f t="shared" si="107"/>
        <v>Second Class</v>
      </c>
      <c r="Z519">
        <v>7</v>
      </c>
      <c r="AA519">
        <v>2123.2800000000002</v>
      </c>
      <c r="AB519">
        <v>0.2</v>
      </c>
      <c r="AC519">
        <v>11890.37</v>
      </c>
      <c r="AD519">
        <v>9234.5300000000007</v>
      </c>
      <c r="AE519">
        <v>2655.84</v>
      </c>
      <c r="AF519" t="s">
        <v>100</v>
      </c>
      <c r="AG519" t="str">
        <f t="shared" si="108"/>
        <v>Refunded</v>
      </c>
      <c r="AH519" t="s">
        <v>101</v>
      </c>
    </row>
    <row r="520" spans="1:34">
      <c r="A520" t="s">
        <v>1676</v>
      </c>
      <c r="B520">
        <f>COUNTIF($A:$A,A520)</f>
        <v>1</v>
      </c>
      <c r="C520" t="str">
        <f t="shared" si="99"/>
        <v>Unique</v>
      </c>
      <c r="D520" s="4">
        <v>45777</v>
      </c>
      <c r="E520">
        <f t="shared" si="100"/>
        <v>-4</v>
      </c>
      <c r="F520" s="4">
        <v>45773</v>
      </c>
      <c r="G520" t="s">
        <v>1677</v>
      </c>
      <c r="H520" t="s">
        <v>160</v>
      </c>
      <c r="I520" t="str">
        <f t="shared" si="101"/>
        <v>Diya Patel</v>
      </c>
      <c r="J520" t="s">
        <v>88</v>
      </c>
      <c r="K520" t="str">
        <f t="shared" si="102"/>
        <v>Corporate</v>
      </c>
      <c r="L520" t="s">
        <v>36</v>
      </c>
      <c r="M520" t="str">
        <f t="shared" si="98"/>
        <v>East</v>
      </c>
      <c r="N520" t="s">
        <v>37</v>
      </c>
      <c r="O520" t="str">
        <f t="shared" si="103"/>
        <v>Odisha</v>
      </c>
      <c r="P520" t="s">
        <v>38</v>
      </c>
      <c r="Q520" t="str">
        <f t="shared" si="104"/>
        <v>Bhubaneswar</v>
      </c>
      <c r="R520" t="s">
        <v>39</v>
      </c>
      <c r="S520" t="str">
        <f t="shared" si="105"/>
        <v>Furniture</v>
      </c>
      <c r="T520" t="s">
        <v>40</v>
      </c>
      <c r="U520" t="str">
        <f t="shared" si="106"/>
        <v>Tables</v>
      </c>
      <c r="V520" t="s">
        <v>1678</v>
      </c>
      <c r="X520" t="s">
        <v>48</v>
      </c>
      <c r="Y520" t="str">
        <f t="shared" si="107"/>
        <v>First Class</v>
      </c>
      <c r="Z520">
        <v>7</v>
      </c>
      <c r="AA520">
        <v>1604.13</v>
      </c>
      <c r="AB520">
        <v>0.25</v>
      </c>
      <c r="AC520">
        <v>8421.68</v>
      </c>
      <c r="AD520">
        <v>6534.47</v>
      </c>
      <c r="AE520">
        <v>1887.21</v>
      </c>
      <c r="AF520" t="s">
        <v>30</v>
      </c>
      <c r="AG520" t="str">
        <f t="shared" si="108"/>
        <v>Paid</v>
      </c>
      <c r="AH520" t="s">
        <v>66</v>
      </c>
    </row>
    <row r="521" spans="1:34">
      <c r="A521" t="s">
        <v>1679</v>
      </c>
      <c r="B521">
        <f>COUNTIF($A:$A,A521)</f>
        <v>1</v>
      </c>
      <c r="C521" t="str">
        <f t="shared" si="99"/>
        <v>Unique</v>
      </c>
      <c r="D521" s="4">
        <v>45723</v>
      </c>
      <c r="E521">
        <f t="shared" si="100"/>
        <v>122</v>
      </c>
      <c r="F521" s="4">
        <v>45845</v>
      </c>
      <c r="G521" t="s">
        <v>1680</v>
      </c>
      <c r="H521" t="s">
        <v>112</v>
      </c>
      <c r="I521" t="str">
        <f t="shared" si="101"/>
        <v>Priya Menon</v>
      </c>
      <c r="J521" t="s">
        <v>22</v>
      </c>
      <c r="K521" t="str">
        <f t="shared" si="102"/>
        <v>Consumer</v>
      </c>
      <c r="L521" t="s">
        <v>23</v>
      </c>
      <c r="M521" t="str">
        <f t="shared" si="98"/>
        <v>North</v>
      </c>
      <c r="N521" t="s">
        <v>134</v>
      </c>
      <c r="O521" t="str">
        <f t="shared" si="103"/>
        <v>Uttar Pradesh</v>
      </c>
      <c r="P521" t="s">
        <v>135</v>
      </c>
      <c r="Q521" t="str">
        <f t="shared" si="104"/>
        <v>Noida</v>
      </c>
      <c r="R521" t="s">
        <v>39</v>
      </c>
      <c r="S521" t="str">
        <f t="shared" si="105"/>
        <v>Furniture</v>
      </c>
      <c r="T521" t="s">
        <v>40</v>
      </c>
      <c r="U521" t="str">
        <f t="shared" si="106"/>
        <v>Tables</v>
      </c>
      <c r="V521" t="s">
        <v>1681</v>
      </c>
      <c r="X521" t="s">
        <v>57</v>
      </c>
      <c r="Y521" t="str">
        <f t="shared" si="107"/>
        <v>Standard Class</v>
      </c>
      <c r="Z521">
        <v>4</v>
      </c>
      <c r="AA521">
        <v>4365.21</v>
      </c>
      <c r="AB521">
        <v>0.2</v>
      </c>
      <c r="AC521">
        <v>13968.67</v>
      </c>
      <c r="AD521">
        <v>8857.58</v>
      </c>
      <c r="AE521">
        <v>5111.09</v>
      </c>
      <c r="AF521" t="s">
        <v>109</v>
      </c>
      <c r="AG521" t="str">
        <f t="shared" si="108"/>
        <v>Pending</v>
      </c>
      <c r="AH521" t="s">
        <v>66</v>
      </c>
    </row>
    <row r="522" spans="1:34">
      <c r="A522" t="s">
        <v>1682</v>
      </c>
      <c r="B522">
        <f>COUNTIF($A:$A,A522)</f>
        <v>1</v>
      </c>
      <c r="C522" t="str">
        <f t="shared" si="99"/>
        <v>Unique</v>
      </c>
      <c r="D522" s="4">
        <v>45489</v>
      </c>
      <c r="E522">
        <f t="shared" si="100"/>
        <v>7</v>
      </c>
      <c r="F522" s="4">
        <v>45496</v>
      </c>
      <c r="G522" t="s">
        <v>1683</v>
      </c>
      <c r="H522" t="s">
        <v>126</v>
      </c>
      <c r="I522" t="str">
        <f t="shared" si="101"/>
        <v>Aarav Sharma</v>
      </c>
      <c r="J522" t="s">
        <v>93</v>
      </c>
      <c r="K522" t="str">
        <f t="shared" si="102"/>
        <v>Home Office</v>
      </c>
      <c r="L522" t="s">
        <v>52</v>
      </c>
      <c r="M522" t="str">
        <f t="shared" si="98"/>
        <v>South</v>
      </c>
      <c r="N522" t="s">
        <v>173</v>
      </c>
      <c r="O522" t="str">
        <f t="shared" si="103"/>
        <v>Karnataka</v>
      </c>
      <c r="P522" t="s">
        <v>174</v>
      </c>
      <c r="Q522" t="str">
        <f t="shared" si="104"/>
        <v>Bengaluru</v>
      </c>
      <c r="R522" t="s">
        <v>72</v>
      </c>
      <c r="S522" t="str">
        <f t="shared" si="105"/>
        <v>Technology</v>
      </c>
      <c r="T522" t="s">
        <v>273</v>
      </c>
      <c r="U522" t="str">
        <f t="shared" si="106"/>
        <v>Machines</v>
      </c>
      <c r="V522" t="s">
        <v>1684</v>
      </c>
      <c r="X522" t="s">
        <v>42</v>
      </c>
      <c r="Y522" t="str">
        <f t="shared" si="107"/>
        <v>Same Day</v>
      </c>
      <c r="Z522">
        <v>1</v>
      </c>
      <c r="AA522">
        <v>1695.91</v>
      </c>
      <c r="AB522">
        <v>0.05</v>
      </c>
      <c r="AC522">
        <v>1611.11</v>
      </c>
      <c r="AD522">
        <v>895.15</v>
      </c>
      <c r="AE522">
        <v>715.96</v>
      </c>
      <c r="AF522" t="s">
        <v>30</v>
      </c>
      <c r="AG522" t="str">
        <f t="shared" si="108"/>
        <v>Paid</v>
      </c>
      <c r="AH522" t="s">
        <v>31</v>
      </c>
    </row>
    <row r="523" spans="1:34">
      <c r="A523" t="s">
        <v>1685</v>
      </c>
      <c r="B523">
        <f>COUNTIF($A:$A,A523)</f>
        <v>1</v>
      </c>
      <c r="C523" t="str">
        <f t="shared" si="99"/>
        <v>Unique</v>
      </c>
      <c r="D523" s="4">
        <v>45741</v>
      </c>
      <c r="E523">
        <f t="shared" si="100"/>
        <v>-80</v>
      </c>
      <c r="F523" s="4">
        <v>45661</v>
      </c>
      <c r="G523" t="s">
        <v>1686</v>
      </c>
      <c r="H523" t="s">
        <v>160</v>
      </c>
      <c r="I523" t="str">
        <f t="shared" si="101"/>
        <v>Diya Patel</v>
      </c>
      <c r="J523" t="s">
        <v>22</v>
      </c>
      <c r="K523" t="str">
        <f t="shared" si="102"/>
        <v>Consumer</v>
      </c>
      <c r="L523" t="s">
        <v>23</v>
      </c>
      <c r="M523" t="str">
        <f t="shared" si="98"/>
        <v>North</v>
      </c>
      <c r="N523" t="s">
        <v>120</v>
      </c>
      <c r="O523" t="str">
        <f t="shared" si="103"/>
        <v>Punjab</v>
      </c>
      <c r="P523" t="s">
        <v>121</v>
      </c>
      <c r="Q523" t="str">
        <f t="shared" si="104"/>
        <v>Ludhiana</v>
      </c>
      <c r="R523" t="s">
        <v>26</v>
      </c>
      <c r="S523" t="str">
        <f t="shared" si="105"/>
        <v>Office Supplies</v>
      </c>
      <c r="T523" t="s">
        <v>89</v>
      </c>
      <c r="U523" t="str">
        <f t="shared" si="106"/>
        <v>Labels</v>
      </c>
      <c r="V523" t="s">
        <v>1687</v>
      </c>
      <c r="X523" t="s">
        <v>29</v>
      </c>
      <c r="Y523" t="str">
        <f t="shared" si="107"/>
        <v>Second Class</v>
      </c>
      <c r="Z523">
        <v>6</v>
      </c>
      <c r="AA523">
        <v>2192.11</v>
      </c>
      <c r="AB523">
        <v>0.05</v>
      </c>
      <c r="AC523">
        <v>12495.03</v>
      </c>
      <c r="AD523">
        <v>9184.52</v>
      </c>
      <c r="AE523">
        <v>3310.51</v>
      </c>
      <c r="AF523" t="s">
        <v>30</v>
      </c>
      <c r="AG523" t="str">
        <f t="shared" si="108"/>
        <v>Paid</v>
      </c>
      <c r="AH523" t="s">
        <v>31</v>
      </c>
    </row>
    <row r="524" spans="1:34">
      <c r="A524" t="s">
        <v>1688</v>
      </c>
      <c r="B524">
        <f>COUNTIF($A:$A,A524)</f>
        <v>1</v>
      </c>
      <c r="C524" t="str">
        <f t="shared" si="99"/>
        <v>Unique</v>
      </c>
      <c r="D524" s="4">
        <v>45716</v>
      </c>
      <c r="E524">
        <f t="shared" si="100"/>
        <v>156</v>
      </c>
      <c r="F524" s="4">
        <v>45872</v>
      </c>
      <c r="G524" t="s">
        <v>1689</v>
      </c>
      <c r="H524" t="s">
        <v>77</v>
      </c>
      <c r="I524" t="str">
        <f t="shared" si="101"/>
        <v>Neha Gupta</v>
      </c>
      <c r="J524" t="s">
        <v>35</v>
      </c>
      <c r="K524" t="str">
        <f t="shared" si="102"/>
        <v>Small Business</v>
      </c>
      <c r="L524" t="s">
        <v>36</v>
      </c>
      <c r="M524" t="str">
        <f t="shared" si="98"/>
        <v>East</v>
      </c>
      <c r="N524" t="s">
        <v>227</v>
      </c>
      <c r="O524" t="str">
        <f t="shared" si="103"/>
        <v>Jharkhand</v>
      </c>
      <c r="P524" t="s">
        <v>228</v>
      </c>
      <c r="Q524" t="str">
        <f t="shared" si="104"/>
        <v>Ranchi</v>
      </c>
      <c r="R524" t="s">
        <v>72</v>
      </c>
      <c r="S524" t="str">
        <f t="shared" si="105"/>
        <v>Technology</v>
      </c>
      <c r="T524" t="s">
        <v>169</v>
      </c>
      <c r="U524" t="str">
        <f t="shared" si="106"/>
        <v>Phones</v>
      </c>
      <c r="V524" t="s">
        <v>1690</v>
      </c>
      <c r="X524" t="s">
        <v>48</v>
      </c>
      <c r="Y524" t="str">
        <f t="shared" si="107"/>
        <v>First Class</v>
      </c>
      <c r="Z524">
        <v>9</v>
      </c>
      <c r="AA524">
        <v>3670.54</v>
      </c>
      <c r="AB524">
        <v>0</v>
      </c>
      <c r="AC524">
        <v>33034.86</v>
      </c>
      <c r="AD524">
        <v>24539.83</v>
      </c>
      <c r="AE524">
        <v>8495.0300000000007</v>
      </c>
      <c r="AF524" t="s">
        <v>30</v>
      </c>
      <c r="AG524" t="str">
        <f t="shared" si="108"/>
        <v>Paid</v>
      </c>
      <c r="AH524" t="s">
        <v>31</v>
      </c>
    </row>
    <row r="525" spans="1:34">
      <c r="A525" t="s">
        <v>1691</v>
      </c>
      <c r="B525">
        <f>COUNTIF($A:$A,A525)</f>
        <v>1</v>
      </c>
      <c r="C525" t="str">
        <f t="shared" si="99"/>
        <v>Unique</v>
      </c>
      <c r="D525" s="4">
        <v>45326</v>
      </c>
      <c r="E525">
        <f t="shared" si="100"/>
        <v>29</v>
      </c>
      <c r="F525" s="4">
        <v>45355</v>
      </c>
      <c r="G525" t="s">
        <v>1692</v>
      </c>
      <c r="H525" t="s">
        <v>263</v>
      </c>
      <c r="I525" t="str">
        <f t="shared" si="101"/>
        <v>Kabir Singh</v>
      </c>
      <c r="J525" t="s">
        <v>93</v>
      </c>
      <c r="K525" t="str">
        <f t="shared" si="102"/>
        <v>Home Office</v>
      </c>
      <c r="L525" t="s">
        <v>61</v>
      </c>
      <c r="M525" t="str">
        <f t="shared" si="98"/>
        <v>West</v>
      </c>
      <c r="N525" t="s">
        <v>188</v>
      </c>
      <c r="O525" t="str">
        <f t="shared" si="103"/>
        <v>Goa</v>
      </c>
      <c r="P525" t="s">
        <v>189</v>
      </c>
      <c r="Q525" t="str">
        <f t="shared" si="104"/>
        <v>Panaji</v>
      </c>
      <c r="R525" t="s">
        <v>26</v>
      </c>
      <c r="S525" t="str">
        <f t="shared" si="105"/>
        <v>Office Supplies</v>
      </c>
      <c r="T525" t="s">
        <v>27</v>
      </c>
      <c r="U525" t="str">
        <f t="shared" si="106"/>
        <v>Paper</v>
      </c>
      <c r="V525" t="s">
        <v>1693</v>
      </c>
      <c r="X525" t="s">
        <v>29</v>
      </c>
      <c r="Y525" t="str">
        <f t="shared" si="107"/>
        <v>Second Class</v>
      </c>
      <c r="Z525">
        <v>2</v>
      </c>
      <c r="AA525">
        <v>2902.63</v>
      </c>
      <c r="AB525">
        <v>0</v>
      </c>
      <c r="AC525">
        <v>5805.26</v>
      </c>
      <c r="AD525">
        <v>4654.3599999999997</v>
      </c>
      <c r="AE525">
        <v>1150.9000000000001</v>
      </c>
      <c r="AF525" t="s">
        <v>30</v>
      </c>
      <c r="AG525" t="str">
        <f t="shared" si="108"/>
        <v>Paid</v>
      </c>
      <c r="AH525" t="s">
        <v>101</v>
      </c>
    </row>
    <row r="526" spans="1:34">
      <c r="A526" t="s">
        <v>1694</v>
      </c>
      <c r="B526">
        <f>COUNTIF($A:$A,A526)</f>
        <v>1</v>
      </c>
      <c r="C526" t="str">
        <f t="shared" si="99"/>
        <v>Unique</v>
      </c>
      <c r="D526" s="4">
        <v>45626</v>
      </c>
      <c r="E526">
        <f t="shared" si="100"/>
        <v>-323</v>
      </c>
      <c r="F526" s="4">
        <v>45303</v>
      </c>
      <c r="G526" t="s">
        <v>1695</v>
      </c>
      <c r="H526" t="s">
        <v>60</v>
      </c>
      <c r="I526" t="str">
        <f t="shared" si="101"/>
        <v>Ananya Rao</v>
      </c>
      <c r="J526" t="s">
        <v>88</v>
      </c>
      <c r="K526" t="str">
        <f t="shared" si="102"/>
        <v>Corporate</v>
      </c>
      <c r="L526" t="s">
        <v>61</v>
      </c>
      <c r="M526" t="str">
        <f t="shared" si="98"/>
        <v>West</v>
      </c>
      <c r="N526" t="s">
        <v>178</v>
      </c>
      <c r="O526" t="str">
        <f t="shared" si="103"/>
        <v>Gujarat</v>
      </c>
      <c r="P526" t="s">
        <v>179</v>
      </c>
      <c r="Q526" t="str">
        <f t="shared" si="104"/>
        <v>Ahmedabad</v>
      </c>
      <c r="R526" t="s">
        <v>39</v>
      </c>
      <c r="S526" t="str">
        <f t="shared" si="105"/>
        <v>Furniture</v>
      </c>
      <c r="T526" t="s">
        <v>64</v>
      </c>
      <c r="U526" t="str">
        <f t="shared" si="106"/>
        <v>Chairs</v>
      </c>
      <c r="V526" t="s">
        <v>1696</v>
      </c>
      <c r="X526" t="s">
        <v>48</v>
      </c>
      <c r="Y526" t="str">
        <f t="shared" si="107"/>
        <v>First Class</v>
      </c>
      <c r="Z526">
        <v>9</v>
      </c>
      <c r="AA526">
        <v>4207.3599999999997</v>
      </c>
      <c r="AB526">
        <v>0.1</v>
      </c>
      <c r="AC526">
        <v>34079.620000000003</v>
      </c>
      <c r="AD526">
        <v>21871.39</v>
      </c>
      <c r="AE526">
        <v>12208.23</v>
      </c>
      <c r="AF526" t="s">
        <v>30</v>
      </c>
      <c r="AG526" t="str">
        <f t="shared" si="108"/>
        <v>Paid</v>
      </c>
      <c r="AH526" t="s">
        <v>31</v>
      </c>
    </row>
    <row r="527" spans="1:34">
      <c r="A527" t="s">
        <v>1697</v>
      </c>
      <c r="B527">
        <f>COUNTIF($A:$A,A527)</f>
        <v>1</v>
      </c>
      <c r="C527" t="str">
        <f t="shared" si="99"/>
        <v>Unique</v>
      </c>
      <c r="D527" s="4">
        <v>45582</v>
      </c>
      <c r="E527">
        <f t="shared" si="100"/>
        <v>0</v>
      </c>
      <c r="F527" s="4">
        <v>45582</v>
      </c>
      <c r="G527" t="s">
        <v>1698</v>
      </c>
      <c r="H527" t="s">
        <v>112</v>
      </c>
      <c r="I527" t="str">
        <f t="shared" si="101"/>
        <v>Priya Menon</v>
      </c>
      <c r="J527" t="s">
        <v>93</v>
      </c>
      <c r="K527" t="str">
        <f t="shared" si="102"/>
        <v>Home Office</v>
      </c>
      <c r="L527" t="s">
        <v>36</v>
      </c>
      <c r="M527" t="str">
        <f t="shared" si="98"/>
        <v>East</v>
      </c>
      <c r="N527" t="s">
        <v>97</v>
      </c>
      <c r="O527" t="str">
        <f t="shared" si="103"/>
        <v>West Bengal</v>
      </c>
      <c r="P527" t="s">
        <v>98</v>
      </c>
      <c r="Q527" t="str">
        <f t="shared" si="104"/>
        <v>Kolkata</v>
      </c>
      <c r="R527" t="s">
        <v>39</v>
      </c>
      <c r="S527" t="str">
        <f t="shared" si="105"/>
        <v>Furniture</v>
      </c>
      <c r="T527" t="s">
        <v>64</v>
      </c>
      <c r="U527" t="str">
        <f t="shared" si="106"/>
        <v>Chairs</v>
      </c>
      <c r="V527" t="s">
        <v>1699</v>
      </c>
      <c r="X527" t="s">
        <v>57</v>
      </c>
      <c r="Y527" t="str">
        <f t="shared" si="107"/>
        <v>Standard Class</v>
      </c>
      <c r="Z527">
        <v>5</v>
      </c>
      <c r="AA527">
        <v>2524.4</v>
      </c>
      <c r="AB527">
        <v>0.1</v>
      </c>
      <c r="AC527">
        <v>11359.8</v>
      </c>
      <c r="AD527">
        <v>7062.44</v>
      </c>
      <c r="AE527">
        <v>4297.3599999999997</v>
      </c>
      <c r="AF527" t="s">
        <v>30</v>
      </c>
      <c r="AG527" t="str">
        <f t="shared" si="108"/>
        <v>Paid</v>
      </c>
      <c r="AH527" t="s">
        <v>31</v>
      </c>
    </row>
    <row r="528" spans="1:34">
      <c r="A528" t="s">
        <v>1700</v>
      </c>
      <c r="B528">
        <f>COUNTIF($A:$A,A528)</f>
        <v>1</v>
      </c>
      <c r="C528" t="str">
        <f t="shared" si="99"/>
        <v>Unique</v>
      </c>
      <c r="D528" s="4">
        <v>45856</v>
      </c>
      <c r="E528">
        <f t="shared" si="100"/>
        <v>3</v>
      </c>
      <c r="F528" s="4">
        <v>45859</v>
      </c>
      <c r="G528" t="s">
        <v>1701</v>
      </c>
      <c r="H528" t="s">
        <v>112</v>
      </c>
      <c r="I528" t="str">
        <f t="shared" si="101"/>
        <v>Priya Menon</v>
      </c>
      <c r="J528" t="s">
        <v>22</v>
      </c>
      <c r="K528" t="str">
        <f t="shared" si="102"/>
        <v>Consumer</v>
      </c>
      <c r="L528" t="s">
        <v>36</v>
      </c>
      <c r="M528" t="str">
        <f t="shared" si="98"/>
        <v>East</v>
      </c>
      <c r="N528" t="s">
        <v>37</v>
      </c>
      <c r="O528" t="str">
        <f t="shared" si="103"/>
        <v>Odisha</v>
      </c>
      <c r="P528" t="s">
        <v>38</v>
      </c>
      <c r="Q528" t="str">
        <f t="shared" si="104"/>
        <v>Bhubaneswar</v>
      </c>
      <c r="R528" t="s">
        <v>39</v>
      </c>
      <c r="S528" t="str">
        <f t="shared" si="105"/>
        <v>Furniture</v>
      </c>
      <c r="T528" t="s">
        <v>40</v>
      </c>
      <c r="U528" t="str">
        <f t="shared" si="106"/>
        <v>Tables</v>
      </c>
      <c r="V528" t="s">
        <v>1702</v>
      </c>
      <c r="X528" t="s">
        <v>29</v>
      </c>
      <c r="Y528" t="str">
        <f t="shared" si="107"/>
        <v>Second Class</v>
      </c>
      <c r="Z528">
        <v>4</v>
      </c>
      <c r="AA528">
        <v>284.04000000000002</v>
      </c>
      <c r="AC528">
        <v>908.93</v>
      </c>
      <c r="AD528">
        <v>572.08000000000004</v>
      </c>
      <c r="AE528">
        <v>336.85</v>
      </c>
      <c r="AF528" t="s">
        <v>30</v>
      </c>
      <c r="AG528" t="str">
        <f t="shared" si="108"/>
        <v>Paid</v>
      </c>
      <c r="AH528" t="s">
        <v>31</v>
      </c>
    </row>
    <row r="529" spans="1:34">
      <c r="A529" t="s">
        <v>1703</v>
      </c>
      <c r="B529">
        <f>COUNTIF($A:$A,A529)</f>
        <v>1</v>
      </c>
      <c r="C529" t="str">
        <f t="shared" si="99"/>
        <v>Unique</v>
      </c>
      <c r="D529" s="4">
        <v>45667</v>
      </c>
      <c r="E529">
        <f t="shared" si="100"/>
        <v>120</v>
      </c>
      <c r="F529" s="4">
        <v>45787</v>
      </c>
      <c r="G529" t="s">
        <v>1704</v>
      </c>
      <c r="H529" t="s">
        <v>87</v>
      </c>
      <c r="I529" t="str">
        <f t="shared" si="101"/>
        <v>Aditi Sen</v>
      </c>
      <c r="J529" t="s">
        <v>93</v>
      </c>
      <c r="K529" t="str">
        <f t="shared" si="102"/>
        <v>Home Office</v>
      </c>
      <c r="L529" t="s">
        <v>23</v>
      </c>
      <c r="M529" t="str">
        <f t="shared" si="98"/>
        <v>North</v>
      </c>
      <c r="N529" t="s">
        <v>235</v>
      </c>
      <c r="O529" t="str">
        <f t="shared" si="103"/>
        <v>Haryana</v>
      </c>
      <c r="P529" t="s">
        <v>236</v>
      </c>
      <c r="Q529" t="str">
        <f t="shared" si="104"/>
        <v>Gurugram</v>
      </c>
      <c r="R529" t="s">
        <v>26</v>
      </c>
      <c r="S529" t="str">
        <f t="shared" si="105"/>
        <v>Office Supplies</v>
      </c>
      <c r="T529" t="s">
        <v>27</v>
      </c>
      <c r="U529" t="str">
        <f t="shared" si="106"/>
        <v>Paper</v>
      </c>
      <c r="V529" t="s">
        <v>1705</v>
      </c>
      <c r="X529" t="s">
        <v>48</v>
      </c>
      <c r="Y529" t="str">
        <f t="shared" si="107"/>
        <v>First Class</v>
      </c>
      <c r="Z529">
        <v>5</v>
      </c>
      <c r="AA529">
        <v>3247.56</v>
      </c>
      <c r="AB529">
        <v>0.15</v>
      </c>
      <c r="AC529">
        <v>13802.13</v>
      </c>
      <c r="AD529">
        <v>10075.93</v>
      </c>
      <c r="AE529">
        <v>3726.2</v>
      </c>
      <c r="AF529" t="s">
        <v>30</v>
      </c>
      <c r="AG529" t="str">
        <f t="shared" si="108"/>
        <v>Paid</v>
      </c>
      <c r="AH529" t="s">
        <v>31</v>
      </c>
    </row>
    <row r="530" spans="1:34">
      <c r="A530" t="s">
        <v>1706</v>
      </c>
      <c r="B530">
        <f>COUNTIF($A:$A,A530)</f>
        <v>1</v>
      </c>
      <c r="C530" t="str">
        <f t="shared" si="99"/>
        <v>Unique</v>
      </c>
      <c r="D530" s="4">
        <v>45483</v>
      </c>
      <c r="E530">
        <f t="shared" si="100"/>
        <v>62</v>
      </c>
      <c r="F530" s="4">
        <v>45545</v>
      </c>
      <c r="G530" t="s">
        <v>1707</v>
      </c>
      <c r="H530" t="s">
        <v>160</v>
      </c>
      <c r="I530" t="str">
        <f t="shared" si="101"/>
        <v>Diya Patel</v>
      </c>
      <c r="J530" t="s">
        <v>22</v>
      </c>
      <c r="K530" t="str">
        <f t="shared" si="102"/>
        <v>Consumer</v>
      </c>
      <c r="L530" t="s">
        <v>52</v>
      </c>
      <c r="M530" t="str">
        <f t="shared" si="98"/>
        <v>South</v>
      </c>
      <c r="N530" t="s">
        <v>246</v>
      </c>
      <c r="O530" t="str">
        <f t="shared" si="103"/>
        <v>Tamil Nadu</v>
      </c>
      <c r="P530" t="s">
        <v>247</v>
      </c>
      <c r="Q530" t="str">
        <f t="shared" si="104"/>
        <v>Chennai</v>
      </c>
      <c r="R530" t="s">
        <v>26</v>
      </c>
      <c r="S530" t="str">
        <f t="shared" si="105"/>
        <v>Office Supplies</v>
      </c>
      <c r="T530" t="s">
        <v>151</v>
      </c>
      <c r="U530" t="str">
        <f t="shared" si="106"/>
        <v>Binders</v>
      </c>
      <c r="V530" t="s">
        <v>1708</v>
      </c>
      <c r="X530" t="s">
        <v>57</v>
      </c>
      <c r="Y530" t="str">
        <f t="shared" si="107"/>
        <v>Standard Class</v>
      </c>
      <c r="Z530">
        <v>9</v>
      </c>
      <c r="AA530">
        <v>3457.09</v>
      </c>
      <c r="AB530">
        <v>0.05</v>
      </c>
      <c r="AC530">
        <v>29558.12</v>
      </c>
      <c r="AD530">
        <v>21302.13</v>
      </c>
      <c r="AE530">
        <v>8255.99</v>
      </c>
      <c r="AF530" t="s">
        <v>109</v>
      </c>
      <c r="AG530" t="str">
        <f t="shared" si="108"/>
        <v>Pending</v>
      </c>
      <c r="AH530" t="s">
        <v>101</v>
      </c>
    </row>
    <row r="531" spans="1:34">
      <c r="A531" t="s">
        <v>1709</v>
      </c>
      <c r="B531">
        <f>COUNTIF($A:$A,A531)</f>
        <v>1</v>
      </c>
      <c r="C531" t="str">
        <f t="shared" si="99"/>
        <v>Unique</v>
      </c>
      <c r="D531" s="4">
        <v>45445</v>
      </c>
      <c r="E531">
        <f t="shared" si="100"/>
        <v>61</v>
      </c>
      <c r="F531" s="4">
        <v>45506</v>
      </c>
      <c r="G531" t="s">
        <v>738</v>
      </c>
      <c r="H531" t="s">
        <v>21</v>
      </c>
      <c r="I531" t="str">
        <f t="shared" si="101"/>
        <v>Karan Malhotra</v>
      </c>
      <c r="J531" t="s">
        <v>22</v>
      </c>
      <c r="K531" t="str">
        <f t="shared" si="102"/>
        <v>Consumer</v>
      </c>
      <c r="L531" t="s">
        <v>36</v>
      </c>
      <c r="M531" t="str">
        <f t="shared" si="98"/>
        <v>East</v>
      </c>
      <c r="N531" t="s">
        <v>227</v>
      </c>
      <c r="O531" t="str">
        <f t="shared" si="103"/>
        <v>Jharkhand</v>
      </c>
      <c r="P531" t="s">
        <v>228</v>
      </c>
      <c r="Q531" t="str">
        <f t="shared" si="104"/>
        <v>Ranchi</v>
      </c>
      <c r="R531" t="s">
        <v>39</v>
      </c>
      <c r="S531" t="str">
        <f t="shared" si="105"/>
        <v>Furniture</v>
      </c>
      <c r="T531" t="s">
        <v>156</v>
      </c>
      <c r="U531" t="str">
        <f t="shared" si="106"/>
        <v>Bookcases</v>
      </c>
      <c r="V531" t="s">
        <v>1710</v>
      </c>
      <c r="X531" t="s">
        <v>29</v>
      </c>
      <c r="Y531" t="str">
        <f t="shared" si="107"/>
        <v>Second Class</v>
      </c>
      <c r="Z531">
        <v>9</v>
      </c>
      <c r="AA531">
        <v>1822.25</v>
      </c>
      <c r="AB531">
        <v>0</v>
      </c>
      <c r="AC531">
        <v>16400.25</v>
      </c>
      <c r="AD531">
        <v>12146.96</v>
      </c>
      <c r="AE531">
        <v>4253.29</v>
      </c>
      <c r="AF531" t="s">
        <v>30</v>
      </c>
      <c r="AG531" t="str">
        <f t="shared" si="108"/>
        <v>Paid</v>
      </c>
      <c r="AH531" t="s">
        <v>31</v>
      </c>
    </row>
    <row r="532" spans="1:34">
      <c r="A532" t="s">
        <v>1711</v>
      </c>
      <c r="B532">
        <f>COUNTIF($A:$A,A532)</f>
        <v>1</v>
      </c>
      <c r="C532" t="str">
        <f t="shared" si="99"/>
        <v>Unique</v>
      </c>
      <c r="D532" s="4">
        <v>45807</v>
      </c>
      <c r="E532">
        <f t="shared" si="100"/>
        <v>-144</v>
      </c>
      <c r="F532" s="4">
        <v>45663</v>
      </c>
      <c r="G532" t="s">
        <v>1712</v>
      </c>
      <c r="H532" t="s">
        <v>116</v>
      </c>
      <c r="I532" t="str">
        <f t="shared" si="101"/>
        <v>Rahul Verma</v>
      </c>
      <c r="J532" t="s">
        <v>93</v>
      </c>
      <c r="K532" t="str">
        <f t="shared" si="102"/>
        <v>Home Office</v>
      </c>
      <c r="L532" t="s">
        <v>52</v>
      </c>
      <c r="M532" t="str">
        <f t="shared" si="98"/>
        <v>South</v>
      </c>
      <c r="N532" t="s">
        <v>246</v>
      </c>
      <c r="O532" t="str">
        <f t="shared" si="103"/>
        <v>Tamil Nadu</v>
      </c>
      <c r="P532" t="s">
        <v>247</v>
      </c>
      <c r="Q532" t="str">
        <f t="shared" si="104"/>
        <v>Chennai</v>
      </c>
      <c r="R532" t="s">
        <v>26</v>
      </c>
      <c r="S532" t="str">
        <f t="shared" si="105"/>
        <v>Office Supplies</v>
      </c>
      <c r="T532" t="s">
        <v>151</v>
      </c>
      <c r="U532" t="str">
        <f t="shared" si="106"/>
        <v>Binders</v>
      </c>
      <c r="V532" t="s">
        <v>1713</v>
      </c>
      <c r="X532" t="s">
        <v>57</v>
      </c>
      <c r="Y532" t="str">
        <f t="shared" si="107"/>
        <v>Standard Class</v>
      </c>
      <c r="Z532">
        <v>9</v>
      </c>
      <c r="AA532">
        <v>1994.51</v>
      </c>
      <c r="AB532">
        <v>0.05</v>
      </c>
      <c r="AC532">
        <v>17053.060000000001</v>
      </c>
      <c r="AD532">
        <v>10742.38</v>
      </c>
      <c r="AE532">
        <v>6310.68</v>
      </c>
      <c r="AF532" t="s">
        <v>30</v>
      </c>
      <c r="AG532" t="str">
        <f t="shared" si="108"/>
        <v>Paid</v>
      </c>
      <c r="AH532" t="s">
        <v>31</v>
      </c>
    </row>
    <row r="533" spans="1:34">
      <c r="A533" t="s">
        <v>1714</v>
      </c>
      <c r="B533">
        <f>COUNTIF($A:$A,A533)</f>
        <v>1</v>
      </c>
      <c r="C533" t="str">
        <f t="shared" si="99"/>
        <v>Unique</v>
      </c>
      <c r="D533" s="4">
        <v>45299</v>
      </c>
      <c r="E533">
        <f t="shared" si="100"/>
        <v>213</v>
      </c>
      <c r="F533" s="4">
        <v>45512</v>
      </c>
      <c r="G533" t="s">
        <v>1715</v>
      </c>
      <c r="H533" t="s">
        <v>160</v>
      </c>
      <c r="I533" t="str">
        <f t="shared" si="101"/>
        <v>Diya Patel</v>
      </c>
      <c r="J533" t="s">
        <v>35</v>
      </c>
      <c r="K533" t="str">
        <f t="shared" si="102"/>
        <v>Small Business</v>
      </c>
      <c r="L533" t="s">
        <v>61</v>
      </c>
      <c r="M533" t="str">
        <f t="shared" si="98"/>
        <v>West</v>
      </c>
      <c r="N533" t="s">
        <v>62</v>
      </c>
      <c r="O533" t="str">
        <f t="shared" si="103"/>
        <v>Maharashtra</v>
      </c>
      <c r="P533" t="s">
        <v>63</v>
      </c>
      <c r="Q533" t="str">
        <f t="shared" si="104"/>
        <v>Mumbai</v>
      </c>
      <c r="R533" t="s">
        <v>26</v>
      </c>
      <c r="S533" t="str">
        <f t="shared" si="105"/>
        <v>Office Supplies</v>
      </c>
      <c r="T533" t="s">
        <v>122</v>
      </c>
      <c r="U533" t="str">
        <f t="shared" si="106"/>
        <v>Storage</v>
      </c>
      <c r="V533" t="s">
        <v>1716</v>
      </c>
      <c r="Y533" t="s">
        <v>2828</v>
      </c>
      <c r="Z533">
        <v>1</v>
      </c>
      <c r="AA533">
        <v>442.97</v>
      </c>
      <c r="AB533">
        <v>0.1</v>
      </c>
      <c r="AC533">
        <v>398.67</v>
      </c>
      <c r="AD533">
        <v>311.66000000000003</v>
      </c>
      <c r="AE533">
        <v>87.01</v>
      </c>
      <c r="AF533" t="s">
        <v>30</v>
      </c>
      <c r="AG533" t="str">
        <f t="shared" si="108"/>
        <v>Paid</v>
      </c>
      <c r="AH533" t="s">
        <v>31</v>
      </c>
    </row>
    <row r="534" spans="1:34">
      <c r="A534" t="s">
        <v>1717</v>
      </c>
      <c r="B534">
        <f>COUNTIF($A:$A,A534)</f>
        <v>1</v>
      </c>
      <c r="C534" t="str">
        <f t="shared" si="99"/>
        <v>Unique</v>
      </c>
      <c r="D534" s="4">
        <v>45787</v>
      </c>
      <c r="E534">
        <f t="shared" si="100"/>
        <v>153</v>
      </c>
      <c r="F534" s="4">
        <v>45940</v>
      </c>
      <c r="G534" t="s">
        <v>1718</v>
      </c>
      <c r="H534" t="s">
        <v>112</v>
      </c>
      <c r="I534" t="str">
        <f t="shared" si="101"/>
        <v>Priya Menon</v>
      </c>
      <c r="J534" t="s">
        <v>88</v>
      </c>
      <c r="K534" t="str">
        <f t="shared" si="102"/>
        <v>Corporate</v>
      </c>
      <c r="L534" t="s">
        <v>36</v>
      </c>
      <c r="M534" t="str">
        <f t="shared" si="98"/>
        <v>East</v>
      </c>
      <c r="N534" t="s">
        <v>164</v>
      </c>
      <c r="O534" t="str">
        <f t="shared" si="103"/>
        <v>Assam</v>
      </c>
      <c r="P534" t="s">
        <v>165</v>
      </c>
      <c r="Q534" t="str">
        <f t="shared" si="104"/>
        <v>Guwahati</v>
      </c>
      <c r="R534" t="s">
        <v>39</v>
      </c>
      <c r="S534" t="str">
        <f t="shared" si="105"/>
        <v>Furniture</v>
      </c>
      <c r="T534" t="s">
        <v>40</v>
      </c>
      <c r="U534" t="str">
        <f t="shared" si="106"/>
        <v>Tables</v>
      </c>
      <c r="V534" t="s">
        <v>1719</v>
      </c>
      <c r="X534" t="s">
        <v>29</v>
      </c>
      <c r="Y534" t="str">
        <f t="shared" si="107"/>
        <v>Second Class</v>
      </c>
      <c r="Z534">
        <v>9</v>
      </c>
      <c r="AA534">
        <v>2089.14</v>
      </c>
      <c r="AB534">
        <v>0.05</v>
      </c>
      <c r="AC534">
        <v>17862.150000000001</v>
      </c>
      <c r="AD534">
        <v>9892.2099999999991</v>
      </c>
      <c r="AE534">
        <v>7969.94</v>
      </c>
      <c r="AF534" t="s">
        <v>153</v>
      </c>
      <c r="AG534" t="str">
        <f t="shared" si="108"/>
        <v>Failed</v>
      </c>
      <c r="AH534" t="s">
        <v>66</v>
      </c>
    </row>
    <row r="535" spans="1:34">
      <c r="A535" t="s">
        <v>1720</v>
      </c>
      <c r="B535">
        <f>COUNTIF($A:$A,A535)</f>
        <v>1</v>
      </c>
      <c r="C535" t="str">
        <f t="shared" si="99"/>
        <v>Unique</v>
      </c>
      <c r="D535" s="4">
        <v>45529</v>
      </c>
      <c r="E535">
        <f t="shared" si="100"/>
        <v>-229</v>
      </c>
      <c r="F535" s="4">
        <v>45300</v>
      </c>
      <c r="G535" t="s">
        <v>1721</v>
      </c>
      <c r="H535" t="s">
        <v>45</v>
      </c>
      <c r="I535" t="str">
        <f t="shared" si="101"/>
        <v>Isha Nair</v>
      </c>
      <c r="J535" t="s">
        <v>93</v>
      </c>
      <c r="K535" t="str">
        <f t="shared" si="102"/>
        <v>Home Office</v>
      </c>
      <c r="L535" t="s">
        <v>23</v>
      </c>
      <c r="M535" t="str">
        <f t="shared" si="98"/>
        <v>North</v>
      </c>
      <c r="N535" t="s">
        <v>24</v>
      </c>
      <c r="O535" t="str">
        <f t="shared" si="103"/>
        <v>Rajasthan</v>
      </c>
      <c r="P535" t="s">
        <v>25</v>
      </c>
      <c r="Q535" t="str">
        <f t="shared" si="104"/>
        <v>Jaipur</v>
      </c>
      <c r="R535" t="s">
        <v>39</v>
      </c>
      <c r="S535" t="str">
        <f t="shared" si="105"/>
        <v>Furniture</v>
      </c>
      <c r="T535" t="s">
        <v>40</v>
      </c>
      <c r="U535" t="str">
        <f t="shared" si="106"/>
        <v>Tables</v>
      </c>
      <c r="V535" t="s">
        <v>1722</v>
      </c>
      <c r="X535" t="s">
        <v>42</v>
      </c>
      <c r="Y535" t="str">
        <f t="shared" si="107"/>
        <v>Same Day</v>
      </c>
      <c r="Z535">
        <v>6</v>
      </c>
      <c r="AA535">
        <v>481.3</v>
      </c>
      <c r="AB535">
        <v>0.25</v>
      </c>
      <c r="AC535">
        <v>2165.85</v>
      </c>
      <c r="AD535">
        <v>2124.48</v>
      </c>
      <c r="AE535">
        <v>430.45</v>
      </c>
      <c r="AF535" t="s">
        <v>30</v>
      </c>
      <c r="AG535" t="str">
        <f t="shared" si="108"/>
        <v>Paid</v>
      </c>
      <c r="AH535" t="s">
        <v>31</v>
      </c>
    </row>
    <row r="536" spans="1:34">
      <c r="A536" t="s">
        <v>1723</v>
      </c>
      <c r="B536">
        <f>COUNTIF($A:$A,A536)</f>
        <v>1</v>
      </c>
      <c r="C536" t="str">
        <f t="shared" si="99"/>
        <v>Unique</v>
      </c>
      <c r="D536" s="4">
        <v>45774</v>
      </c>
      <c r="E536">
        <f t="shared" si="100"/>
        <v>8</v>
      </c>
      <c r="F536" s="4">
        <v>45782</v>
      </c>
      <c r="G536" t="s">
        <v>1724</v>
      </c>
      <c r="H536" t="s">
        <v>139</v>
      </c>
      <c r="I536" t="str">
        <f t="shared" si="101"/>
        <v>Rohan Mehta</v>
      </c>
      <c r="J536" t="s">
        <v>93</v>
      </c>
      <c r="K536" t="str">
        <f t="shared" si="102"/>
        <v>Home Office</v>
      </c>
      <c r="L536" t="s">
        <v>36</v>
      </c>
      <c r="M536" t="str">
        <f t="shared" si="98"/>
        <v>East</v>
      </c>
      <c r="N536" t="s">
        <v>143</v>
      </c>
      <c r="O536" t="str">
        <f t="shared" si="103"/>
        <v>Bihar</v>
      </c>
      <c r="P536" t="s">
        <v>144</v>
      </c>
      <c r="Q536" t="str">
        <f t="shared" si="104"/>
        <v>Patna</v>
      </c>
      <c r="R536" t="s">
        <v>72</v>
      </c>
      <c r="S536" t="str">
        <f t="shared" si="105"/>
        <v>Technology</v>
      </c>
      <c r="T536" t="s">
        <v>73</v>
      </c>
      <c r="U536" t="str">
        <f t="shared" si="106"/>
        <v>Accessories</v>
      </c>
      <c r="V536" t="s">
        <v>1725</v>
      </c>
      <c r="X536" t="s">
        <v>29</v>
      </c>
      <c r="Y536" t="str">
        <f t="shared" si="107"/>
        <v>Second Class</v>
      </c>
      <c r="Z536">
        <v>4</v>
      </c>
      <c r="AA536">
        <v>3963.39</v>
      </c>
      <c r="AB536">
        <v>0.1</v>
      </c>
      <c r="AC536">
        <v>14268.2</v>
      </c>
      <c r="AD536">
        <v>11705.3</v>
      </c>
      <c r="AE536">
        <v>2562.9</v>
      </c>
      <c r="AF536" t="s">
        <v>109</v>
      </c>
      <c r="AG536" t="str">
        <f t="shared" si="108"/>
        <v>Pending</v>
      </c>
      <c r="AH536" t="s">
        <v>101</v>
      </c>
    </row>
    <row r="537" spans="1:34">
      <c r="A537" t="s">
        <v>1726</v>
      </c>
      <c r="B537">
        <f>COUNTIF($A:$A,A537)</f>
        <v>1</v>
      </c>
      <c r="C537" t="str">
        <f t="shared" si="99"/>
        <v>Unique</v>
      </c>
      <c r="D537" s="4">
        <v>45431</v>
      </c>
      <c r="E537">
        <f t="shared" si="100"/>
        <v>2</v>
      </c>
      <c r="F537" s="4">
        <v>45433</v>
      </c>
      <c r="G537" t="s">
        <v>1727</v>
      </c>
      <c r="H537" t="s">
        <v>160</v>
      </c>
      <c r="I537" t="str">
        <f t="shared" si="101"/>
        <v>Diya Patel</v>
      </c>
      <c r="J537" t="s">
        <v>35</v>
      </c>
      <c r="K537" t="str">
        <f t="shared" si="102"/>
        <v>Small Business</v>
      </c>
      <c r="L537" t="s">
        <v>61</v>
      </c>
      <c r="M537" t="str">
        <f t="shared" si="98"/>
        <v>West</v>
      </c>
      <c r="N537" t="s">
        <v>62</v>
      </c>
      <c r="O537" t="str">
        <f t="shared" si="103"/>
        <v>Maharashtra</v>
      </c>
      <c r="P537" t="s">
        <v>63</v>
      </c>
      <c r="Q537" t="str">
        <f t="shared" si="104"/>
        <v>Mumbai</v>
      </c>
      <c r="R537" t="s">
        <v>72</v>
      </c>
      <c r="S537" t="str">
        <f t="shared" si="105"/>
        <v>Technology</v>
      </c>
      <c r="T537" t="s">
        <v>78</v>
      </c>
      <c r="U537" t="str">
        <f t="shared" si="106"/>
        <v>Copiers</v>
      </c>
      <c r="V537" t="s">
        <v>1728</v>
      </c>
      <c r="X537" t="s">
        <v>48</v>
      </c>
      <c r="Y537" t="str">
        <f t="shared" si="107"/>
        <v>First Class</v>
      </c>
      <c r="Z537">
        <v>3</v>
      </c>
      <c r="AA537">
        <v>4000.98</v>
      </c>
      <c r="AB537">
        <v>0.2</v>
      </c>
      <c r="AC537">
        <v>9602.35</v>
      </c>
      <c r="AD537">
        <v>7387.57</v>
      </c>
      <c r="AE537">
        <v>2214.7800000000002</v>
      </c>
      <c r="AF537" t="s">
        <v>30</v>
      </c>
      <c r="AG537" t="str">
        <f t="shared" si="108"/>
        <v>Paid</v>
      </c>
      <c r="AH537" t="s">
        <v>31</v>
      </c>
    </row>
    <row r="538" spans="1:34">
      <c r="A538" t="s">
        <v>1729</v>
      </c>
      <c r="B538">
        <f>COUNTIF($A:$A,A538)</f>
        <v>1</v>
      </c>
      <c r="C538" t="str">
        <f t="shared" si="99"/>
        <v>Unique</v>
      </c>
      <c r="D538" s="4">
        <v>45934</v>
      </c>
      <c r="E538">
        <f t="shared" si="100"/>
        <v>-170</v>
      </c>
      <c r="F538" s="4">
        <v>45764</v>
      </c>
      <c r="G538" t="s">
        <v>1730</v>
      </c>
      <c r="H538" t="s">
        <v>60</v>
      </c>
      <c r="I538" t="str">
        <f t="shared" si="101"/>
        <v>Ananya Rao</v>
      </c>
      <c r="J538" t="s">
        <v>35</v>
      </c>
      <c r="K538" t="str">
        <f t="shared" si="102"/>
        <v>Small Business</v>
      </c>
      <c r="L538" t="s">
        <v>61</v>
      </c>
      <c r="M538" t="str">
        <f t="shared" si="98"/>
        <v>West</v>
      </c>
      <c r="N538" t="s">
        <v>24</v>
      </c>
      <c r="O538" t="str">
        <f t="shared" si="103"/>
        <v>Rajasthan</v>
      </c>
      <c r="P538" t="s">
        <v>107</v>
      </c>
      <c r="Q538" t="str">
        <f t="shared" si="104"/>
        <v>Udaipur</v>
      </c>
      <c r="R538" t="s">
        <v>39</v>
      </c>
      <c r="S538" t="str">
        <f t="shared" si="105"/>
        <v>Furniture</v>
      </c>
      <c r="T538" t="s">
        <v>64</v>
      </c>
      <c r="U538" t="str">
        <f t="shared" si="106"/>
        <v>Chairs</v>
      </c>
      <c r="V538" t="s">
        <v>1731</v>
      </c>
      <c r="X538" t="s">
        <v>48</v>
      </c>
      <c r="Y538" t="str">
        <f t="shared" si="107"/>
        <v>First Class</v>
      </c>
      <c r="Z538">
        <v>7</v>
      </c>
      <c r="AA538">
        <v>3788.9</v>
      </c>
      <c r="AB538">
        <v>0.25</v>
      </c>
      <c r="AC538">
        <v>19891.72</v>
      </c>
      <c r="AD538">
        <v>12295.76</v>
      </c>
      <c r="AE538">
        <v>7595.96</v>
      </c>
      <c r="AF538" t="s">
        <v>153</v>
      </c>
      <c r="AG538" t="str">
        <f t="shared" si="108"/>
        <v>Failed</v>
      </c>
      <c r="AH538" t="s">
        <v>66</v>
      </c>
    </row>
    <row r="539" spans="1:34">
      <c r="A539" t="s">
        <v>1732</v>
      </c>
      <c r="B539">
        <f>COUNTIF($A:$A,A539)</f>
        <v>1</v>
      </c>
      <c r="C539" t="str">
        <f t="shared" si="99"/>
        <v>Unique</v>
      </c>
      <c r="D539" s="4">
        <v>45313</v>
      </c>
      <c r="E539">
        <f t="shared" si="100"/>
        <v>8</v>
      </c>
      <c r="F539" s="4">
        <v>45321</v>
      </c>
      <c r="G539" t="s">
        <v>1733</v>
      </c>
      <c r="H539" t="s">
        <v>60</v>
      </c>
      <c r="I539" t="str">
        <f t="shared" si="101"/>
        <v>Ananya Rao</v>
      </c>
      <c r="J539" t="s">
        <v>35</v>
      </c>
      <c r="K539" t="str">
        <f t="shared" si="102"/>
        <v>Small Business</v>
      </c>
      <c r="L539" t="s">
        <v>23</v>
      </c>
      <c r="M539" t="str">
        <f t="shared" si="98"/>
        <v>North</v>
      </c>
      <c r="N539" t="s">
        <v>235</v>
      </c>
      <c r="O539" t="str">
        <f t="shared" si="103"/>
        <v>Haryana</v>
      </c>
      <c r="P539" t="s">
        <v>236</v>
      </c>
      <c r="Q539" t="str">
        <f t="shared" si="104"/>
        <v>Gurugram</v>
      </c>
      <c r="R539" t="s">
        <v>26</v>
      </c>
      <c r="S539" t="str">
        <f t="shared" si="105"/>
        <v>Office Supplies</v>
      </c>
      <c r="T539" t="s">
        <v>46</v>
      </c>
      <c r="U539" t="str">
        <f t="shared" si="106"/>
        <v>Art</v>
      </c>
      <c r="V539" t="s">
        <v>1734</v>
      </c>
      <c r="X539" t="s">
        <v>42</v>
      </c>
      <c r="Y539" t="str">
        <f t="shared" si="107"/>
        <v>Same Day</v>
      </c>
      <c r="Z539">
        <v>3</v>
      </c>
      <c r="AA539">
        <v>676.37</v>
      </c>
      <c r="AB539">
        <v>0.05</v>
      </c>
      <c r="AC539">
        <v>1927.65</v>
      </c>
      <c r="AD539">
        <v>1460.6</v>
      </c>
      <c r="AE539">
        <v>467.05</v>
      </c>
      <c r="AF539" t="s">
        <v>153</v>
      </c>
      <c r="AG539" t="str">
        <f t="shared" si="108"/>
        <v>Failed</v>
      </c>
      <c r="AH539" t="s">
        <v>66</v>
      </c>
    </row>
    <row r="540" spans="1:34">
      <c r="A540" t="s">
        <v>1735</v>
      </c>
      <c r="B540">
        <f>COUNTIF($A:$A,A540)</f>
        <v>1</v>
      </c>
      <c r="C540" t="str">
        <f t="shared" si="99"/>
        <v>Unique</v>
      </c>
      <c r="D540" s="4">
        <v>45560</v>
      </c>
      <c r="E540">
        <f t="shared" si="100"/>
        <v>-259</v>
      </c>
      <c r="F540" s="4">
        <v>45301</v>
      </c>
      <c r="G540" t="s">
        <v>1736</v>
      </c>
      <c r="H540" t="s">
        <v>160</v>
      </c>
      <c r="I540" t="str">
        <f t="shared" si="101"/>
        <v>Diya Patel</v>
      </c>
      <c r="J540" t="s">
        <v>35</v>
      </c>
      <c r="K540" t="str">
        <f t="shared" si="102"/>
        <v>Small Business</v>
      </c>
      <c r="L540" t="s">
        <v>36</v>
      </c>
      <c r="M540" t="str">
        <f t="shared" si="98"/>
        <v>East</v>
      </c>
      <c r="N540" t="s">
        <v>227</v>
      </c>
      <c r="O540" t="str">
        <f t="shared" si="103"/>
        <v>Jharkhand</v>
      </c>
      <c r="P540" t="s">
        <v>228</v>
      </c>
      <c r="Q540" t="str">
        <f t="shared" si="104"/>
        <v>Ranchi</v>
      </c>
      <c r="R540" t="s">
        <v>39</v>
      </c>
      <c r="S540" t="str">
        <f t="shared" si="105"/>
        <v>Furniture</v>
      </c>
      <c r="T540" t="s">
        <v>40</v>
      </c>
      <c r="U540" t="str">
        <f t="shared" si="106"/>
        <v>Tables</v>
      </c>
      <c r="V540" t="s">
        <v>1737</v>
      </c>
      <c r="X540" t="s">
        <v>29</v>
      </c>
      <c r="Y540" t="str">
        <f t="shared" si="107"/>
        <v>Second Class</v>
      </c>
      <c r="Z540">
        <v>9</v>
      </c>
      <c r="AA540">
        <v>3908.6</v>
      </c>
      <c r="AB540">
        <v>0.15</v>
      </c>
      <c r="AC540">
        <v>29900.79</v>
      </c>
      <c r="AD540">
        <v>24650.67</v>
      </c>
      <c r="AE540">
        <v>5250.12</v>
      </c>
      <c r="AF540" t="s">
        <v>30</v>
      </c>
      <c r="AG540" t="str">
        <f t="shared" si="108"/>
        <v>Paid</v>
      </c>
      <c r="AH540" t="s">
        <v>31</v>
      </c>
    </row>
    <row r="541" spans="1:34">
      <c r="A541" t="s">
        <v>1738</v>
      </c>
      <c r="B541">
        <f>COUNTIF($A:$A,A541)</f>
        <v>1</v>
      </c>
      <c r="C541" t="str">
        <f t="shared" si="99"/>
        <v>Unique</v>
      </c>
      <c r="D541" s="4">
        <v>45842</v>
      </c>
      <c r="E541">
        <f t="shared" si="100"/>
        <v>-88</v>
      </c>
      <c r="F541" s="4">
        <v>45754</v>
      </c>
      <c r="G541" t="s">
        <v>1739</v>
      </c>
      <c r="H541" t="s">
        <v>2822</v>
      </c>
      <c r="I541" t="str">
        <f t="shared" si="101"/>
        <v>Mira Das</v>
      </c>
      <c r="J541" t="s">
        <v>35</v>
      </c>
      <c r="K541" t="str">
        <f t="shared" si="102"/>
        <v>Small Business</v>
      </c>
      <c r="L541" t="s">
        <v>52</v>
      </c>
      <c r="M541" t="str">
        <f t="shared" si="98"/>
        <v>South</v>
      </c>
      <c r="N541" t="s">
        <v>246</v>
      </c>
      <c r="O541" t="str">
        <f t="shared" si="103"/>
        <v>Tamil Nadu</v>
      </c>
      <c r="P541" t="s">
        <v>247</v>
      </c>
      <c r="Q541" t="str">
        <f t="shared" si="104"/>
        <v>Chennai</v>
      </c>
      <c r="R541" t="s">
        <v>39</v>
      </c>
      <c r="S541" t="str">
        <f t="shared" si="105"/>
        <v>Furniture</v>
      </c>
      <c r="T541" t="s">
        <v>64</v>
      </c>
      <c r="U541" t="str">
        <f t="shared" si="106"/>
        <v>Chairs</v>
      </c>
      <c r="V541" t="s">
        <v>1740</v>
      </c>
      <c r="X541" t="s">
        <v>57</v>
      </c>
      <c r="Y541" t="str">
        <f t="shared" si="107"/>
        <v>Standard Class</v>
      </c>
      <c r="Z541">
        <v>3</v>
      </c>
      <c r="AA541">
        <v>705.35</v>
      </c>
      <c r="AB541">
        <v>0.1</v>
      </c>
      <c r="AC541">
        <v>1904.45</v>
      </c>
      <c r="AD541">
        <v>1316.54</v>
      </c>
      <c r="AE541">
        <v>587.91</v>
      </c>
      <c r="AF541" t="s">
        <v>30</v>
      </c>
      <c r="AG541" t="str">
        <f t="shared" si="108"/>
        <v>Paid</v>
      </c>
      <c r="AH541" t="s">
        <v>66</v>
      </c>
    </row>
    <row r="542" spans="1:34">
      <c r="A542" t="s">
        <v>1741</v>
      </c>
      <c r="B542">
        <f>COUNTIF($A:$A,A542)</f>
        <v>1</v>
      </c>
      <c r="C542" t="str">
        <f t="shared" si="99"/>
        <v>Unique</v>
      </c>
      <c r="D542" s="4">
        <v>45348</v>
      </c>
      <c r="E542">
        <f t="shared" si="100"/>
        <v>-3</v>
      </c>
      <c r="F542" s="4">
        <v>45345</v>
      </c>
      <c r="G542" t="s">
        <v>1742</v>
      </c>
      <c r="H542" t="s">
        <v>263</v>
      </c>
      <c r="I542" t="str">
        <f t="shared" si="101"/>
        <v>Kabir Singh</v>
      </c>
      <c r="J542" t="s">
        <v>22</v>
      </c>
      <c r="K542" t="str">
        <f t="shared" si="102"/>
        <v>Consumer</v>
      </c>
      <c r="L542" t="s">
        <v>61</v>
      </c>
      <c r="M542" t="str">
        <f t="shared" si="98"/>
        <v>West</v>
      </c>
      <c r="N542" t="s">
        <v>178</v>
      </c>
      <c r="O542" t="str">
        <f t="shared" si="103"/>
        <v>Gujarat</v>
      </c>
      <c r="P542" t="s">
        <v>179</v>
      </c>
      <c r="Q542" t="str">
        <f t="shared" si="104"/>
        <v>Ahmedabad</v>
      </c>
      <c r="R542" t="s">
        <v>39</v>
      </c>
      <c r="S542" t="str">
        <f t="shared" si="105"/>
        <v>Furniture</v>
      </c>
      <c r="T542" t="s">
        <v>55</v>
      </c>
      <c r="U542" t="str">
        <f t="shared" si="106"/>
        <v>Furnishings</v>
      </c>
      <c r="V542" t="s">
        <v>1743</v>
      </c>
      <c r="X542" t="s">
        <v>57</v>
      </c>
      <c r="Y542" t="str">
        <f t="shared" si="107"/>
        <v>Standard Class</v>
      </c>
      <c r="Z542">
        <v>7</v>
      </c>
      <c r="AA542">
        <v>3852.07</v>
      </c>
      <c r="AB542">
        <v>0.2</v>
      </c>
      <c r="AC542">
        <v>21571.59</v>
      </c>
      <c r="AD542">
        <v>17118.07</v>
      </c>
      <c r="AE542">
        <v>4453.5200000000004</v>
      </c>
      <c r="AF542" t="s">
        <v>30</v>
      </c>
      <c r="AG542" t="str">
        <f t="shared" si="108"/>
        <v>Paid</v>
      </c>
      <c r="AH542" t="s">
        <v>31</v>
      </c>
    </row>
    <row r="543" spans="1:34">
      <c r="A543" t="s">
        <v>1744</v>
      </c>
      <c r="B543">
        <f>COUNTIF($A:$A,A543)</f>
        <v>1</v>
      </c>
      <c r="C543" t="str">
        <f t="shared" si="99"/>
        <v>Unique</v>
      </c>
      <c r="D543" s="4">
        <v>45876</v>
      </c>
      <c r="E543">
        <f t="shared" si="100"/>
        <v>31</v>
      </c>
      <c r="F543" s="4">
        <v>45907</v>
      </c>
      <c r="G543" t="s">
        <v>1745</v>
      </c>
      <c r="H543" t="s">
        <v>130</v>
      </c>
      <c r="I543" t="str">
        <f t="shared" si="101"/>
        <v>Sneha Kapoor</v>
      </c>
      <c r="J543" t="s">
        <v>22</v>
      </c>
      <c r="K543" t="str">
        <f t="shared" si="102"/>
        <v>Consumer</v>
      </c>
      <c r="L543" t="s">
        <v>61</v>
      </c>
      <c r="M543" t="str">
        <f t="shared" si="98"/>
        <v>West</v>
      </c>
      <c r="N543" t="s">
        <v>62</v>
      </c>
      <c r="O543" t="str">
        <f t="shared" si="103"/>
        <v>Maharashtra</v>
      </c>
      <c r="P543" t="s">
        <v>63</v>
      </c>
      <c r="Q543" t="str">
        <f t="shared" si="104"/>
        <v>Mumbai</v>
      </c>
      <c r="R543" t="s">
        <v>72</v>
      </c>
      <c r="S543" t="str">
        <f t="shared" si="105"/>
        <v>Technology</v>
      </c>
      <c r="T543" t="s">
        <v>78</v>
      </c>
      <c r="U543" t="str">
        <f t="shared" si="106"/>
        <v>Copiers</v>
      </c>
      <c r="V543" t="s">
        <v>1746</v>
      </c>
      <c r="X543" t="s">
        <v>42</v>
      </c>
      <c r="Y543" t="str">
        <f t="shared" si="107"/>
        <v>Same Day</v>
      </c>
      <c r="Z543">
        <v>3</v>
      </c>
      <c r="AA543">
        <v>2880.56</v>
      </c>
      <c r="AB543">
        <v>0</v>
      </c>
      <c r="AC543">
        <v>8641.68</v>
      </c>
      <c r="AD543">
        <v>5747.09</v>
      </c>
      <c r="AE543">
        <v>2894.59</v>
      </c>
      <c r="AF543" t="s">
        <v>30</v>
      </c>
      <c r="AG543" t="str">
        <f t="shared" si="108"/>
        <v>Paid</v>
      </c>
      <c r="AH543" t="s">
        <v>101</v>
      </c>
    </row>
    <row r="544" spans="1:34">
      <c r="A544" t="s">
        <v>1747</v>
      </c>
      <c r="B544">
        <f>COUNTIF($A:$A,A544)</f>
        <v>1</v>
      </c>
      <c r="C544" t="str">
        <f t="shared" si="99"/>
        <v>Unique</v>
      </c>
      <c r="D544" s="4">
        <v>45552</v>
      </c>
      <c r="E544">
        <f t="shared" si="100"/>
        <v>6</v>
      </c>
      <c r="F544" s="4">
        <v>45558</v>
      </c>
      <c r="G544" t="s">
        <v>1748</v>
      </c>
      <c r="H544" t="s">
        <v>116</v>
      </c>
      <c r="I544" t="str">
        <f t="shared" si="101"/>
        <v>Rahul Verma</v>
      </c>
      <c r="J544" t="s">
        <v>93</v>
      </c>
      <c r="K544" t="str">
        <f t="shared" si="102"/>
        <v>Home Office</v>
      </c>
      <c r="L544" t="s">
        <v>52</v>
      </c>
      <c r="M544" t="str">
        <f t="shared" si="98"/>
        <v>South</v>
      </c>
      <c r="N544" t="s">
        <v>183</v>
      </c>
      <c r="O544" t="str">
        <f t="shared" si="103"/>
        <v>Kerala</v>
      </c>
      <c r="P544" t="s">
        <v>184</v>
      </c>
      <c r="Q544" t="str">
        <f t="shared" si="104"/>
        <v>Kochi</v>
      </c>
      <c r="R544" t="s">
        <v>39</v>
      </c>
      <c r="S544" t="str">
        <f t="shared" si="105"/>
        <v>Furniture</v>
      </c>
      <c r="T544" t="s">
        <v>156</v>
      </c>
      <c r="U544" t="str">
        <f t="shared" si="106"/>
        <v>Bookcases</v>
      </c>
      <c r="V544" t="s">
        <v>1749</v>
      </c>
      <c r="X544" t="s">
        <v>29</v>
      </c>
      <c r="Y544" t="str">
        <f t="shared" si="107"/>
        <v>Second Class</v>
      </c>
      <c r="Z544">
        <v>3</v>
      </c>
      <c r="AA544">
        <v>4067.62</v>
      </c>
      <c r="AB544">
        <v>0.2</v>
      </c>
      <c r="AC544">
        <v>9988.5300000000007</v>
      </c>
      <c r="AD544">
        <v>8368.24</v>
      </c>
      <c r="AE544">
        <v>1394.05</v>
      </c>
      <c r="AF544" t="s">
        <v>30</v>
      </c>
      <c r="AG544" t="str">
        <f t="shared" si="108"/>
        <v>Paid</v>
      </c>
      <c r="AH544" t="s">
        <v>1750</v>
      </c>
    </row>
    <row r="545" spans="1:34">
      <c r="A545" t="s">
        <v>1751</v>
      </c>
      <c r="B545">
        <f>COUNTIF($A:$A,A545)</f>
        <v>1</v>
      </c>
      <c r="C545" t="str">
        <f t="shared" si="99"/>
        <v>Unique</v>
      </c>
      <c r="D545" s="4">
        <v>45487</v>
      </c>
      <c r="E545">
        <f t="shared" si="100"/>
        <v>6</v>
      </c>
      <c r="F545" s="4">
        <v>45493</v>
      </c>
      <c r="G545" t="s">
        <v>1752</v>
      </c>
      <c r="H545" t="s">
        <v>34</v>
      </c>
      <c r="I545" t="str">
        <f t="shared" si="101"/>
        <v>Mira Das</v>
      </c>
      <c r="J545" t="s">
        <v>22</v>
      </c>
      <c r="K545" t="str">
        <f t="shared" si="102"/>
        <v>Consumer</v>
      </c>
      <c r="L545" t="s">
        <v>36</v>
      </c>
      <c r="M545" t="str">
        <f t="shared" ref="M545:M576" si="109">PROPER(TRIM(L545))</f>
        <v>East</v>
      </c>
      <c r="N545" t="s">
        <v>143</v>
      </c>
      <c r="O545" t="str">
        <f t="shared" si="103"/>
        <v>Bihar</v>
      </c>
      <c r="P545" t="s">
        <v>144</v>
      </c>
      <c r="Q545" t="str">
        <f t="shared" si="104"/>
        <v>Patna</v>
      </c>
      <c r="R545" t="s">
        <v>72</v>
      </c>
      <c r="S545" t="str">
        <f t="shared" si="105"/>
        <v>Technology</v>
      </c>
      <c r="T545" t="s">
        <v>78</v>
      </c>
      <c r="U545" t="str">
        <f t="shared" si="106"/>
        <v>Copiers</v>
      </c>
      <c r="V545" t="s">
        <v>1753</v>
      </c>
      <c r="X545" t="s">
        <v>42</v>
      </c>
      <c r="Y545" t="str">
        <f t="shared" si="107"/>
        <v>Same Day</v>
      </c>
      <c r="Z545">
        <v>1</v>
      </c>
      <c r="AA545">
        <v>492.67</v>
      </c>
      <c r="AB545">
        <v>0.15</v>
      </c>
      <c r="AC545">
        <v>418.77</v>
      </c>
      <c r="AD545">
        <v>313.72000000000003</v>
      </c>
      <c r="AE545">
        <v>105.05</v>
      </c>
      <c r="AF545" t="s">
        <v>30</v>
      </c>
      <c r="AG545" t="str">
        <f t="shared" si="108"/>
        <v>Paid</v>
      </c>
      <c r="AH545" t="s">
        <v>31</v>
      </c>
    </row>
    <row r="546" spans="1:34">
      <c r="A546" t="s">
        <v>1754</v>
      </c>
      <c r="B546">
        <f>COUNTIF($A:$A,A546)</f>
        <v>1</v>
      </c>
      <c r="C546" t="str">
        <f t="shared" si="99"/>
        <v>Unique</v>
      </c>
      <c r="D546" s="4">
        <v>45686</v>
      </c>
      <c r="E546">
        <f t="shared" si="100"/>
        <v>7</v>
      </c>
      <c r="F546" s="4">
        <v>45693</v>
      </c>
      <c r="G546" t="s">
        <v>1755</v>
      </c>
      <c r="H546" t="s">
        <v>60</v>
      </c>
      <c r="I546" t="str">
        <f t="shared" si="101"/>
        <v>Ananya Rao</v>
      </c>
      <c r="J546" t="s">
        <v>22</v>
      </c>
      <c r="K546" t="str">
        <f t="shared" si="102"/>
        <v>Consumer</v>
      </c>
      <c r="L546" t="s">
        <v>52</v>
      </c>
      <c r="M546" t="str">
        <f t="shared" si="109"/>
        <v>South</v>
      </c>
      <c r="N546" t="s">
        <v>183</v>
      </c>
      <c r="O546" t="str">
        <f t="shared" si="103"/>
        <v>Kerala</v>
      </c>
      <c r="P546" t="s">
        <v>184</v>
      </c>
      <c r="Q546" t="str">
        <f t="shared" si="104"/>
        <v>Kochi</v>
      </c>
      <c r="R546" t="s">
        <v>26</v>
      </c>
      <c r="S546" t="str">
        <f t="shared" si="105"/>
        <v>Office Supplies</v>
      </c>
      <c r="T546" t="s">
        <v>46</v>
      </c>
      <c r="U546" t="str">
        <f t="shared" si="106"/>
        <v>Art</v>
      </c>
      <c r="V546" t="s">
        <v>1756</v>
      </c>
      <c r="X546" t="s">
        <v>42</v>
      </c>
      <c r="Y546" t="str">
        <f t="shared" si="107"/>
        <v>Same Day</v>
      </c>
      <c r="Z546">
        <v>8</v>
      </c>
      <c r="AA546">
        <v>3643.62</v>
      </c>
      <c r="AB546">
        <v>0.25</v>
      </c>
      <c r="AC546">
        <v>21861.72</v>
      </c>
      <c r="AD546">
        <v>18464.34</v>
      </c>
      <c r="AE546">
        <v>3397.38</v>
      </c>
      <c r="AF546" t="s">
        <v>30</v>
      </c>
      <c r="AG546" t="str">
        <f t="shared" si="108"/>
        <v>Paid</v>
      </c>
      <c r="AH546" t="s">
        <v>66</v>
      </c>
    </row>
    <row r="547" spans="1:34">
      <c r="A547" t="s">
        <v>1757</v>
      </c>
      <c r="B547">
        <f>COUNTIF($A:$A,A547)</f>
        <v>1</v>
      </c>
      <c r="C547" t="str">
        <f t="shared" si="99"/>
        <v>Unique</v>
      </c>
      <c r="D547" s="4">
        <v>45439</v>
      </c>
      <c r="E547">
        <f t="shared" si="100"/>
        <v>3</v>
      </c>
      <c r="F547" s="4">
        <v>45442</v>
      </c>
      <c r="G547" t="s">
        <v>1758</v>
      </c>
      <c r="H547" t="s">
        <v>263</v>
      </c>
      <c r="I547" t="str">
        <f t="shared" si="101"/>
        <v>Kabir Singh</v>
      </c>
      <c r="J547" t="s">
        <v>35</v>
      </c>
      <c r="K547" t="str">
        <f t="shared" si="102"/>
        <v>Small Business</v>
      </c>
      <c r="L547" t="s">
        <v>36</v>
      </c>
      <c r="M547" t="str">
        <f t="shared" si="109"/>
        <v>East</v>
      </c>
      <c r="N547" t="s">
        <v>227</v>
      </c>
      <c r="O547" t="str">
        <f t="shared" si="103"/>
        <v>Jharkhand</v>
      </c>
      <c r="P547" t="s">
        <v>228</v>
      </c>
      <c r="Q547" t="str">
        <f t="shared" si="104"/>
        <v>Ranchi</v>
      </c>
      <c r="R547" t="s">
        <v>26</v>
      </c>
      <c r="S547" t="str">
        <f t="shared" si="105"/>
        <v>Office Supplies</v>
      </c>
      <c r="T547" t="s">
        <v>122</v>
      </c>
      <c r="U547" t="str">
        <f t="shared" si="106"/>
        <v>Storage</v>
      </c>
      <c r="V547" t="s">
        <v>1759</v>
      </c>
      <c r="X547" t="s">
        <v>42</v>
      </c>
      <c r="Y547" t="str">
        <f t="shared" si="107"/>
        <v>Same Day</v>
      </c>
      <c r="Z547">
        <v>7</v>
      </c>
      <c r="AA547">
        <v>2900.86</v>
      </c>
      <c r="AB547">
        <v>0.15</v>
      </c>
      <c r="AC547">
        <v>17260.12</v>
      </c>
      <c r="AD547">
        <v>13513.51</v>
      </c>
      <c r="AE547">
        <v>3746.61</v>
      </c>
      <c r="AF547" t="s">
        <v>30</v>
      </c>
      <c r="AG547" t="str">
        <f t="shared" si="108"/>
        <v>Paid</v>
      </c>
      <c r="AH547" t="s">
        <v>31</v>
      </c>
    </row>
    <row r="548" spans="1:34">
      <c r="A548" t="s">
        <v>1760</v>
      </c>
      <c r="B548">
        <f>COUNTIF($A:$A,A548)</f>
        <v>1</v>
      </c>
      <c r="C548" t="str">
        <f t="shared" si="99"/>
        <v>Unique</v>
      </c>
      <c r="D548" s="4">
        <v>45883</v>
      </c>
      <c r="E548">
        <f t="shared" si="100"/>
        <v>8</v>
      </c>
      <c r="F548" s="4">
        <v>45891</v>
      </c>
      <c r="G548" t="s">
        <v>1761</v>
      </c>
      <c r="H548" t="s">
        <v>51</v>
      </c>
      <c r="I548" t="str">
        <f t="shared" si="101"/>
        <v>Arjun Bose</v>
      </c>
      <c r="J548" t="s">
        <v>88</v>
      </c>
      <c r="K548" t="str">
        <f t="shared" si="102"/>
        <v>Corporate</v>
      </c>
      <c r="L548" t="s">
        <v>61</v>
      </c>
      <c r="M548" t="str">
        <f t="shared" si="109"/>
        <v>West</v>
      </c>
      <c r="N548" t="s">
        <v>178</v>
      </c>
      <c r="O548" t="str">
        <f t="shared" si="103"/>
        <v>Gujarat</v>
      </c>
      <c r="P548" t="s">
        <v>179</v>
      </c>
      <c r="Q548" t="str">
        <f t="shared" si="104"/>
        <v>Ahmedabad</v>
      </c>
      <c r="R548" t="s">
        <v>1762</v>
      </c>
      <c r="S548" t="str">
        <f t="shared" si="105"/>
        <v>Office Supplies</v>
      </c>
      <c r="T548" t="s">
        <v>27</v>
      </c>
      <c r="U548" t="str">
        <f t="shared" si="106"/>
        <v>Paper</v>
      </c>
      <c r="V548" t="s">
        <v>1763</v>
      </c>
      <c r="X548" t="s">
        <v>48</v>
      </c>
      <c r="Y548" t="str">
        <f t="shared" si="107"/>
        <v>First Class</v>
      </c>
      <c r="Z548">
        <v>5</v>
      </c>
      <c r="AA548">
        <v>2567.37</v>
      </c>
      <c r="AB548">
        <v>0.15</v>
      </c>
      <c r="AC548">
        <v>10911.32</v>
      </c>
      <c r="AD548">
        <v>6966.44</v>
      </c>
      <c r="AE548">
        <v>4395.17</v>
      </c>
      <c r="AF548" t="s">
        <v>30</v>
      </c>
      <c r="AG548" t="str">
        <f t="shared" si="108"/>
        <v>Paid</v>
      </c>
      <c r="AH548" t="s">
        <v>31</v>
      </c>
    </row>
    <row r="549" spans="1:34">
      <c r="A549" t="s">
        <v>1764</v>
      </c>
      <c r="B549">
        <f>COUNTIF($A:$A,A549)</f>
        <v>1</v>
      </c>
      <c r="C549" t="str">
        <f t="shared" si="99"/>
        <v>Unique</v>
      </c>
      <c r="D549" s="4">
        <v>45428</v>
      </c>
      <c r="E549">
        <f t="shared" si="100"/>
        <v>7</v>
      </c>
      <c r="F549" s="4">
        <v>45435</v>
      </c>
      <c r="G549" t="s">
        <v>1765</v>
      </c>
      <c r="H549" t="s">
        <v>77</v>
      </c>
      <c r="I549" t="str">
        <f t="shared" si="101"/>
        <v>Neha Gupta</v>
      </c>
      <c r="J549" t="s">
        <v>35</v>
      </c>
      <c r="K549" t="str">
        <f t="shared" si="102"/>
        <v>Small Business</v>
      </c>
      <c r="L549" t="s">
        <v>23</v>
      </c>
      <c r="M549" t="str">
        <f t="shared" si="109"/>
        <v>North</v>
      </c>
      <c r="N549" t="s">
        <v>134</v>
      </c>
      <c r="O549" t="str">
        <f t="shared" si="103"/>
        <v>Uttar Pradesh</v>
      </c>
      <c r="P549" t="s">
        <v>135</v>
      </c>
      <c r="Q549" t="str">
        <f t="shared" si="104"/>
        <v>Noida</v>
      </c>
      <c r="R549" t="s">
        <v>72</v>
      </c>
      <c r="S549" t="str">
        <f t="shared" si="105"/>
        <v>Technology</v>
      </c>
      <c r="T549" t="s">
        <v>78</v>
      </c>
      <c r="U549" t="str">
        <f t="shared" si="106"/>
        <v>Copiers</v>
      </c>
      <c r="V549" t="s">
        <v>1766</v>
      </c>
      <c r="X549" t="s">
        <v>57</v>
      </c>
      <c r="Y549" t="str">
        <f t="shared" si="107"/>
        <v>Standard Class</v>
      </c>
      <c r="Z549">
        <v>9</v>
      </c>
      <c r="AA549">
        <v>3722.09</v>
      </c>
      <c r="AB549">
        <v>0.1</v>
      </c>
      <c r="AC549">
        <v>30148.93</v>
      </c>
      <c r="AD549">
        <v>25155.07</v>
      </c>
      <c r="AE549">
        <v>4993.8599999999997</v>
      </c>
      <c r="AF549" t="s">
        <v>30</v>
      </c>
      <c r="AG549" t="str">
        <f t="shared" si="108"/>
        <v>Paid</v>
      </c>
      <c r="AH549" t="s">
        <v>31</v>
      </c>
    </row>
    <row r="550" spans="1:34">
      <c r="A550" t="s">
        <v>1767</v>
      </c>
      <c r="B550">
        <f>COUNTIF($A:$A,A550)</f>
        <v>1</v>
      </c>
      <c r="C550" t="str">
        <f t="shared" si="99"/>
        <v>Unique</v>
      </c>
      <c r="D550" s="4">
        <v>45441</v>
      </c>
      <c r="E550">
        <f t="shared" si="100"/>
        <v>0</v>
      </c>
      <c r="F550" s="4">
        <v>45441</v>
      </c>
      <c r="G550" t="s">
        <v>1768</v>
      </c>
      <c r="H550" t="s">
        <v>139</v>
      </c>
      <c r="I550" t="str">
        <f t="shared" si="101"/>
        <v>Rohan Mehta</v>
      </c>
      <c r="J550" t="s">
        <v>88</v>
      </c>
      <c r="K550" t="str">
        <f t="shared" si="102"/>
        <v>Corporate</v>
      </c>
      <c r="L550" t="s">
        <v>36</v>
      </c>
      <c r="M550" t="str">
        <f t="shared" si="109"/>
        <v>East</v>
      </c>
      <c r="N550" t="s">
        <v>143</v>
      </c>
      <c r="O550" t="str">
        <f t="shared" si="103"/>
        <v>Bihar</v>
      </c>
      <c r="P550" t="s">
        <v>144</v>
      </c>
      <c r="Q550" t="str">
        <f t="shared" si="104"/>
        <v>Patna</v>
      </c>
      <c r="R550" t="s">
        <v>39</v>
      </c>
      <c r="S550" t="str">
        <f t="shared" si="105"/>
        <v>Furniture</v>
      </c>
      <c r="T550" t="s">
        <v>156</v>
      </c>
      <c r="U550" t="str">
        <f t="shared" si="106"/>
        <v>Bookcases</v>
      </c>
      <c r="V550" t="s">
        <v>1769</v>
      </c>
      <c r="X550" t="s">
        <v>42</v>
      </c>
      <c r="Y550" t="str">
        <f t="shared" si="107"/>
        <v>Same Day</v>
      </c>
      <c r="Z550">
        <v>1</v>
      </c>
      <c r="AA550">
        <v>1072.01</v>
      </c>
      <c r="AB550">
        <v>0</v>
      </c>
      <c r="AC550">
        <v>1072.01</v>
      </c>
      <c r="AD550">
        <v>852.62</v>
      </c>
      <c r="AE550">
        <v>219.39</v>
      </c>
      <c r="AF550" t="s">
        <v>109</v>
      </c>
      <c r="AG550" t="str">
        <f t="shared" si="108"/>
        <v>Pending</v>
      </c>
      <c r="AH550" t="s">
        <v>66</v>
      </c>
    </row>
    <row r="551" spans="1:34">
      <c r="A551" t="s">
        <v>1770</v>
      </c>
      <c r="B551">
        <f>COUNTIF($A:$A,A551)</f>
        <v>1</v>
      </c>
      <c r="C551" t="str">
        <f t="shared" si="99"/>
        <v>Unique</v>
      </c>
      <c r="D551" s="4">
        <v>45941</v>
      </c>
      <c r="E551">
        <f t="shared" si="100"/>
        <v>2</v>
      </c>
      <c r="F551" s="4">
        <v>45943</v>
      </c>
      <c r="G551" t="s">
        <v>1771</v>
      </c>
      <c r="H551" t="s">
        <v>34</v>
      </c>
      <c r="I551" t="str">
        <f t="shared" si="101"/>
        <v>Mira Das</v>
      </c>
      <c r="J551" t="s">
        <v>88</v>
      </c>
      <c r="K551" t="str">
        <f t="shared" si="102"/>
        <v>Corporate</v>
      </c>
      <c r="L551" t="s">
        <v>52</v>
      </c>
      <c r="M551" t="str">
        <f t="shared" si="109"/>
        <v>South</v>
      </c>
      <c r="N551" t="s">
        <v>53</v>
      </c>
      <c r="O551" t="str">
        <f t="shared" si="103"/>
        <v>Telangana</v>
      </c>
      <c r="P551" t="s">
        <v>54</v>
      </c>
      <c r="Q551" t="str">
        <f t="shared" si="104"/>
        <v>Hyderabad</v>
      </c>
      <c r="R551" t="s">
        <v>26</v>
      </c>
      <c r="S551" t="str">
        <f t="shared" si="105"/>
        <v>Office Supplies</v>
      </c>
      <c r="T551" t="s">
        <v>46</v>
      </c>
      <c r="U551" t="str">
        <f t="shared" si="106"/>
        <v>Art</v>
      </c>
      <c r="V551" t="s">
        <v>1772</v>
      </c>
      <c r="X551" t="s">
        <v>29</v>
      </c>
      <c r="Y551" t="str">
        <f t="shared" si="107"/>
        <v>Second Class</v>
      </c>
      <c r="Z551">
        <v>3</v>
      </c>
      <c r="AA551">
        <v>3804.27</v>
      </c>
      <c r="AB551">
        <v>0.1</v>
      </c>
      <c r="AC551">
        <v>10271.530000000001</v>
      </c>
      <c r="AD551">
        <v>8272.24</v>
      </c>
      <c r="AE551">
        <v>1999.29</v>
      </c>
      <c r="AF551" t="s">
        <v>30</v>
      </c>
      <c r="AG551" t="str">
        <f t="shared" si="108"/>
        <v>Paid</v>
      </c>
      <c r="AH551" t="s">
        <v>31</v>
      </c>
    </row>
    <row r="552" spans="1:34">
      <c r="A552" t="s">
        <v>1773</v>
      </c>
      <c r="B552">
        <f>COUNTIF($A:$A,A552)</f>
        <v>1</v>
      </c>
      <c r="C552" t="str">
        <f t="shared" si="99"/>
        <v>Unique</v>
      </c>
      <c r="D552" s="4">
        <v>45330</v>
      </c>
      <c r="E552">
        <f t="shared" si="100"/>
        <v>184</v>
      </c>
      <c r="F552" s="4">
        <v>45514</v>
      </c>
      <c r="G552" t="s">
        <v>1774</v>
      </c>
      <c r="H552" t="s">
        <v>34</v>
      </c>
      <c r="I552" t="str">
        <f t="shared" si="101"/>
        <v>Mira Das</v>
      </c>
      <c r="J552" t="s">
        <v>93</v>
      </c>
      <c r="K552" t="str">
        <f t="shared" si="102"/>
        <v>Home Office</v>
      </c>
      <c r="L552" t="s">
        <v>36</v>
      </c>
      <c r="M552" t="str">
        <f t="shared" si="109"/>
        <v>East</v>
      </c>
      <c r="N552" t="s">
        <v>37</v>
      </c>
      <c r="O552" t="str">
        <f t="shared" si="103"/>
        <v>Odisha</v>
      </c>
      <c r="P552" t="s">
        <v>38</v>
      </c>
      <c r="Q552" t="str">
        <f t="shared" si="104"/>
        <v>Bhubaneswar</v>
      </c>
      <c r="R552" t="s">
        <v>72</v>
      </c>
      <c r="S552" t="str">
        <f t="shared" si="105"/>
        <v>Technology</v>
      </c>
      <c r="T552" t="s">
        <v>73</v>
      </c>
      <c r="U552" t="str">
        <f t="shared" si="106"/>
        <v>Accessories</v>
      </c>
      <c r="V552" t="s">
        <v>1775</v>
      </c>
      <c r="X552" t="s">
        <v>57</v>
      </c>
      <c r="Y552" t="str">
        <f t="shared" si="107"/>
        <v>Standard Class</v>
      </c>
      <c r="Z552">
        <v>6</v>
      </c>
      <c r="AA552">
        <v>2126.44</v>
      </c>
      <c r="AB552">
        <v>0.2</v>
      </c>
      <c r="AC552">
        <v>10206.91</v>
      </c>
      <c r="AD552">
        <v>6764.53</v>
      </c>
      <c r="AE552">
        <v>3442.38</v>
      </c>
      <c r="AF552" t="s">
        <v>30</v>
      </c>
      <c r="AG552" t="str">
        <f t="shared" si="108"/>
        <v>Paid</v>
      </c>
      <c r="AH552" t="s">
        <v>31</v>
      </c>
    </row>
    <row r="553" spans="1:34">
      <c r="A553" t="s">
        <v>1776</v>
      </c>
      <c r="B553">
        <f>COUNTIF($A:$A,A553)</f>
        <v>1</v>
      </c>
      <c r="C553" t="str">
        <f t="shared" si="99"/>
        <v>Unique</v>
      </c>
      <c r="D553" s="4">
        <v>45349</v>
      </c>
      <c r="E553">
        <f t="shared" si="100"/>
        <v>0</v>
      </c>
      <c r="F553" s="4">
        <v>45349</v>
      </c>
      <c r="G553" t="s">
        <v>1777</v>
      </c>
      <c r="H553" t="s">
        <v>130</v>
      </c>
      <c r="I553" t="str">
        <f t="shared" si="101"/>
        <v>Sneha Kapoor</v>
      </c>
      <c r="J553" t="s">
        <v>22</v>
      </c>
      <c r="K553" t="str">
        <f t="shared" si="102"/>
        <v>Consumer</v>
      </c>
      <c r="L553" t="s">
        <v>36</v>
      </c>
      <c r="M553" t="str">
        <f t="shared" si="109"/>
        <v>East</v>
      </c>
      <c r="N553" t="s">
        <v>227</v>
      </c>
      <c r="O553" t="str">
        <f t="shared" si="103"/>
        <v>Jharkhand</v>
      </c>
      <c r="P553" t="s">
        <v>228</v>
      </c>
      <c r="Q553" t="str">
        <f t="shared" si="104"/>
        <v>Ranchi</v>
      </c>
      <c r="R553" t="s">
        <v>39</v>
      </c>
      <c r="S553" t="str">
        <f t="shared" si="105"/>
        <v>Furniture</v>
      </c>
      <c r="T553" t="s">
        <v>64</v>
      </c>
      <c r="U553" t="str">
        <f t="shared" si="106"/>
        <v>Chairs</v>
      </c>
      <c r="V553" t="s">
        <v>1778</v>
      </c>
      <c r="X553" t="s">
        <v>29</v>
      </c>
      <c r="Y553" t="str">
        <f t="shared" si="107"/>
        <v>Second Class</v>
      </c>
      <c r="Z553">
        <v>3</v>
      </c>
      <c r="AA553">
        <v>3148.09</v>
      </c>
      <c r="AB553">
        <v>0.15</v>
      </c>
      <c r="AC553">
        <v>8027.63</v>
      </c>
      <c r="AD553">
        <v>5496.09</v>
      </c>
      <c r="AE553">
        <v>2531.54</v>
      </c>
      <c r="AF553" t="s">
        <v>30</v>
      </c>
      <c r="AG553" t="str">
        <f t="shared" si="108"/>
        <v>Paid</v>
      </c>
      <c r="AH553" t="s">
        <v>31</v>
      </c>
    </row>
    <row r="554" spans="1:34">
      <c r="A554" t="s">
        <v>1779</v>
      </c>
      <c r="B554">
        <f>COUNTIF($A:$A,A554)</f>
        <v>1</v>
      </c>
      <c r="C554" t="str">
        <f t="shared" si="99"/>
        <v>Unique</v>
      </c>
      <c r="D554" s="4">
        <v>45681</v>
      </c>
      <c r="E554">
        <f t="shared" si="100"/>
        <v>6</v>
      </c>
      <c r="F554" s="4">
        <v>45687</v>
      </c>
      <c r="G554" t="s">
        <v>1780</v>
      </c>
      <c r="H554" t="s">
        <v>60</v>
      </c>
      <c r="I554" t="str">
        <f t="shared" si="101"/>
        <v>Ananya Rao</v>
      </c>
      <c r="J554" t="s">
        <v>88</v>
      </c>
      <c r="K554" t="str">
        <f t="shared" si="102"/>
        <v>Corporate</v>
      </c>
      <c r="L554" t="s">
        <v>36</v>
      </c>
      <c r="M554" t="str">
        <f t="shared" si="109"/>
        <v>East</v>
      </c>
      <c r="N554" t="s">
        <v>97</v>
      </c>
      <c r="O554" t="str">
        <f t="shared" si="103"/>
        <v>West Bengal</v>
      </c>
      <c r="P554" t="s">
        <v>98</v>
      </c>
      <c r="Q554" t="str">
        <f t="shared" si="104"/>
        <v>Kolkata</v>
      </c>
      <c r="R554" t="s">
        <v>72</v>
      </c>
      <c r="S554" t="str">
        <f t="shared" si="105"/>
        <v>Technology</v>
      </c>
      <c r="T554" t="s">
        <v>78</v>
      </c>
      <c r="U554" t="str">
        <f t="shared" si="106"/>
        <v>Copiers</v>
      </c>
      <c r="V554" t="s">
        <v>1781</v>
      </c>
      <c r="X554" t="s">
        <v>57</v>
      </c>
      <c r="Y554" t="str">
        <f t="shared" si="107"/>
        <v>Standard Class</v>
      </c>
      <c r="Z554">
        <v>8</v>
      </c>
      <c r="AA554">
        <v>312.52999999999997</v>
      </c>
      <c r="AB554" t="s">
        <v>462</v>
      </c>
      <c r="AC554">
        <v>1875.18</v>
      </c>
      <c r="AD554">
        <v>1579.17</v>
      </c>
      <c r="AE554">
        <v>296.01</v>
      </c>
      <c r="AF554" t="s">
        <v>30</v>
      </c>
      <c r="AG554" t="str">
        <f t="shared" si="108"/>
        <v>Paid</v>
      </c>
      <c r="AH554" t="s">
        <v>31</v>
      </c>
    </row>
    <row r="555" spans="1:34">
      <c r="A555" t="s">
        <v>1782</v>
      </c>
      <c r="B555">
        <f>COUNTIF($A:$A,A555)</f>
        <v>1</v>
      </c>
      <c r="C555" t="str">
        <f t="shared" si="99"/>
        <v>Unique</v>
      </c>
      <c r="D555" s="4">
        <v>45772</v>
      </c>
      <c r="E555">
        <f t="shared" si="100"/>
        <v>3</v>
      </c>
      <c r="F555" s="4">
        <v>45775</v>
      </c>
      <c r="G555" t="s">
        <v>1783</v>
      </c>
      <c r="H555" t="s">
        <v>126</v>
      </c>
      <c r="I555" t="str">
        <f t="shared" si="101"/>
        <v>Aarav Sharma</v>
      </c>
      <c r="J555" t="s">
        <v>35</v>
      </c>
      <c r="K555" t="str">
        <f t="shared" si="102"/>
        <v>Small Business</v>
      </c>
      <c r="L555" t="s">
        <v>61</v>
      </c>
      <c r="M555" t="str">
        <f t="shared" si="109"/>
        <v>West</v>
      </c>
      <c r="N555" t="s">
        <v>178</v>
      </c>
      <c r="O555" t="str">
        <f t="shared" si="103"/>
        <v>Gujarat</v>
      </c>
      <c r="P555" t="s">
        <v>179</v>
      </c>
      <c r="Q555" t="str">
        <f t="shared" si="104"/>
        <v>Ahmedabad</v>
      </c>
      <c r="R555" t="s">
        <v>26</v>
      </c>
      <c r="S555" t="str">
        <f t="shared" si="105"/>
        <v>Office Supplies</v>
      </c>
      <c r="T555" t="s">
        <v>122</v>
      </c>
      <c r="U555" t="str">
        <f t="shared" si="106"/>
        <v>Storage</v>
      </c>
      <c r="V555" t="s">
        <v>1784</v>
      </c>
      <c r="X555" t="s">
        <v>48</v>
      </c>
      <c r="Y555" t="str">
        <f t="shared" si="107"/>
        <v>First Class</v>
      </c>
      <c r="Z555">
        <v>9</v>
      </c>
      <c r="AA555">
        <v>1294.1099999999999</v>
      </c>
      <c r="AB555">
        <v>0.25</v>
      </c>
      <c r="AC555">
        <v>8735.24</v>
      </c>
      <c r="AD555">
        <v>6620.07</v>
      </c>
      <c r="AE555">
        <v>2115.17</v>
      </c>
      <c r="AF555" t="s">
        <v>30</v>
      </c>
      <c r="AG555" t="str">
        <f t="shared" si="108"/>
        <v>Paid</v>
      </c>
      <c r="AH555" t="s">
        <v>31</v>
      </c>
    </row>
    <row r="556" spans="1:34">
      <c r="A556" t="s">
        <v>1785</v>
      </c>
      <c r="B556">
        <f>COUNTIF($A:$A,A556)</f>
        <v>1</v>
      </c>
      <c r="C556" t="str">
        <f t="shared" si="99"/>
        <v>Unique</v>
      </c>
      <c r="D556" s="4">
        <v>45636</v>
      </c>
      <c r="E556">
        <f t="shared" si="100"/>
        <v>-54</v>
      </c>
      <c r="F556" s="4">
        <v>45582</v>
      </c>
      <c r="G556" t="s">
        <v>1786</v>
      </c>
      <c r="H556" t="s">
        <v>51</v>
      </c>
      <c r="I556" t="str">
        <f t="shared" si="101"/>
        <v>Arjun Bose</v>
      </c>
      <c r="J556" t="s">
        <v>22</v>
      </c>
      <c r="K556" t="str">
        <f t="shared" si="102"/>
        <v>Consumer</v>
      </c>
      <c r="M556" t="s">
        <v>2828</v>
      </c>
      <c r="N556" t="s">
        <v>227</v>
      </c>
      <c r="O556" t="str">
        <f t="shared" si="103"/>
        <v>Jharkhand</v>
      </c>
      <c r="P556" t="s">
        <v>228</v>
      </c>
      <c r="Q556" t="str">
        <f t="shared" si="104"/>
        <v>Ranchi</v>
      </c>
      <c r="R556" t="s">
        <v>39</v>
      </c>
      <c r="S556" t="str">
        <f t="shared" si="105"/>
        <v>Furniture</v>
      </c>
      <c r="T556" t="s">
        <v>55</v>
      </c>
      <c r="U556" t="str">
        <f t="shared" si="106"/>
        <v>Furnishings</v>
      </c>
      <c r="V556" t="s">
        <v>1787</v>
      </c>
      <c r="X556" t="s">
        <v>57</v>
      </c>
      <c r="Y556" t="str">
        <f t="shared" si="107"/>
        <v>Standard Class</v>
      </c>
      <c r="Z556">
        <v>4</v>
      </c>
      <c r="AA556">
        <v>1071.22</v>
      </c>
      <c r="AB556">
        <v>0.05</v>
      </c>
      <c r="AC556">
        <v>4070.64</v>
      </c>
      <c r="AD556">
        <v>2831.62</v>
      </c>
      <c r="AE556">
        <v>1239.02</v>
      </c>
      <c r="AF556" t="s">
        <v>30</v>
      </c>
      <c r="AG556" t="str">
        <f t="shared" si="108"/>
        <v>Paid</v>
      </c>
      <c r="AH556" t="s">
        <v>31</v>
      </c>
    </row>
    <row r="557" spans="1:34">
      <c r="A557" t="s">
        <v>1788</v>
      </c>
      <c r="B557">
        <f>COUNTIF($A:$A,A557)</f>
        <v>1</v>
      </c>
      <c r="C557" t="str">
        <f t="shared" si="99"/>
        <v>Unique</v>
      </c>
      <c r="D557" s="4">
        <v>45749</v>
      </c>
      <c r="E557">
        <f t="shared" si="100"/>
        <v>183</v>
      </c>
      <c r="F557" s="4">
        <v>45932</v>
      </c>
      <c r="G557" t="s">
        <v>1789</v>
      </c>
      <c r="H557" t="s">
        <v>60</v>
      </c>
      <c r="I557" t="str">
        <f t="shared" si="101"/>
        <v>Ananya Rao</v>
      </c>
      <c r="J557" t="s">
        <v>35</v>
      </c>
      <c r="K557" t="str">
        <f t="shared" si="102"/>
        <v>Small Business</v>
      </c>
      <c r="L557" t="s">
        <v>52</v>
      </c>
      <c r="M557" t="str">
        <f t="shared" ref="M557:M577" si="110">PROPER(TRIM(L557))</f>
        <v>South</v>
      </c>
      <c r="N557" t="s">
        <v>53</v>
      </c>
      <c r="O557" t="str">
        <f t="shared" si="103"/>
        <v>Telangana</v>
      </c>
      <c r="P557" t="s">
        <v>54</v>
      </c>
      <c r="Q557" t="str">
        <f t="shared" si="104"/>
        <v>Hyderabad</v>
      </c>
      <c r="R557" t="s">
        <v>26</v>
      </c>
      <c r="S557" t="str">
        <f t="shared" si="105"/>
        <v>Office Supplies</v>
      </c>
      <c r="T557" t="s">
        <v>122</v>
      </c>
      <c r="U557" t="str">
        <f t="shared" si="106"/>
        <v>Storage</v>
      </c>
      <c r="V557" t="s">
        <v>1790</v>
      </c>
      <c r="X557" t="s">
        <v>57</v>
      </c>
      <c r="Y557" t="str">
        <f t="shared" si="107"/>
        <v>Standard Class</v>
      </c>
      <c r="Z557">
        <v>6</v>
      </c>
      <c r="AA557">
        <v>1042.8</v>
      </c>
      <c r="AB557">
        <v>0.05</v>
      </c>
      <c r="AC557">
        <v>5943.96</v>
      </c>
      <c r="AD557">
        <v>3604.14</v>
      </c>
      <c r="AE557">
        <v>2339.8200000000002</v>
      </c>
      <c r="AF557" t="s">
        <v>30</v>
      </c>
      <c r="AG557" t="str">
        <f t="shared" si="108"/>
        <v>Paid</v>
      </c>
      <c r="AH557" t="s">
        <v>31</v>
      </c>
    </row>
    <row r="558" spans="1:34">
      <c r="A558" t="s">
        <v>1791</v>
      </c>
      <c r="B558">
        <f>COUNTIF($A:$A,A558)</f>
        <v>1</v>
      </c>
      <c r="C558" t="str">
        <f t="shared" si="99"/>
        <v>Unique</v>
      </c>
      <c r="D558" s="4">
        <v>45466</v>
      </c>
      <c r="E558">
        <f t="shared" si="100"/>
        <v>6</v>
      </c>
      <c r="F558" s="4">
        <v>45472</v>
      </c>
      <c r="G558" t="s">
        <v>1792</v>
      </c>
      <c r="H558" t="s">
        <v>77</v>
      </c>
      <c r="I558" t="str">
        <f t="shared" si="101"/>
        <v>Neha Gupta</v>
      </c>
      <c r="J558" t="s">
        <v>22</v>
      </c>
      <c r="K558" t="str">
        <f t="shared" si="102"/>
        <v>Consumer</v>
      </c>
      <c r="L558" t="s">
        <v>23</v>
      </c>
      <c r="M558" t="str">
        <f t="shared" si="110"/>
        <v>North</v>
      </c>
      <c r="N558" t="s">
        <v>235</v>
      </c>
      <c r="O558" t="str">
        <f t="shared" si="103"/>
        <v>Haryana</v>
      </c>
      <c r="P558" t="s">
        <v>236</v>
      </c>
      <c r="Q558" t="str">
        <f t="shared" si="104"/>
        <v>Gurugram</v>
      </c>
      <c r="R558" t="s">
        <v>39</v>
      </c>
      <c r="S558" t="str">
        <f t="shared" si="105"/>
        <v>Furniture</v>
      </c>
      <c r="T558" t="s">
        <v>40</v>
      </c>
      <c r="U558" t="str">
        <f t="shared" si="106"/>
        <v>Tables</v>
      </c>
      <c r="V558" t="s">
        <v>1793</v>
      </c>
      <c r="X558" t="s">
        <v>48</v>
      </c>
      <c r="Y558" t="str">
        <f t="shared" si="107"/>
        <v>First Class</v>
      </c>
      <c r="Z558">
        <v>1</v>
      </c>
      <c r="AA558">
        <v>4426.66</v>
      </c>
      <c r="AB558">
        <v>0</v>
      </c>
      <c r="AC558">
        <v>4426.66</v>
      </c>
      <c r="AD558">
        <v>3035.2</v>
      </c>
      <c r="AE558">
        <v>1816.23</v>
      </c>
      <c r="AF558" t="s">
        <v>30</v>
      </c>
      <c r="AG558" t="str">
        <f t="shared" si="108"/>
        <v>Paid</v>
      </c>
      <c r="AH558" t="s">
        <v>101</v>
      </c>
    </row>
    <row r="559" spans="1:34">
      <c r="A559" t="s">
        <v>1794</v>
      </c>
      <c r="B559">
        <f>COUNTIF($A:$A,A559)</f>
        <v>1</v>
      </c>
      <c r="C559" t="str">
        <f t="shared" si="99"/>
        <v>Unique</v>
      </c>
      <c r="D559" s="4">
        <v>45509</v>
      </c>
      <c r="E559">
        <f t="shared" si="100"/>
        <v>-83</v>
      </c>
      <c r="F559" s="4">
        <v>45426</v>
      </c>
      <c r="G559" t="s">
        <v>1795</v>
      </c>
      <c r="H559" t="s">
        <v>69</v>
      </c>
      <c r="I559" t="str">
        <f t="shared" si="101"/>
        <v>Vikram Iyer</v>
      </c>
      <c r="J559" t="s">
        <v>93</v>
      </c>
      <c r="K559" t="str">
        <f t="shared" si="102"/>
        <v>Home Office</v>
      </c>
      <c r="L559" t="s">
        <v>23</v>
      </c>
      <c r="M559" t="str">
        <f t="shared" si="110"/>
        <v>North</v>
      </c>
      <c r="N559" t="s">
        <v>235</v>
      </c>
      <c r="O559" t="str">
        <f t="shared" si="103"/>
        <v>Haryana</v>
      </c>
      <c r="P559" t="s">
        <v>236</v>
      </c>
      <c r="Q559" t="str">
        <f t="shared" si="104"/>
        <v>Gurugram</v>
      </c>
      <c r="R559" t="s">
        <v>72</v>
      </c>
      <c r="S559" t="str">
        <f t="shared" si="105"/>
        <v>Technology</v>
      </c>
      <c r="T559" t="s">
        <v>169</v>
      </c>
      <c r="U559" t="str">
        <f t="shared" si="106"/>
        <v>Phones</v>
      </c>
      <c r="V559" t="s">
        <v>1796</v>
      </c>
      <c r="X559" t="s">
        <v>48</v>
      </c>
      <c r="Y559" t="str">
        <f t="shared" si="107"/>
        <v>First Class</v>
      </c>
      <c r="Z559">
        <v>9</v>
      </c>
      <c r="AA559">
        <v>3769.46</v>
      </c>
      <c r="AB559">
        <v>0.05</v>
      </c>
      <c r="AC559">
        <v>32228.880000000001</v>
      </c>
      <c r="AD559">
        <v>24971.360000000001</v>
      </c>
      <c r="AE559">
        <v>7257.52</v>
      </c>
      <c r="AF559" t="s">
        <v>30</v>
      </c>
      <c r="AG559" t="str">
        <f t="shared" si="108"/>
        <v>Paid</v>
      </c>
      <c r="AH559" t="s">
        <v>66</v>
      </c>
    </row>
    <row r="560" spans="1:34">
      <c r="A560" t="s">
        <v>1797</v>
      </c>
      <c r="B560">
        <f>COUNTIF($A:$A,A560)</f>
        <v>1</v>
      </c>
      <c r="C560" t="str">
        <f t="shared" si="99"/>
        <v>Unique</v>
      </c>
      <c r="D560" s="4">
        <v>45756</v>
      </c>
      <c r="E560">
        <f t="shared" si="100"/>
        <v>148</v>
      </c>
      <c r="F560" s="4">
        <v>45904</v>
      </c>
      <c r="G560" t="s">
        <v>1798</v>
      </c>
      <c r="H560" t="s">
        <v>87</v>
      </c>
      <c r="I560" t="str">
        <f t="shared" si="101"/>
        <v>Aditi Sen</v>
      </c>
      <c r="J560" t="s">
        <v>88</v>
      </c>
      <c r="K560" t="str">
        <f t="shared" si="102"/>
        <v>Corporate</v>
      </c>
      <c r="L560" t="s">
        <v>23</v>
      </c>
      <c r="M560" t="str">
        <f t="shared" si="110"/>
        <v>North</v>
      </c>
      <c r="N560" t="s">
        <v>120</v>
      </c>
      <c r="O560" t="str">
        <f t="shared" si="103"/>
        <v>Punjab</v>
      </c>
      <c r="P560" t="s">
        <v>121</v>
      </c>
      <c r="Q560" t="str">
        <f t="shared" si="104"/>
        <v>Ludhiana</v>
      </c>
      <c r="R560" t="s">
        <v>72</v>
      </c>
      <c r="S560" t="str">
        <f t="shared" si="105"/>
        <v>Technology</v>
      </c>
      <c r="T560" t="s">
        <v>273</v>
      </c>
      <c r="U560" t="str">
        <f t="shared" si="106"/>
        <v>Machines</v>
      </c>
      <c r="V560" t="s">
        <v>1799</v>
      </c>
      <c r="X560" t="s">
        <v>48</v>
      </c>
      <c r="Y560" t="str">
        <f t="shared" si="107"/>
        <v>First Class</v>
      </c>
      <c r="Z560">
        <v>8</v>
      </c>
      <c r="AA560">
        <v>3079.95</v>
      </c>
      <c r="AB560">
        <v>0.2</v>
      </c>
      <c r="AC560">
        <v>19711.68</v>
      </c>
      <c r="AD560">
        <v>14461.8</v>
      </c>
      <c r="AE560">
        <v>5249.88</v>
      </c>
      <c r="AF560" t="s">
        <v>30</v>
      </c>
      <c r="AG560" t="str">
        <f t="shared" si="108"/>
        <v>Paid</v>
      </c>
      <c r="AH560" t="s">
        <v>31</v>
      </c>
    </row>
    <row r="561" spans="1:34">
      <c r="A561" t="s">
        <v>1800</v>
      </c>
      <c r="B561">
        <f>COUNTIF($A:$A,A561)</f>
        <v>1</v>
      </c>
      <c r="C561" t="str">
        <f t="shared" si="99"/>
        <v>Unique</v>
      </c>
      <c r="D561" s="4">
        <v>45930</v>
      </c>
      <c r="E561">
        <f t="shared" si="100"/>
        <v>-82</v>
      </c>
      <c r="F561" s="4">
        <v>45848</v>
      </c>
      <c r="G561" t="s">
        <v>1801</v>
      </c>
      <c r="H561" t="s">
        <v>160</v>
      </c>
      <c r="I561" t="str">
        <f t="shared" si="101"/>
        <v>Diya Patel</v>
      </c>
      <c r="J561" t="s">
        <v>88</v>
      </c>
      <c r="K561" t="str">
        <f t="shared" si="102"/>
        <v>Corporate</v>
      </c>
      <c r="L561" t="s">
        <v>36</v>
      </c>
      <c r="M561" t="str">
        <f t="shared" si="110"/>
        <v>East</v>
      </c>
      <c r="N561" t="s">
        <v>143</v>
      </c>
      <c r="O561" t="str">
        <f t="shared" si="103"/>
        <v>Bihar</v>
      </c>
      <c r="P561" t="s">
        <v>144</v>
      </c>
      <c r="Q561" t="str">
        <f t="shared" si="104"/>
        <v>Patna</v>
      </c>
      <c r="R561" t="s">
        <v>72</v>
      </c>
      <c r="S561" t="str">
        <f t="shared" si="105"/>
        <v>Technology</v>
      </c>
      <c r="T561" t="s">
        <v>78</v>
      </c>
      <c r="U561" t="str">
        <f t="shared" si="106"/>
        <v>Copiers</v>
      </c>
      <c r="V561" t="s">
        <v>1802</v>
      </c>
      <c r="X561" t="s">
        <v>29</v>
      </c>
      <c r="Y561" t="str">
        <f t="shared" si="107"/>
        <v>Second Class</v>
      </c>
      <c r="Z561">
        <v>5</v>
      </c>
      <c r="AA561">
        <v>3277.82</v>
      </c>
      <c r="AB561">
        <v>0.1</v>
      </c>
      <c r="AC561">
        <v>14750.19</v>
      </c>
      <c r="AD561">
        <v>9482.58</v>
      </c>
      <c r="AE561">
        <v>5267.61</v>
      </c>
      <c r="AF561" t="s">
        <v>30</v>
      </c>
      <c r="AG561" t="str">
        <f t="shared" si="108"/>
        <v>Paid</v>
      </c>
      <c r="AH561" t="s">
        <v>101</v>
      </c>
    </row>
    <row r="562" spans="1:34">
      <c r="A562" t="s">
        <v>1803</v>
      </c>
      <c r="B562">
        <f>COUNTIF($A:$A,A562)</f>
        <v>1</v>
      </c>
      <c r="C562" t="str">
        <f t="shared" si="99"/>
        <v>Unique</v>
      </c>
      <c r="D562" s="4">
        <v>45307</v>
      </c>
      <c r="E562">
        <f t="shared" si="100"/>
        <v>6</v>
      </c>
      <c r="F562" s="4">
        <v>45313</v>
      </c>
      <c r="G562" t="s">
        <v>1804</v>
      </c>
      <c r="H562" t="s">
        <v>51</v>
      </c>
      <c r="I562" t="str">
        <f t="shared" si="101"/>
        <v>Arjun Bose</v>
      </c>
      <c r="J562" t="s">
        <v>22</v>
      </c>
      <c r="K562" t="str">
        <f t="shared" si="102"/>
        <v>Consumer</v>
      </c>
      <c r="L562" t="s">
        <v>61</v>
      </c>
      <c r="M562" t="str">
        <f t="shared" si="110"/>
        <v>West</v>
      </c>
      <c r="N562" t="s">
        <v>188</v>
      </c>
      <c r="O562" t="str">
        <f t="shared" si="103"/>
        <v>Goa</v>
      </c>
      <c r="P562" t="s">
        <v>189</v>
      </c>
      <c r="Q562" t="str">
        <f t="shared" si="104"/>
        <v>Panaji</v>
      </c>
      <c r="R562" t="s">
        <v>26</v>
      </c>
      <c r="S562" t="str">
        <f t="shared" si="105"/>
        <v>Office Supplies</v>
      </c>
      <c r="T562" t="s">
        <v>122</v>
      </c>
      <c r="U562" t="str">
        <f t="shared" si="106"/>
        <v>Storage</v>
      </c>
      <c r="V562" t="s">
        <v>1805</v>
      </c>
      <c r="X562" t="s">
        <v>57</v>
      </c>
      <c r="Y562" t="str">
        <f t="shared" si="107"/>
        <v>Standard Class</v>
      </c>
      <c r="Z562">
        <v>4</v>
      </c>
      <c r="AA562">
        <v>282.52999999999997</v>
      </c>
      <c r="AB562">
        <v>0</v>
      </c>
      <c r="AC562">
        <v>1130.1199999999999</v>
      </c>
      <c r="AD562">
        <v>848.62</v>
      </c>
      <c r="AE562">
        <v>281.5</v>
      </c>
      <c r="AF562" t="s">
        <v>30</v>
      </c>
      <c r="AG562" t="str">
        <f t="shared" si="108"/>
        <v>Paid</v>
      </c>
      <c r="AH562" t="s">
        <v>66</v>
      </c>
    </row>
    <row r="563" spans="1:34">
      <c r="A563" t="s">
        <v>1806</v>
      </c>
      <c r="B563">
        <f>COUNTIF($A:$A,A563)</f>
        <v>1</v>
      </c>
      <c r="C563" t="str">
        <f t="shared" si="99"/>
        <v>Unique</v>
      </c>
      <c r="D563" s="4">
        <v>45852</v>
      </c>
      <c r="E563">
        <f t="shared" si="100"/>
        <v>4</v>
      </c>
      <c r="F563" s="4">
        <v>45856</v>
      </c>
      <c r="G563" t="s">
        <v>1807</v>
      </c>
      <c r="H563" t="s">
        <v>87</v>
      </c>
      <c r="I563" t="str">
        <f t="shared" si="101"/>
        <v>Aditi Sen</v>
      </c>
      <c r="J563" t="s">
        <v>22</v>
      </c>
      <c r="K563" t="str">
        <f t="shared" si="102"/>
        <v>Consumer</v>
      </c>
      <c r="L563" t="s">
        <v>23</v>
      </c>
      <c r="M563" t="str">
        <f t="shared" si="110"/>
        <v>North</v>
      </c>
      <c r="N563" t="s">
        <v>120</v>
      </c>
      <c r="O563" t="str">
        <f t="shared" si="103"/>
        <v>Punjab</v>
      </c>
      <c r="P563" t="s">
        <v>121</v>
      </c>
      <c r="Q563" t="str">
        <f t="shared" si="104"/>
        <v>Ludhiana</v>
      </c>
      <c r="R563" t="s">
        <v>72</v>
      </c>
      <c r="S563" t="str">
        <f t="shared" si="105"/>
        <v>Technology</v>
      </c>
      <c r="T563" t="s">
        <v>78</v>
      </c>
      <c r="U563" t="str">
        <f t="shared" si="106"/>
        <v>Copiers</v>
      </c>
      <c r="V563" t="s">
        <v>1808</v>
      </c>
      <c r="X563" t="s">
        <v>48</v>
      </c>
      <c r="Y563" t="str">
        <f t="shared" si="107"/>
        <v>First Class</v>
      </c>
      <c r="Z563">
        <v>4</v>
      </c>
      <c r="AA563">
        <v>725.22</v>
      </c>
      <c r="AB563">
        <v>0</v>
      </c>
      <c r="AC563">
        <v>2900.88</v>
      </c>
      <c r="AD563">
        <v>2391.85</v>
      </c>
      <c r="AE563">
        <v>509.03</v>
      </c>
      <c r="AF563" t="s">
        <v>109</v>
      </c>
      <c r="AG563" t="str">
        <f t="shared" si="108"/>
        <v>Pending</v>
      </c>
      <c r="AH563" t="s">
        <v>101</v>
      </c>
    </row>
    <row r="564" spans="1:34">
      <c r="A564" t="s">
        <v>1809</v>
      </c>
      <c r="B564">
        <f>COUNTIF($A:$A,A564)</f>
        <v>1</v>
      </c>
      <c r="C564" t="str">
        <f t="shared" si="99"/>
        <v>Unique</v>
      </c>
      <c r="D564" s="4">
        <v>45570</v>
      </c>
      <c r="E564">
        <f t="shared" si="100"/>
        <v>-142</v>
      </c>
      <c r="F564" s="4">
        <v>45428</v>
      </c>
      <c r="G564" t="s">
        <v>1810</v>
      </c>
      <c r="H564" t="s">
        <v>21</v>
      </c>
      <c r="I564" t="str">
        <f t="shared" si="101"/>
        <v>Karan Malhotra</v>
      </c>
      <c r="J564" t="s">
        <v>22</v>
      </c>
      <c r="K564" t="str">
        <f t="shared" si="102"/>
        <v>Consumer</v>
      </c>
      <c r="L564" t="s">
        <v>23</v>
      </c>
      <c r="M564" t="str">
        <f t="shared" si="110"/>
        <v>North</v>
      </c>
      <c r="N564" t="s">
        <v>120</v>
      </c>
      <c r="O564" t="str">
        <f t="shared" si="103"/>
        <v>Punjab</v>
      </c>
      <c r="P564" t="s">
        <v>121</v>
      </c>
      <c r="Q564" t="str">
        <f t="shared" si="104"/>
        <v>Ludhiana</v>
      </c>
      <c r="R564" t="s">
        <v>26</v>
      </c>
      <c r="S564" t="str">
        <f t="shared" si="105"/>
        <v>Office Supplies</v>
      </c>
      <c r="T564" t="s">
        <v>151</v>
      </c>
      <c r="U564" t="str">
        <f t="shared" si="106"/>
        <v>Binders</v>
      </c>
      <c r="V564" t="s">
        <v>1811</v>
      </c>
      <c r="X564" t="s">
        <v>42</v>
      </c>
      <c r="Y564" t="str">
        <f t="shared" si="107"/>
        <v>Same Day</v>
      </c>
      <c r="Z564">
        <v>7</v>
      </c>
      <c r="AA564">
        <v>121.54</v>
      </c>
      <c r="AB564">
        <v>0.2</v>
      </c>
      <c r="AC564">
        <v>680.62</v>
      </c>
      <c r="AD564">
        <v>463.49</v>
      </c>
      <c r="AE564">
        <v>217.13</v>
      </c>
      <c r="AF564" t="s">
        <v>153</v>
      </c>
      <c r="AG564" t="str">
        <f t="shared" si="108"/>
        <v>Failed</v>
      </c>
      <c r="AH564" t="s">
        <v>101</v>
      </c>
    </row>
    <row r="565" spans="1:34">
      <c r="A565" t="s">
        <v>1812</v>
      </c>
      <c r="B565">
        <f>COUNTIF($A:$A,A565)</f>
        <v>1</v>
      </c>
      <c r="C565" t="str">
        <f t="shared" si="99"/>
        <v>Unique</v>
      </c>
      <c r="D565" s="4">
        <v>45418</v>
      </c>
      <c r="E565">
        <f t="shared" si="100"/>
        <v>213</v>
      </c>
      <c r="F565" s="4">
        <v>45631</v>
      </c>
      <c r="G565" t="s">
        <v>1813</v>
      </c>
      <c r="H565" t="s">
        <v>51</v>
      </c>
      <c r="I565" t="str">
        <f t="shared" si="101"/>
        <v>Arjun Bose</v>
      </c>
      <c r="J565" t="s">
        <v>88</v>
      </c>
      <c r="K565" t="str">
        <f t="shared" si="102"/>
        <v>Corporate</v>
      </c>
      <c r="L565" t="s">
        <v>61</v>
      </c>
      <c r="M565" t="str">
        <f t="shared" si="110"/>
        <v>West</v>
      </c>
      <c r="N565" t="s">
        <v>188</v>
      </c>
      <c r="O565" t="str">
        <f t="shared" si="103"/>
        <v>Goa</v>
      </c>
      <c r="P565" t="s">
        <v>189</v>
      </c>
      <c r="Q565" t="str">
        <f t="shared" si="104"/>
        <v>Panaji</v>
      </c>
      <c r="R565" t="s">
        <v>39</v>
      </c>
      <c r="S565" t="str">
        <f t="shared" si="105"/>
        <v>Furniture</v>
      </c>
      <c r="T565" t="s">
        <v>40</v>
      </c>
      <c r="U565" t="str">
        <f t="shared" si="106"/>
        <v>Tables</v>
      </c>
      <c r="V565" t="s">
        <v>1814</v>
      </c>
      <c r="X565" t="s">
        <v>57</v>
      </c>
      <c r="Y565" t="str">
        <f t="shared" si="107"/>
        <v>Standard Class</v>
      </c>
      <c r="Z565">
        <v>9</v>
      </c>
      <c r="AA565">
        <v>790.97</v>
      </c>
      <c r="AB565">
        <v>0.2</v>
      </c>
      <c r="AC565">
        <v>5694.98</v>
      </c>
      <c r="AD565">
        <v>4618.33</v>
      </c>
      <c r="AE565">
        <v>1076.6500000000001</v>
      </c>
      <c r="AF565" t="s">
        <v>109</v>
      </c>
      <c r="AG565" t="str">
        <f t="shared" si="108"/>
        <v>Pending</v>
      </c>
      <c r="AH565" t="s">
        <v>66</v>
      </c>
    </row>
    <row r="566" spans="1:34">
      <c r="A566" t="s">
        <v>1815</v>
      </c>
      <c r="B566">
        <f>COUNTIF($A:$A,A566)</f>
        <v>1</v>
      </c>
      <c r="C566" t="str">
        <f t="shared" si="99"/>
        <v>Unique</v>
      </c>
      <c r="D566" s="4">
        <v>45606</v>
      </c>
      <c r="E566">
        <f t="shared" si="100"/>
        <v>4</v>
      </c>
      <c r="F566" s="4">
        <v>45610</v>
      </c>
      <c r="G566" t="s">
        <v>1816</v>
      </c>
      <c r="H566" t="s">
        <v>130</v>
      </c>
      <c r="I566" t="str">
        <f t="shared" si="101"/>
        <v>Sneha Kapoor</v>
      </c>
      <c r="J566" t="s">
        <v>88</v>
      </c>
      <c r="K566" t="str">
        <f t="shared" si="102"/>
        <v>Corporate</v>
      </c>
      <c r="L566" t="s">
        <v>52</v>
      </c>
      <c r="M566" t="str">
        <f t="shared" si="110"/>
        <v>South</v>
      </c>
      <c r="N566" t="s">
        <v>82</v>
      </c>
      <c r="O566" t="str">
        <f t="shared" si="103"/>
        <v>Andhra Pradesh</v>
      </c>
      <c r="P566" t="s">
        <v>83</v>
      </c>
      <c r="Q566" t="str">
        <f t="shared" si="104"/>
        <v>Vijayawada</v>
      </c>
      <c r="R566" t="s">
        <v>39</v>
      </c>
      <c r="S566" t="str">
        <f t="shared" si="105"/>
        <v>Furniture</v>
      </c>
      <c r="T566" t="s">
        <v>40</v>
      </c>
      <c r="U566" t="str">
        <f t="shared" si="106"/>
        <v>Tables</v>
      </c>
      <c r="V566" t="s">
        <v>1817</v>
      </c>
      <c r="X566" t="s">
        <v>48</v>
      </c>
      <c r="Y566" t="str">
        <f t="shared" si="107"/>
        <v>First Class</v>
      </c>
      <c r="Z566">
        <v>2</v>
      </c>
      <c r="AA566">
        <v>921.34</v>
      </c>
      <c r="AB566">
        <v>0.2</v>
      </c>
      <c r="AC566">
        <v>1474.14</v>
      </c>
      <c r="AD566">
        <v>968.46</v>
      </c>
      <c r="AE566">
        <v>505.68</v>
      </c>
      <c r="AF566" t="s">
        <v>30</v>
      </c>
      <c r="AG566" t="str">
        <f t="shared" si="108"/>
        <v>Paid</v>
      </c>
      <c r="AH566" t="s">
        <v>31</v>
      </c>
    </row>
    <row r="567" spans="1:34">
      <c r="A567" t="s">
        <v>1818</v>
      </c>
      <c r="B567">
        <f>COUNTIF($A:$A,A567)</f>
        <v>1</v>
      </c>
      <c r="C567" t="str">
        <f t="shared" si="99"/>
        <v>Unique</v>
      </c>
      <c r="D567" s="4">
        <v>45846</v>
      </c>
      <c r="E567">
        <f t="shared" si="100"/>
        <v>36</v>
      </c>
      <c r="F567" s="4">
        <v>45882</v>
      </c>
      <c r="G567" t="s">
        <v>1819</v>
      </c>
      <c r="H567" t="s">
        <v>34</v>
      </c>
      <c r="I567" t="str">
        <f t="shared" si="101"/>
        <v>Mira Das</v>
      </c>
      <c r="J567" t="s">
        <v>88</v>
      </c>
      <c r="K567" t="str">
        <f t="shared" si="102"/>
        <v>Corporate</v>
      </c>
      <c r="L567" t="s">
        <v>23</v>
      </c>
      <c r="M567" t="str">
        <f t="shared" si="110"/>
        <v>North</v>
      </c>
      <c r="N567" t="s">
        <v>349</v>
      </c>
      <c r="O567" t="str">
        <f t="shared" si="103"/>
        <v>Delhi</v>
      </c>
      <c r="P567" t="s">
        <v>350</v>
      </c>
      <c r="Q567" t="str">
        <f t="shared" si="104"/>
        <v>New Delhi</v>
      </c>
      <c r="R567" t="s">
        <v>72</v>
      </c>
      <c r="S567" t="str">
        <f t="shared" si="105"/>
        <v>Technology</v>
      </c>
      <c r="T567" t="s">
        <v>169</v>
      </c>
      <c r="U567" t="str">
        <f t="shared" si="106"/>
        <v>Phones</v>
      </c>
      <c r="V567" t="s">
        <v>1820</v>
      </c>
      <c r="X567" t="s">
        <v>57</v>
      </c>
      <c r="Y567" t="str">
        <f t="shared" si="107"/>
        <v>Standard Class</v>
      </c>
      <c r="Z567">
        <v>6</v>
      </c>
      <c r="AA567">
        <v>1921.86</v>
      </c>
      <c r="AB567">
        <v>0.2</v>
      </c>
      <c r="AC567">
        <v>9224.93</v>
      </c>
      <c r="AD567">
        <v>7005.2</v>
      </c>
      <c r="AE567">
        <v>2219.73</v>
      </c>
      <c r="AF567" t="s">
        <v>100</v>
      </c>
      <c r="AG567" t="str">
        <f t="shared" si="108"/>
        <v>Refunded</v>
      </c>
      <c r="AH567" t="s">
        <v>66</v>
      </c>
    </row>
    <row r="568" spans="1:34">
      <c r="A568" t="s">
        <v>1821</v>
      </c>
      <c r="B568">
        <f>COUNTIF($A:$A,A568)</f>
        <v>1</v>
      </c>
      <c r="C568" t="str">
        <f t="shared" si="99"/>
        <v>Unique</v>
      </c>
      <c r="D568" s="4">
        <v>45604</v>
      </c>
      <c r="E568">
        <f t="shared" si="100"/>
        <v>-81</v>
      </c>
      <c r="F568" s="4">
        <v>45523</v>
      </c>
      <c r="G568" t="s">
        <v>1822</v>
      </c>
      <c r="H568" t="s">
        <v>130</v>
      </c>
      <c r="I568" t="str">
        <f t="shared" si="101"/>
        <v>Sneha Kapoor</v>
      </c>
      <c r="J568" t="s">
        <v>35</v>
      </c>
      <c r="K568" t="str">
        <f t="shared" si="102"/>
        <v>Small Business</v>
      </c>
      <c r="L568" t="s">
        <v>61</v>
      </c>
      <c r="M568" t="str">
        <f t="shared" si="110"/>
        <v>West</v>
      </c>
      <c r="N568" t="s">
        <v>62</v>
      </c>
      <c r="O568" t="str">
        <f t="shared" si="103"/>
        <v>Maharashtra</v>
      </c>
      <c r="P568" t="s">
        <v>63</v>
      </c>
      <c r="Q568" t="str">
        <f t="shared" si="104"/>
        <v>Mumbai</v>
      </c>
      <c r="R568" t="s">
        <v>26</v>
      </c>
      <c r="S568" t="str">
        <f t="shared" si="105"/>
        <v>Office Supplies</v>
      </c>
      <c r="T568" t="s">
        <v>27</v>
      </c>
      <c r="U568" t="str">
        <f t="shared" si="106"/>
        <v>Paper</v>
      </c>
      <c r="V568" t="s">
        <v>1823</v>
      </c>
      <c r="X568" t="s">
        <v>42</v>
      </c>
      <c r="Y568" t="str">
        <f t="shared" si="107"/>
        <v>Same Day</v>
      </c>
      <c r="Z568">
        <v>2</v>
      </c>
      <c r="AA568">
        <v>2617.89</v>
      </c>
      <c r="AB568">
        <v>0.1</v>
      </c>
      <c r="AC568">
        <v>4712.2</v>
      </c>
      <c r="AD568">
        <v>3851.91</v>
      </c>
      <c r="AE568">
        <v>860.29</v>
      </c>
      <c r="AF568" t="s">
        <v>153</v>
      </c>
      <c r="AG568" t="str">
        <f t="shared" si="108"/>
        <v>Failed</v>
      </c>
      <c r="AH568" t="s">
        <v>101</v>
      </c>
    </row>
    <row r="569" spans="1:34">
      <c r="A569" t="s">
        <v>1824</v>
      </c>
      <c r="B569">
        <f>COUNTIF($A:$A,A569)</f>
        <v>1</v>
      </c>
      <c r="C569" t="str">
        <f t="shared" si="99"/>
        <v>Unique</v>
      </c>
      <c r="D569" s="4">
        <v>45445</v>
      </c>
      <c r="E569">
        <f t="shared" si="100"/>
        <v>122</v>
      </c>
      <c r="F569" s="4">
        <v>45567</v>
      </c>
      <c r="G569" t="s">
        <v>1825</v>
      </c>
      <c r="H569" t="s">
        <v>51</v>
      </c>
      <c r="I569" t="str">
        <f t="shared" si="101"/>
        <v>Arjun Bose</v>
      </c>
      <c r="J569" t="s">
        <v>93</v>
      </c>
      <c r="K569" t="str">
        <f t="shared" si="102"/>
        <v>Home Office</v>
      </c>
      <c r="L569" t="s">
        <v>23</v>
      </c>
      <c r="M569" t="str">
        <f t="shared" si="110"/>
        <v>North</v>
      </c>
      <c r="N569" t="s">
        <v>134</v>
      </c>
      <c r="O569" t="str">
        <f t="shared" si="103"/>
        <v>Uttar Pradesh</v>
      </c>
      <c r="P569" t="s">
        <v>135</v>
      </c>
      <c r="Q569" t="str">
        <f t="shared" si="104"/>
        <v>Noida</v>
      </c>
      <c r="R569" t="s">
        <v>39</v>
      </c>
      <c r="S569" t="str">
        <f t="shared" si="105"/>
        <v>Furniture</v>
      </c>
      <c r="T569" t="s">
        <v>55</v>
      </c>
      <c r="U569" t="str">
        <f t="shared" si="106"/>
        <v>Furnishings</v>
      </c>
      <c r="V569" t="s">
        <v>602</v>
      </c>
      <c r="X569" t="s">
        <v>42</v>
      </c>
      <c r="Y569" t="str">
        <f t="shared" si="107"/>
        <v>Same Day</v>
      </c>
      <c r="Z569">
        <v>1</v>
      </c>
      <c r="AA569">
        <v>1374.06</v>
      </c>
      <c r="AB569">
        <v>0.05</v>
      </c>
      <c r="AC569">
        <v>1305.3599999999999</v>
      </c>
      <c r="AD569">
        <v>731.89</v>
      </c>
      <c r="AE569">
        <v>573.47</v>
      </c>
      <c r="AF569" t="s">
        <v>30</v>
      </c>
      <c r="AG569" t="str">
        <f t="shared" si="108"/>
        <v>Paid</v>
      </c>
      <c r="AH569" t="s">
        <v>31</v>
      </c>
    </row>
    <row r="570" spans="1:34">
      <c r="A570" t="s">
        <v>1826</v>
      </c>
      <c r="B570">
        <f>COUNTIF($A:$A,A570)</f>
        <v>1</v>
      </c>
      <c r="C570" t="str">
        <f t="shared" si="99"/>
        <v>Unique</v>
      </c>
      <c r="D570" s="4">
        <v>45312</v>
      </c>
      <c r="E570">
        <f t="shared" si="100"/>
        <v>3</v>
      </c>
      <c r="F570" s="4">
        <v>45315</v>
      </c>
      <c r="G570" t="s">
        <v>1827</v>
      </c>
      <c r="H570" t="s">
        <v>263</v>
      </c>
      <c r="I570" t="str">
        <f t="shared" si="101"/>
        <v>Kabir Singh</v>
      </c>
      <c r="J570" t="s">
        <v>88</v>
      </c>
      <c r="K570" t="str">
        <f t="shared" si="102"/>
        <v>Corporate</v>
      </c>
      <c r="L570" t="s">
        <v>23</v>
      </c>
      <c r="M570" t="str">
        <f t="shared" si="110"/>
        <v>North</v>
      </c>
      <c r="N570" t="s">
        <v>120</v>
      </c>
      <c r="O570" t="str">
        <f t="shared" si="103"/>
        <v>Punjab</v>
      </c>
      <c r="P570" t="s">
        <v>121</v>
      </c>
      <c r="Q570" t="str">
        <f t="shared" si="104"/>
        <v>Ludhiana</v>
      </c>
      <c r="R570" t="s">
        <v>72</v>
      </c>
      <c r="S570" t="str">
        <f t="shared" si="105"/>
        <v>Technology</v>
      </c>
      <c r="T570" t="s">
        <v>273</v>
      </c>
      <c r="U570" t="str">
        <f t="shared" si="106"/>
        <v>Machines</v>
      </c>
      <c r="V570" t="s">
        <v>1828</v>
      </c>
      <c r="X570" t="s">
        <v>42</v>
      </c>
      <c r="Y570" t="str">
        <f t="shared" si="107"/>
        <v>Same Day</v>
      </c>
      <c r="Z570">
        <v>1</v>
      </c>
      <c r="AA570">
        <v>3806.3</v>
      </c>
      <c r="AB570">
        <v>0.25</v>
      </c>
      <c r="AC570">
        <v>2854.73</v>
      </c>
      <c r="AD570">
        <v>1968.12</v>
      </c>
      <c r="AE570">
        <v>886.61</v>
      </c>
      <c r="AF570" t="s">
        <v>30</v>
      </c>
      <c r="AG570" t="str">
        <f t="shared" si="108"/>
        <v>Paid</v>
      </c>
      <c r="AH570" t="s">
        <v>31</v>
      </c>
    </row>
    <row r="571" spans="1:34">
      <c r="A571" t="s">
        <v>1829</v>
      </c>
      <c r="B571">
        <f>COUNTIF($A:$A,A571)</f>
        <v>1</v>
      </c>
      <c r="C571" t="str">
        <f t="shared" si="99"/>
        <v>Unique</v>
      </c>
      <c r="D571" s="4">
        <v>45908</v>
      </c>
      <c r="E571">
        <f t="shared" si="100"/>
        <v>31</v>
      </c>
      <c r="F571" s="4">
        <v>45939</v>
      </c>
      <c r="G571" t="s">
        <v>1830</v>
      </c>
      <c r="H571" t="s">
        <v>116</v>
      </c>
      <c r="I571" t="str">
        <f t="shared" si="101"/>
        <v>Rahul Verma</v>
      </c>
      <c r="J571" t="s">
        <v>93</v>
      </c>
      <c r="K571" t="str">
        <f t="shared" si="102"/>
        <v>Home Office</v>
      </c>
      <c r="L571" t="s">
        <v>61</v>
      </c>
      <c r="M571" t="str">
        <f t="shared" si="110"/>
        <v>West</v>
      </c>
      <c r="N571" t="s">
        <v>62</v>
      </c>
      <c r="O571" t="str">
        <f t="shared" si="103"/>
        <v>Maharashtra</v>
      </c>
      <c r="P571" t="s">
        <v>63</v>
      </c>
      <c r="Q571" t="str">
        <f t="shared" si="104"/>
        <v>Mumbai</v>
      </c>
      <c r="R571" t="s">
        <v>39</v>
      </c>
      <c r="S571" t="str">
        <f t="shared" si="105"/>
        <v>Furniture</v>
      </c>
      <c r="T571" t="s">
        <v>55</v>
      </c>
      <c r="U571" t="str">
        <f t="shared" si="106"/>
        <v>Furnishings</v>
      </c>
      <c r="V571" t="s">
        <v>1831</v>
      </c>
      <c r="X571" t="s">
        <v>57</v>
      </c>
      <c r="Y571" t="str">
        <f t="shared" si="107"/>
        <v>Standard Class</v>
      </c>
      <c r="Z571">
        <v>6</v>
      </c>
      <c r="AA571">
        <v>3251.17</v>
      </c>
      <c r="AB571">
        <v>0.25</v>
      </c>
      <c r="AC571">
        <v>14630.26</v>
      </c>
      <c r="AD571">
        <v>11906.36</v>
      </c>
      <c r="AE571">
        <v>2723.9</v>
      </c>
      <c r="AF571" t="s">
        <v>100</v>
      </c>
      <c r="AG571" t="str">
        <f t="shared" si="108"/>
        <v>Refunded</v>
      </c>
      <c r="AH571" t="s">
        <v>101</v>
      </c>
    </row>
    <row r="572" spans="1:34">
      <c r="A572" t="s">
        <v>1832</v>
      </c>
      <c r="B572">
        <f>COUNTIF($A:$A,A572)</f>
        <v>1</v>
      </c>
      <c r="C572" t="str">
        <f t="shared" si="99"/>
        <v>Unique</v>
      </c>
      <c r="D572" s="4">
        <v>45887</v>
      </c>
      <c r="E572">
        <f t="shared" si="100"/>
        <v>4</v>
      </c>
      <c r="F572" s="4">
        <v>45891</v>
      </c>
      <c r="G572" t="s">
        <v>1833</v>
      </c>
      <c r="H572" t="s">
        <v>51</v>
      </c>
      <c r="I572" t="str">
        <f t="shared" si="101"/>
        <v>Arjun Bose</v>
      </c>
      <c r="J572" t="s">
        <v>22</v>
      </c>
      <c r="K572" t="str">
        <f t="shared" si="102"/>
        <v>Consumer</v>
      </c>
      <c r="L572" t="s">
        <v>36</v>
      </c>
      <c r="M572" t="str">
        <f t="shared" si="110"/>
        <v>East</v>
      </c>
      <c r="N572" t="s">
        <v>227</v>
      </c>
      <c r="O572" t="str">
        <f t="shared" si="103"/>
        <v>Jharkhand</v>
      </c>
      <c r="P572" t="s">
        <v>228</v>
      </c>
      <c r="Q572" t="str">
        <f t="shared" si="104"/>
        <v>Ranchi</v>
      </c>
      <c r="R572" t="s">
        <v>39</v>
      </c>
      <c r="S572" t="str">
        <f t="shared" si="105"/>
        <v>Furniture</v>
      </c>
      <c r="T572" t="s">
        <v>55</v>
      </c>
      <c r="U572" t="str">
        <f t="shared" si="106"/>
        <v>Furnishings</v>
      </c>
      <c r="V572" t="s">
        <v>1834</v>
      </c>
      <c r="X572" t="s">
        <v>29</v>
      </c>
      <c r="Y572" t="str">
        <f t="shared" si="107"/>
        <v>Second Class</v>
      </c>
      <c r="Z572">
        <v>3</v>
      </c>
      <c r="AA572">
        <v>3946.44</v>
      </c>
      <c r="AB572">
        <v>0.25</v>
      </c>
      <c r="AC572">
        <v>8879.49</v>
      </c>
      <c r="AD572">
        <v>6344.57</v>
      </c>
      <c r="AE572">
        <v>2534.92</v>
      </c>
      <c r="AF572" t="s">
        <v>153</v>
      </c>
      <c r="AG572" t="str">
        <f t="shared" si="108"/>
        <v>Failed</v>
      </c>
      <c r="AH572" t="s">
        <v>101</v>
      </c>
    </row>
    <row r="573" spans="1:34">
      <c r="A573" t="s">
        <v>1835</v>
      </c>
      <c r="B573">
        <f>COUNTIF($A:$A,A573)</f>
        <v>1</v>
      </c>
      <c r="C573" t="str">
        <f t="shared" si="99"/>
        <v>Unique</v>
      </c>
      <c r="D573" s="4">
        <v>45932</v>
      </c>
      <c r="E573">
        <f t="shared" si="100"/>
        <v>-230</v>
      </c>
      <c r="F573" s="4">
        <v>45702</v>
      </c>
      <c r="G573" t="s">
        <v>1836</v>
      </c>
      <c r="H573" t="s">
        <v>112</v>
      </c>
      <c r="I573" t="str">
        <f t="shared" si="101"/>
        <v>Priya Menon</v>
      </c>
      <c r="J573" t="s">
        <v>35</v>
      </c>
      <c r="K573" t="str">
        <f t="shared" si="102"/>
        <v>Small Business</v>
      </c>
      <c r="L573" t="s">
        <v>23</v>
      </c>
      <c r="M573" t="str">
        <f t="shared" si="110"/>
        <v>North</v>
      </c>
      <c r="N573" t="s">
        <v>134</v>
      </c>
      <c r="O573" t="str">
        <f t="shared" si="103"/>
        <v>Uttar Pradesh</v>
      </c>
      <c r="P573" t="s">
        <v>135</v>
      </c>
      <c r="Q573" t="str">
        <f t="shared" si="104"/>
        <v>Noida</v>
      </c>
      <c r="R573" t="s">
        <v>72</v>
      </c>
      <c r="S573" t="str">
        <f t="shared" si="105"/>
        <v>Technology</v>
      </c>
      <c r="T573" t="s">
        <v>169</v>
      </c>
      <c r="U573" t="str">
        <f t="shared" si="106"/>
        <v>Phones</v>
      </c>
      <c r="V573" t="s">
        <v>1837</v>
      </c>
      <c r="Y573" t="s">
        <v>2828</v>
      </c>
      <c r="Z573">
        <v>5</v>
      </c>
      <c r="AA573">
        <v>4276.29</v>
      </c>
      <c r="AB573">
        <v>0</v>
      </c>
      <c r="AC573">
        <v>21381.45</v>
      </c>
      <c r="AD573">
        <v>13240.21</v>
      </c>
      <c r="AE573">
        <v>8141.24</v>
      </c>
      <c r="AF573" t="s">
        <v>153</v>
      </c>
      <c r="AG573" t="str">
        <f t="shared" si="108"/>
        <v>Failed</v>
      </c>
      <c r="AH573" t="s">
        <v>101</v>
      </c>
    </row>
    <row r="574" spans="1:34">
      <c r="A574" t="s">
        <v>1838</v>
      </c>
      <c r="B574">
        <f>COUNTIF($A:$A,A574)</f>
        <v>1</v>
      </c>
      <c r="C574" t="str">
        <f t="shared" si="99"/>
        <v>Unique</v>
      </c>
      <c r="D574" s="4">
        <v>45293</v>
      </c>
      <c r="E574">
        <f t="shared" si="100"/>
        <v>243</v>
      </c>
      <c r="F574" s="4">
        <v>45536</v>
      </c>
      <c r="G574" t="s">
        <v>1839</v>
      </c>
      <c r="H574" t="s">
        <v>160</v>
      </c>
      <c r="I574" t="str">
        <f t="shared" si="101"/>
        <v>Diya Patel</v>
      </c>
      <c r="J574" t="s">
        <v>88</v>
      </c>
      <c r="K574" t="str">
        <f t="shared" si="102"/>
        <v>Corporate</v>
      </c>
      <c r="L574" t="s">
        <v>23</v>
      </c>
      <c r="M574" t="str">
        <f t="shared" si="110"/>
        <v>North</v>
      </c>
      <c r="N574" t="s">
        <v>349</v>
      </c>
      <c r="O574" t="str">
        <f t="shared" si="103"/>
        <v>Delhi</v>
      </c>
      <c r="P574" t="s">
        <v>350</v>
      </c>
      <c r="Q574" t="str">
        <f t="shared" si="104"/>
        <v>New Delhi</v>
      </c>
      <c r="R574" t="s">
        <v>72</v>
      </c>
      <c r="S574" t="str">
        <f t="shared" si="105"/>
        <v>Technology</v>
      </c>
      <c r="T574" t="s">
        <v>169</v>
      </c>
      <c r="U574" t="str">
        <f t="shared" si="106"/>
        <v>Phones</v>
      </c>
      <c r="V574" t="s">
        <v>1840</v>
      </c>
      <c r="X574" t="s">
        <v>57</v>
      </c>
      <c r="Y574" t="str">
        <f t="shared" si="107"/>
        <v>Standard Class</v>
      </c>
      <c r="Z574">
        <v>3</v>
      </c>
      <c r="AA574">
        <v>739.56</v>
      </c>
      <c r="AB574">
        <v>0.2</v>
      </c>
      <c r="AC574">
        <v>1774.94</v>
      </c>
      <c r="AD574">
        <v>1007.4</v>
      </c>
      <c r="AE574">
        <v>767.54</v>
      </c>
      <c r="AF574" t="s">
        <v>30</v>
      </c>
      <c r="AG574" t="str">
        <f t="shared" si="108"/>
        <v>Paid</v>
      </c>
      <c r="AH574" t="s">
        <v>31</v>
      </c>
    </row>
    <row r="575" spans="1:34">
      <c r="A575" t="s">
        <v>1841</v>
      </c>
      <c r="B575">
        <f>COUNTIF($A:$A,A575)</f>
        <v>1</v>
      </c>
      <c r="C575" t="str">
        <f t="shared" si="99"/>
        <v>Unique</v>
      </c>
      <c r="D575" s="4">
        <v>45922</v>
      </c>
      <c r="E575">
        <f t="shared" si="100"/>
        <v>4</v>
      </c>
      <c r="F575" s="4">
        <v>45926</v>
      </c>
      <c r="G575" t="s">
        <v>1842</v>
      </c>
      <c r="H575" t="s">
        <v>45</v>
      </c>
      <c r="I575" t="str">
        <f t="shared" si="101"/>
        <v>Isha Nair</v>
      </c>
      <c r="J575" t="s">
        <v>22</v>
      </c>
      <c r="K575" t="str">
        <f t="shared" si="102"/>
        <v>Consumer</v>
      </c>
      <c r="L575" t="s">
        <v>52</v>
      </c>
      <c r="M575" t="str">
        <f t="shared" si="110"/>
        <v>South</v>
      </c>
      <c r="N575" t="s">
        <v>82</v>
      </c>
      <c r="O575" t="str">
        <f t="shared" si="103"/>
        <v>Andhra Pradesh</v>
      </c>
      <c r="P575" t="s">
        <v>83</v>
      </c>
      <c r="Q575" t="str">
        <f t="shared" si="104"/>
        <v>Vijayawada</v>
      </c>
      <c r="R575" t="s">
        <v>72</v>
      </c>
      <c r="S575" t="str">
        <f t="shared" si="105"/>
        <v>Technology</v>
      </c>
      <c r="T575" t="s">
        <v>169</v>
      </c>
      <c r="U575" t="str">
        <f t="shared" si="106"/>
        <v>Phones</v>
      </c>
      <c r="V575" t="s">
        <v>1843</v>
      </c>
      <c r="X575" t="s">
        <v>57</v>
      </c>
      <c r="Y575" t="str">
        <f t="shared" si="107"/>
        <v>Standard Class</v>
      </c>
      <c r="Z575">
        <v>1</v>
      </c>
      <c r="AA575">
        <v>573.65</v>
      </c>
      <c r="AB575">
        <v>0</v>
      </c>
      <c r="AC575">
        <v>573.65</v>
      </c>
      <c r="AD575">
        <v>322.67</v>
      </c>
      <c r="AE575">
        <v>250.98</v>
      </c>
      <c r="AF575" t="s">
        <v>30</v>
      </c>
      <c r="AG575" t="str">
        <f t="shared" si="108"/>
        <v>Paid</v>
      </c>
      <c r="AH575" t="s">
        <v>31</v>
      </c>
    </row>
    <row r="576" spans="1:34">
      <c r="A576" t="s">
        <v>1844</v>
      </c>
      <c r="B576">
        <f>COUNTIF($A:$A,A576)</f>
        <v>1</v>
      </c>
      <c r="C576" t="str">
        <f t="shared" si="99"/>
        <v>Unique</v>
      </c>
      <c r="D576" s="4">
        <v>45342</v>
      </c>
      <c r="E576">
        <f t="shared" si="100"/>
        <v>5</v>
      </c>
      <c r="F576" s="4">
        <v>45347</v>
      </c>
      <c r="G576" t="s">
        <v>813</v>
      </c>
      <c r="H576" t="s">
        <v>160</v>
      </c>
      <c r="I576" t="str">
        <f t="shared" si="101"/>
        <v>Diya Patel</v>
      </c>
      <c r="J576" t="s">
        <v>93</v>
      </c>
      <c r="K576" t="str">
        <f t="shared" si="102"/>
        <v>Home Office</v>
      </c>
      <c r="L576" t="s">
        <v>23</v>
      </c>
      <c r="M576" t="str">
        <f t="shared" si="110"/>
        <v>North</v>
      </c>
      <c r="N576" t="s">
        <v>120</v>
      </c>
      <c r="O576" t="str">
        <f t="shared" si="103"/>
        <v>Punjab</v>
      </c>
      <c r="P576" t="s">
        <v>121</v>
      </c>
      <c r="Q576" t="str">
        <f t="shared" si="104"/>
        <v>Ludhiana</v>
      </c>
      <c r="R576" t="s">
        <v>72</v>
      </c>
      <c r="S576" t="str">
        <f t="shared" si="105"/>
        <v>Technology</v>
      </c>
      <c r="T576" t="s">
        <v>273</v>
      </c>
      <c r="U576" t="str">
        <f t="shared" si="106"/>
        <v>Machines</v>
      </c>
      <c r="V576" t="s">
        <v>1845</v>
      </c>
      <c r="X576" t="s">
        <v>57</v>
      </c>
      <c r="Y576" t="str">
        <f t="shared" si="107"/>
        <v>Standard Class</v>
      </c>
      <c r="Z576">
        <v>4</v>
      </c>
      <c r="AA576">
        <v>1355.8</v>
      </c>
      <c r="AB576">
        <v>0</v>
      </c>
      <c r="AC576">
        <v>5423.2</v>
      </c>
      <c r="AD576">
        <v>4072.44</v>
      </c>
      <c r="AE576">
        <v>1350.76</v>
      </c>
      <c r="AF576" t="s">
        <v>30</v>
      </c>
      <c r="AG576" t="str">
        <f t="shared" si="108"/>
        <v>Paid</v>
      </c>
      <c r="AH576" t="s">
        <v>31</v>
      </c>
    </row>
    <row r="577" spans="1:34">
      <c r="A577" t="s">
        <v>1846</v>
      </c>
      <c r="B577">
        <f>COUNTIF($A:$A,A577)</f>
        <v>1</v>
      </c>
      <c r="C577" t="str">
        <f t="shared" si="99"/>
        <v>Unique</v>
      </c>
      <c r="D577" s="4">
        <v>45964</v>
      </c>
      <c r="E577">
        <f t="shared" si="100"/>
        <v>-234</v>
      </c>
      <c r="F577" s="4">
        <v>45730</v>
      </c>
      <c r="G577" t="s">
        <v>1847</v>
      </c>
      <c r="H577" t="s">
        <v>130</v>
      </c>
      <c r="I577" t="str">
        <f t="shared" si="101"/>
        <v>Sneha Kapoor</v>
      </c>
      <c r="J577" t="s">
        <v>93</v>
      </c>
      <c r="K577" t="str">
        <f t="shared" si="102"/>
        <v>Home Office</v>
      </c>
      <c r="L577" t="s">
        <v>52</v>
      </c>
      <c r="M577" t="str">
        <f t="shared" si="110"/>
        <v>South</v>
      </c>
      <c r="N577" t="s">
        <v>183</v>
      </c>
      <c r="O577" t="str">
        <f t="shared" si="103"/>
        <v>Kerala</v>
      </c>
      <c r="P577" t="s">
        <v>184</v>
      </c>
      <c r="Q577" t="str">
        <f t="shared" si="104"/>
        <v>Kochi</v>
      </c>
      <c r="R577" t="s">
        <v>39</v>
      </c>
      <c r="S577" t="str">
        <f t="shared" si="105"/>
        <v>Furniture</v>
      </c>
      <c r="T577" t="s">
        <v>55</v>
      </c>
      <c r="U577" t="str">
        <f t="shared" si="106"/>
        <v>Furnishings</v>
      </c>
      <c r="V577" t="s">
        <v>1848</v>
      </c>
      <c r="X577" t="s">
        <v>42</v>
      </c>
      <c r="Y577" t="str">
        <f t="shared" si="107"/>
        <v>Same Day</v>
      </c>
      <c r="Z577">
        <v>4</v>
      </c>
      <c r="AA577">
        <v>1244.82</v>
      </c>
      <c r="AB577">
        <v>0.2</v>
      </c>
      <c r="AC577">
        <v>3983.42</v>
      </c>
      <c r="AD577">
        <v>3174.91</v>
      </c>
      <c r="AE577">
        <v>808.51</v>
      </c>
      <c r="AF577" t="s">
        <v>153</v>
      </c>
      <c r="AG577" t="str">
        <f t="shared" si="108"/>
        <v>Failed</v>
      </c>
      <c r="AH577" t="s">
        <v>101</v>
      </c>
    </row>
    <row r="578" spans="1:34">
      <c r="A578" t="s">
        <v>1849</v>
      </c>
      <c r="B578">
        <f>COUNTIF($A:$A,A578)</f>
        <v>1</v>
      </c>
      <c r="C578" t="str">
        <f t="shared" ref="C578:C641" si="111">IF(B578&gt;1,"Review Duplicate ID","Unique")</f>
        <v>Unique</v>
      </c>
      <c r="D578" s="4">
        <v>45339</v>
      </c>
      <c r="E578">
        <f t="shared" ref="E578:E641" si="112">F578-D578</f>
        <v>6</v>
      </c>
      <c r="F578" s="4">
        <v>45345</v>
      </c>
      <c r="G578" t="s">
        <v>1850</v>
      </c>
      <c r="H578" t="s">
        <v>139</v>
      </c>
      <c r="I578" t="str">
        <f t="shared" ref="I578:I641" si="113">PROPER(TRIM(H578))</f>
        <v>Rohan Mehta</v>
      </c>
      <c r="J578" t="s">
        <v>93</v>
      </c>
      <c r="K578" t="str">
        <f t="shared" ref="K578:K641" si="114">PROPER(TRIM(J578))</f>
        <v>Home Office</v>
      </c>
      <c r="M578" t="s">
        <v>2828</v>
      </c>
      <c r="N578" t="s">
        <v>143</v>
      </c>
      <c r="O578" t="str">
        <f t="shared" ref="O578:O641" si="115">PROPER(TRIM(N578))</f>
        <v>Bihar</v>
      </c>
      <c r="P578" t="s">
        <v>144</v>
      </c>
      <c r="Q578" t="str">
        <f t="shared" ref="Q578:Q641" si="116">PROPER(TRIM(P578))</f>
        <v>Patna</v>
      </c>
      <c r="R578" t="s">
        <v>26</v>
      </c>
      <c r="S578" t="str">
        <f t="shared" ref="S578:S641" si="117">PROPER(TRIM(R578))</f>
        <v>Office Supplies</v>
      </c>
      <c r="T578" t="s">
        <v>151</v>
      </c>
      <c r="U578" t="str">
        <f t="shared" ref="U578:U641" si="118">PROPER(TRIM(T578))</f>
        <v>Binders</v>
      </c>
      <c r="V578" t="s">
        <v>1851</v>
      </c>
      <c r="X578" t="s">
        <v>57</v>
      </c>
      <c r="Y578" t="str">
        <f t="shared" si="107"/>
        <v>Standard Class</v>
      </c>
      <c r="Z578">
        <v>9</v>
      </c>
      <c r="AA578">
        <v>2614.46</v>
      </c>
      <c r="AB578">
        <v>0</v>
      </c>
      <c r="AC578">
        <v>23530.14</v>
      </c>
      <c r="AD578">
        <v>19537.79</v>
      </c>
      <c r="AE578">
        <v>3992.35</v>
      </c>
      <c r="AF578" t="s">
        <v>100</v>
      </c>
      <c r="AG578" t="str">
        <f t="shared" si="108"/>
        <v>Refunded</v>
      </c>
      <c r="AH578" t="s">
        <v>101</v>
      </c>
    </row>
    <row r="579" spans="1:34">
      <c r="A579" t="s">
        <v>1852</v>
      </c>
      <c r="B579">
        <f>COUNTIF($A:$A,A579)</f>
        <v>1</v>
      </c>
      <c r="C579" t="str">
        <f t="shared" si="111"/>
        <v>Unique</v>
      </c>
      <c r="D579" s="4">
        <v>45897</v>
      </c>
      <c r="E579">
        <f t="shared" si="112"/>
        <v>-172</v>
      </c>
      <c r="F579" s="4">
        <v>45725</v>
      </c>
      <c r="G579" t="s">
        <v>1853</v>
      </c>
      <c r="H579" t="s">
        <v>112</v>
      </c>
      <c r="I579" t="str">
        <f t="shared" si="113"/>
        <v>Priya Menon</v>
      </c>
      <c r="J579" t="s">
        <v>88</v>
      </c>
      <c r="K579" t="str">
        <f t="shared" si="114"/>
        <v>Corporate</v>
      </c>
      <c r="L579" t="s">
        <v>61</v>
      </c>
      <c r="M579" t="str">
        <f t="shared" ref="M579:M613" si="119">PROPER(TRIM(L579))</f>
        <v>West</v>
      </c>
      <c r="N579" t="s">
        <v>70</v>
      </c>
      <c r="O579" t="str">
        <f t="shared" si="115"/>
        <v>Madhya Pradesh</v>
      </c>
      <c r="P579" t="s">
        <v>71</v>
      </c>
      <c r="Q579" t="str">
        <f t="shared" si="116"/>
        <v>Indore</v>
      </c>
      <c r="R579" t="s">
        <v>39</v>
      </c>
      <c r="S579" t="str">
        <f t="shared" si="117"/>
        <v>Furniture</v>
      </c>
      <c r="T579" t="s">
        <v>55</v>
      </c>
      <c r="U579" t="str">
        <f t="shared" si="118"/>
        <v>Furnishings</v>
      </c>
      <c r="V579" t="s">
        <v>1854</v>
      </c>
      <c r="X579" t="s">
        <v>57</v>
      </c>
      <c r="Y579" t="str">
        <f t="shared" ref="Y579:Y642" si="120">PROPER(TRIM(X579))</f>
        <v>Standard Class</v>
      </c>
      <c r="Z579">
        <v>7</v>
      </c>
      <c r="AA579">
        <v>268.45</v>
      </c>
      <c r="AB579">
        <v>0</v>
      </c>
      <c r="AC579">
        <v>1879.15</v>
      </c>
      <c r="AD579">
        <v>1134.9000000000001</v>
      </c>
      <c r="AE579">
        <v>744.25</v>
      </c>
      <c r="AF579" t="s">
        <v>30</v>
      </c>
      <c r="AG579" t="str">
        <f t="shared" ref="AG579:AG642" si="121">PROPER(TRIM(AF579))</f>
        <v>Paid</v>
      </c>
      <c r="AH579" t="s">
        <v>31</v>
      </c>
    </row>
    <row r="580" spans="1:34">
      <c r="A580" t="s">
        <v>1855</v>
      </c>
      <c r="B580">
        <f>COUNTIF($A:$A,A580)</f>
        <v>1</v>
      </c>
      <c r="C580" t="str">
        <f t="shared" si="111"/>
        <v>Unique</v>
      </c>
      <c r="D580" s="4">
        <v>45343</v>
      </c>
      <c r="E580">
        <f t="shared" si="112"/>
        <v>2</v>
      </c>
      <c r="F580" s="4">
        <v>45345</v>
      </c>
      <c r="G580" t="s">
        <v>294</v>
      </c>
      <c r="H580" t="s">
        <v>77</v>
      </c>
      <c r="I580" t="str">
        <f t="shared" si="113"/>
        <v>Neha Gupta</v>
      </c>
      <c r="J580" t="s">
        <v>35</v>
      </c>
      <c r="K580" t="str">
        <f t="shared" si="114"/>
        <v>Small Business</v>
      </c>
      <c r="L580" t="s">
        <v>61</v>
      </c>
      <c r="M580" t="str">
        <f t="shared" si="119"/>
        <v>West</v>
      </c>
      <c r="N580" t="s">
        <v>178</v>
      </c>
      <c r="O580" t="str">
        <f t="shared" si="115"/>
        <v>Gujarat</v>
      </c>
      <c r="P580" t="s">
        <v>179</v>
      </c>
      <c r="Q580" t="str">
        <f t="shared" si="116"/>
        <v>Ahmedabad</v>
      </c>
      <c r="R580" t="s">
        <v>72</v>
      </c>
      <c r="S580" t="str">
        <f t="shared" si="117"/>
        <v>Technology</v>
      </c>
      <c r="T580" t="s">
        <v>78</v>
      </c>
      <c r="U580" t="str">
        <f t="shared" si="118"/>
        <v>Copiers</v>
      </c>
      <c r="V580" t="s">
        <v>1856</v>
      </c>
      <c r="X580" t="s">
        <v>48</v>
      </c>
      <c r="Y580" t="str">
        <f t="shared" si="120"/>
        <v>First Class</v>
      </c>
      <c r="Z580">
        <v>6</v>
      </c>
      <c r="AA580">
        <v>2633.65</v>
      </c>
      <c r="AB580">
        <v>0.05</v>
      </c>
      <c r="AC580">
        <v>15011.81</v>
      </c>
      <c r="AD580">
        <v>9660.36</v>
      </c>
      <c r="AE580">
        <v>5351.45</v>
      </c>
      <c r="AF580" t="s">
        <v>30</v>
      </c>
      <c r="AG580" t="str">
        <f t="shared" si="121"/>
        <v>Paid</v>
      </c>
      <c r="AH580" t="s">
        <v>31</v>
      </c>
    </row>
    <row r="581" spans="1:34">
      <c r="A581" t="s">
        <v>1857</v>
      </c>
      <c r="B581">
        <f>COUNTIF($A:$A,A581)</f>
        <v>1</v>
      </c>
      <c r="C581" t="str">
        <f t="shared" si="111"/>
        <v>Unique</v>
      </c>
      <c r="D581" s="4">
        <v>45462</v>
      </c>
      <c r="E581">
        <f t="shared" si="112"/>
        <v>5</v>
      </c>
      <c r="F581" s="4">
        <v>45467</v>
      </c>
      <c r="G581" t="s">
        <v>1858</v>
      </c>
      <c r="H581" t="s">
        <v>126</v>
      </c>
      <c r="I581" t="str">
        <f t="shared" si="113"/>
        <v>Aarav Sharma</v>
      </c>
      <c r="J581" t="s">
        <v>35</v>
      </c>
      <c r="K581" t="str">
        <f t="shared" si="114"/>
        <v>Small Business</v>
      </c>
      <c r="L581" t="s">
        <v>52</v>
      </c>
      <c r="M581" t="str">
        <f t="shared" si="119"/>
        <v>South</v>
      </c>
      <c r="N581" t="s">
        <v>246</v>
      </c>
      <c r="O581" t="str">
        <f t="shared" si="115"/>
        <v>Tamil Nadu</v>
      </c>
      <c r="P581" t="s">
        <v>247</v>
      </c>
      <c r="Q581" t="str">
        <f t="shared" si="116"/>
        <v>Chennai</v>
      </c>
      <c r="R581" t="s">
        <v>26</v>
      </c>
      <c r="S581" t="str">
        <f t="shared" si="117"/>
        <v>Office Supplies</v>
      </c>
      <c r="T581" t="s">
        <v>122</v>
      </c>
      <c r="U581" t="str">
        <f t="shared" si="118"/>
        <v>Storage</v>
      </c>
      <c r="V581" t="s">
        <v>1859</v>
      </c>
      <c r="X581" t="s">
        <v>42</v>
      </c>
      <c r="Y581" t="str">
        <f t="shared" si="120"/>
        <v>Same Day</v>
      </c>
      <c r="Z581">
        <v>1</v>
      </c>
      <c r="AA581">
        <v>3202.41</v>
      </c>
      <c r="AB581">
        <v>0</v>
      </c>
      <c r="AC581">
        <v>3202.41</v>
      </c>
      <c r="AD581">
        <v>2608.44</v>
      </c>
      <c r="AE581">
        <v>593.97</v>
      </c>
      <c r="AF581" t="s">
        <v>30</v>
      </c>
      <c r="AG581" t="str">
        <f t="shared" si="121"/>
        <v>Paid</v>
      </c>
      <c r="AH581" t="s">
        <v>31</v>
      </c>
    </row>
    <row r="582" spans="1:34">
      <c r="A582" t="s">
        <v>1860</v>
      </c>
      <c r="B582">
        <f>COUNTIF($A:$A,A582)</f>
        <v>1</v>
      </c>
      <c r="C582" t="str">
        <f t="shared" si="111"/>
        <v>Unique</v>
      </c>
      <c r="D582" s="4">
        <v>45811</v>
      </c>
      <c r="E582">
        <f t="shared" si="112"/>
        <v>-82</v>
      </c>
      <c r="F582" s="4">
        <v>45729</v>
      </c>
      <c r="G582" t="s">
        <v>1861</v>
      </c>
      <c r="H582" t="s">
        <v>263</v>
      </c>
      <c r="I582" t="str">
        <f t="shared" si="113"/>
        <v>Kabir Singh</v>
      </c>
      <c r="J582" t="s">
        <v>22</v>
      </c>
      <c r="K582" t="str">
        <f t="shared" si="114"/>
        <v>Consumer</v>
      </c>
      <c r="L582" t="s">
        <v>52</v>
      </c>
      <c r="M582" t="str">
        <f t="shared" si="119"/>
        <v>South</v>
      </c>
      <c r="N582" t="s">
        <v>183</v>
      </c>
      <c r="O582" t="str">
        <f t="shared" si="115"/>
        <v>Kerala</v>
      </c>
      <c r="P582" t="s">
        <v>184</v>
      </c>
      <c r="Q582" t="str">
        <f t="shared" si="116"/>
        <v>Kochi</v>
      </c>
      <c r="R582" t="s">
        <v>39</v>
      </c>
      <c r="S582" t="str">
        <f t="shared" si="117"/>
        <v>Furniture</v>
      </c>
      <c r="T582" t="s">
        <v>64</v>
      </c>
      <c r="U582" t="str">
        <f t="shared" si="118"/>
        <v>Chairs</v>
      </c>
      <c r="V582" t="s">
        <v>1862</v>
      </c>
      <c r="X582" t="s">
        <v>57</v>
      </c>
      <c r="Y582" t="str">
        <f t="shared" si="120"/>
        <v>Standard Class</v>
      </c>
      <c r="Z582">
        <v>3</v>
      </c>
      <c r="AA582">
        <v>163.72</v>
      </c>
      <c r="AB582">
        <v>0.15</v>
      </c>
      <c r="AC582">
        <v>417.49</v>
      </c>
      <c r="AD582">
        <v>261.67</v>
      </c>
      <c r="AE582">
        <v>155.82</v>
      </c>
      <c r="AF582" t="s">
        <v>153</v>
      </c>
      <c r="AG582" t="str">
        <f t="shared" si="121"/>
        <v>Failed</v>
      </c>
      <c r="AH582" t="s">
        <v>101</v>
      </c>
    </row>
    <row r="583" spans="1:34">
      <c r="A583" t="s">
        <v>1863</v>
      </c>
      <c r="B583">
        <f>COUNTIF($A:$A,A583)</f>
        <v>1</v>
      </c>
      <c r="C583" t="str">
        <f t="shared" si="111"/>
        <v>Unique</v>
      </c>
      <c r="D583" s="4">
        <v>45908</v>
      </c>
      <c r="E583">
        <f t="shared" si="112"/>
        <v>-29</v>
      </c>
      <c r="F583" s="4">
        <v>45879</v>
      </c>
      <c r="G583" t="s">
        <v>1864</v>
      </c>
      <c r="H583" t="s">
        <v>77</v>
      </c>
      <c r="I583" t="str">
        <f t="shared" si="113"/>
        <v>Neha Gupta</v>
      </c>
      <c r="J583" t="s">
        <v>22</v>
      </c>
      <c r="K583" t="str">
        <f t="shared" si="114"/>
        <v>Consumer</v>
      </c>
      <c r="L583" t="s">
        <v>23</v>
      </c>
      <c r="M583" t="str">
        <f t="shared" si="119"/>
        <v>North</v>
      </c>
      <c r="N583" t="s">
        <v>349</v>
      </c>
      <c r="O583" t="str">
        <f t="shared" si="115"/>
        <v>Delhi</v>
      </c>
      <c r="P583" t="s">
        <v>350</v>
      </c>
      <c r="Q583" t="str">
        <f t="shared" si="116"/>
        <v>New Delhi</v>
      </c>
      <c r="R583" t="s">
        <v>26</v>
      </c>
      <c r="S583" t="str">
        <f t="shared" si="117"/>
        <v>Office Supplies</v>
      </c>
      <c r="T583" t="s">
        <v>46</v>
      </c>
      <c r="U583" t="str">
        <f t="shared" si="118"/>
        <v>Art</v>
      </c>
      <c r="V583" t="s">
        <v>1865</v>
      </c>
      <c r="X583" t="s">
        <v>29</v>
      </c>
      <c r="Y583" t="str">
        <f t="shared" si="120"/>
        <v>Second Class</v>
      </c>
      <c r="Z583">
        <v>4</v>
      </c>
      <c r="AA583">
        <v>4080.95</v>
      </c>
      <c r="AB583">
        <v>0</v>
      </c>
      <c r="AC583">
        <v>16323.8</v>
      </c>
      <c r="AD583">
        <v>9965.7900000000009</v>
      </c>
      <c r="AE583">
        <v>6358.01</v>
      </c>
      <c r="AF583" t="s">
        <v>100</v>
      </c>
      <c r="AG583" t="str">
        <f t="shared" si="121"/>
        <v>Refunded</v>
      </c>
      <c r="AH583" t="s">
        <v>101</v>
      </c>
    </row>
    <row r="584" spans="1:34">
      <c r="A584" t="s">
        <v>1866</v>
      </c>
      <c r="B584">
        <f>COUNTIF($A:$A,A584)</f>
        <v>1</v>
      </c>
      <c r="C584" t="str">
        <f t="shared" si="111"/>
        <v>Unique</v>
      </c>
      <c r="D584" s="4">
        <v>45580</v>
      </c>
      <c r="E584">
        <f t="shared" si="112"/>
        <v>5</v>
      </c>
      <c r="F584" s="4">
        <v>45585</v>
      </c>
      <c r="G584" t="s">
        <v>1867</v>
      </c>
      <c r="H584" t="s">
        <v>60</v>
      </c>
      <c r="I584" t="str">
        <f t="shared" si="113"/>
        <v>Ananya Rao</v>
      </c>
      <c r="J584" t="s">
        <v>22</v>
      </c>
      <c r="K584" t="str">
        <f t="shared" si="114"/>
        <v>Consumer</v>
      </c>
      <c r="L584" t="s">
        <v>36</v>
      </c>
      <c r="M584" t="str">
        <f t="shared" si="119"/>
        <v>East</v>
      </c>
      <c r="N584" t="s">
        <v>37</v>
      </c>
      <c r="O584" t="str">
        <f t="shared" si="115"/>
        <v>Odisha</v>
      </c>
      <c r="P584" t="s">
        <v>38</v>
      </c>
      <c r="Q584" t="str">
        <f t="shared" si="116"/>
        <v>Bhubaneswar</v>
      </c>
      <c r="R584" t="s">
        <v>26</v>
      </c>
      <c r="S584" t="str">
        <f t="shared" si="117"/>
        <v>Office Supplies</v>
      </c>
      <c r="T584" t="s">
        <v>46</v>
      </c>
      <c r="U584" t="str">
        <f t="shared" si="118"/>
        <v>Art</v>
      </c>
      <c r="V584" t="s">
        <v>1868</v>
      </c>
      <c r="X584" t="s">
        <v>48</v>
      </c>
      <c r="Y584" t="str">
        <f t="shared" si="120"/>
        <v>First Class</v>
      </c>
      <c r="Z584">
        <v>5</v>
      </c>
      <c r="AA584">
        <v>671.24</v>
      </c>
      <c r="AB584">
        <v>0</v>
      </c>
      <c r="AC584">
        <v>3356.2</v>
      </c>
      <c r="AD584">
        <v>2205.7199999999998</v>
      </c>
      <c r="AE584">
        <v>1150.48</v>
      </c>
      <c r="AF584" t="s">
        <v>109</v>
      </c>
      <c r="AG584" t="str">
        <f t="shared" si="121"/>
        <v>Pending</v>
      </c>
      <c r="AH584" t="s">
        <v>101</v>
      </c>
    </row>
    <row r="585" spans="1:34">
      <c r="A585" t="s">
        <v>1869</v>
      </c>
      <c r="B585">
        <f>COUNTIF($A:$A,A585)</f>
        <v>1</v>
      </c>
      <c r="C585" t="str">
        <f t="shared" si="111"/>
        <v>Unique</v>
      </c>
      <c r="D585" s="4">
        <v>45350</v>
      </c>
      <c r="E585">
        <f t="shared" si="112"/>
        <v>0</v>
      </c>
      <c r="F585" s="4">
        <v>45350</v>
      </c>
      <c r="G585" t="s">
        <v>1870</v>
      </c>
      <c r="H585" t="s">
        <v>139</v>
      </c>
      <c r="I585" t="str">
        <f t="shared" si="113"/>
        <v>Rohan Mehta</v>
      </c>
      <c r="J585" t="s">
        <v>35</v>
      </c>
      <c r="K585" t="str">
        <f t="shared" si="114"/>
        <v>Small Business</v>
      </c>
      <c r="L585" t="s">
        <v>36</v>
      </c>
      <c r="M585" t="str">
        <f t="shared" si="119"/>
        <v>East</v>
      </c>
      <c r="N585" t="s">
        <v>97</v>
      </c>
      <c r="O585" t="str">
        <f t="shared" si="115"/>
        <v>West Bengal</v>
      </c>
      <c r="P585" t="s">
        <v>98</v>
      </c>
      <c r="Q585" t="str">
        <f t="shared" si="116"/>
        <v>Kolkata</v>
      </c>
      <c r="R585" t="s">
        <v>26</v>
      </c>
      <c r="S585" t="str">
        <f t="shared" si="117"/>
        <v>Office Supplies</v>
      </c>
      <c r="T585" t="s">
        <v>122</v>
      </c>
      <c r="U585" t="str">
        <f t="shared" si="118"/>
        <v>Storage</v>
      </c>
      <c r="V585" t="s">
        <v>1871</v>
      </c>
      <c r="X585" t="s">
        <v>48</v>
      </c>
      <c r="Y585" t="str">
        <f t="shared" si="120"/>
        <v>First Class</v>
      </c>
      <c r="Z585">
        <v>1</v>
      </c>
      <c r="AA585">
        <v>2626.84</v>
      </c>
      <c r="AB585">
        <v>0.2</v>
      </c>
      <c r="AC585">
        <v>2101.4699999999998</v>
      </c>
      <c r="AD585">
        <v>1217.83</v>
      </c>
      <c r="AE585">
        <v>883.64</v>
      </c>
      <c r="AF585" t="s">
        <v>153</v>
      </c>
      <c r="AG585" t="str">
        <f t="shared" si="121"/>
        <v>Failed</v>
      </c>
      <c r="AH585" t="s">
        <v>101</v>
      </c>
    </row>
    <row r="586" spans="1:34">
      <c r="A586" t="s">
        <v>1872</v>
      </c>
      <c r="B586">
        <f>COUNTIF($A:$A,A586)</f>
        <v>1</v>
      </c>
      <c r="C586" t="str">
        <f t="shared" si="111"/>
        <v>Unique</v>
      </c>
      <c r="D586" s="4">
        <v>45508</v>
      </c>
      <c r="E586">
        <f t="shared" si="112"/>
        <v>65</v>
      </c>
      <c r="F586" s="4">
        <v>45573</v>
      </c>
      <c r="G586" t="s">
        <v>1873</v>
      </c>
      <c r="H586" t="s">
        <v>69</v>
      </c>
      <c r="I586" t="str">
        <f t="shared" si="113"/>
        <v>Vikram Iyer</v>
      </c>
      <c r="J586" t="s">
        <v>22</v>
      </c>
      <c r="K586" t="str">
        <f t="shared" si="114"/>
        <v>Consumer</v>
      </c>
      <c r="L586" t="s">
        <v>36</v>
      </c>
      <c r="M586" t="str">
        <f t="shared" si="119"/>
        <v>East</v>
      </c>
      <c r="N586" t="s">
        <v>143</v>
      </c>
      <c r="O586" t="str">
        <f t="shared" si="115"/>
        <v>Bihar</v>
      </c>
      <c r="P586" t="s">
        <v>144</v>
      </c>
      <c r="Q586" t="str">
        <f t="shared" si="116"/>
        <v>Patna</v>
      </c>
      <c r="R586" t="s">
        <v>26</v>
      </c>
      <c r="S586" t="str">
        <f t="shared" si="117"/>
        <v>Office Supplies</v>
      </c>
      <c r="T586" t="s">
        <v>46</v>
      </c>
      <c r="U586" t="str">
        <f t="shared" si="118"/>
        <v>Art</v>
      </c>
      <c r="V586" t="s">
        <v>1874</v>
      </c>
      <c r="X586" t="s">
        <v>42</v>
      </c>
      <c r="Y586" t="str">
        <f t="shared" si="120"/>
        <v>Same Day</v>
      </c>
      <c r="Z586">
        <v>1</v>
      </c>
      <c r="AA586">
        <v>984.93</v>
      </c>
      <c r="AB586">
        <v>0.15</v>
      </c>
      <c r="AC586">
        <v>837.19</v>
      </c>
      <c r="AD586">
        <v>583.79</v>
      </c>
      <c r="AE586">
        <v>253.4</v>
      </c>
      <c r="AF586" t="s">
        <v>109</v>
      </c>
      <c r="AG586" t="str">
        <f t="shared" si="121"/>
        <v>Pending</v>
      </c>
      <c r="AH586" t="s">
        <v>101</v>
      </c>
    </row>
    <row r="587" spans="1:34">
      <c r="A587" t="s">
        <v>1875</v>
      </c>
      <c r="B587">
        <f>COUNTIF($A:$A,A587)</f>
        <v>1</v>
      </c>
      <c r="C587" t="str">
        <f t="shared" si="111"/>
        <v>Unique</v>
      </c>
      <c r="D587" s="4">
        <v>45830</v>
      </c>
      <c r="E587">
        <f t="shared" si="112"/>
        <v>3</v>
      </c>
      <c r="F587" s="4">
        <v>45833</v>
      </c>
      <c r="G587" t="s">
        <v>1876</v>
      </c>
      <c r="H587" t="s">
        <v>160</v>
      </c>
      <c r="I587" t="str">
        <f t="shared" si="113"/>
        <v>Diya Patel</v>
      </c>
      <c r="J587" t="s">
        <v>35</v>
      </c>
      <c r="K587" t="str">
        <f t="shared" si="114"/>
        <v>Small Business</v>
      </c>
      <c r="L587" t="s">
        <v>700</v>
      </c>
      <c r="M587" t="str">
        <f t="shared" si="119"/>
        <v>West</v>
      </c>
      <c r="N587" t="s">
        <v>62</v>
      </c>
      <c r="O587" t="str">
        <f t="shared" si="115"/>
        <v>Maharashtra</v>
      </c>
      <c r="P587" t="s">
        <v>63</v>
      </c>
      <c r="Q587" t="str">
        <f t="shared" si="116"/>
        <v>Mumbai</v>
      </c>
      <c r="R587" t="s">
        <v>72</v>
      </c>
      <c r="S587" t="str">
        <f t="shared" si="117"/>
        <v>Technology</v>
      </c>
      <c r="T587" t="s">
        <v>169</v>
      </c>
      <c r="U587" t="str">
        <f t="shared" si="118"/>
        <v>Phones</v>
      </c>
      <c r="V587" t="s">
        <v>1877</v>
      </c>
      <c r="X587" t="s">
        <v>48</v>
      </c>
      <c r="Y587" t="str">
        <f t="shared" si="120"/>
        <v>First Class</v>
      </c>
      <c r="Z587">
        <v>8</v>
      </c>
      <c r="AA587">
        <v>3453.66</v>
      </c>
      <c r="AB587">
        <v>0</v>
      </c>
      <c r="AC587">
        <v>27629.279999999999</v>
      </c>
      <c r="AD587">
        <v>22026.48</v>
      </c>
      <c r="AE587">
        <v>5602.8</v>
      </c>
      <c r="AF587" t="s">
        <v>30</v>
      </c>
      <c r="AG587" t="str">
        <f t="shared" si="121"/>
        <v>Paid</v>
      </c>
      <c r="AH587" t="s">
        <v>31</v>
      </c>
    </row>
    <row r="588" spans="1:34">
      <c r="A588" t="s">
        <v>1878</v>
      </c>
      <c r="B588">
        <f>COUNTIF($A:$A,A588)</f>
        <v>1</v>
      </c>
      <c r="C588" t="str">
        <f t="shared" si="111"/>
        <v>Unique</v>
      </c>
      <c r="D588" s="4">
        <v>45995</v>
      </c>
      <c r="E588">
        <f t="shared" si="112"/>
        <v>0</v>
      </c>
      <c r="F588" s="4">
        <v>45995</v>
      </c>
      <c r="G588" t="s">
        <v>1879</v>
      </c>
      <c r="H588" t="s">
        <v>34</v>
      </c>
      <c r="I588" t="str">
        <f t="shared" si="113"/>
        <v>Mira Das</v>
      </c>
      <c r="J588" t="s">
        <v>93</v>
      </c>
      <c r="K588" t="str">
        <f t="shared" si="114"/>
        <v>Home Office</v>
      </c>
      <c r="L588" t="s">
        <v>23</v>
      </c>
      <c r="M588" t="str">
        <f t="shared" si="119"/>
        <v>North</v>
      </c>
      <c r="N588" t="s">
        <v>120</v>
      </c>
      <c r="O588" t="str">
        <f t="shared" si="115"/>
        <v>Punjab</v>
      </c>
      <c r="P588" t="s">
        <v>121</v>
      </c>
      <c r="Q588" t="str">
        <f t="shared" si="116"/>
        <v>Ludhiana</v>
      </c>
      <c r="R588" t="s">
        <v>26</v>
      </c>
      <c r="S588" t="str">
        <f t="shared" si="117"/>
        <v>Office Supplies</v>
      </c>
      <c r="T588" t="s">
        <v>151</v>
      </c>
      <c r="U588" t="str">
        <f t="shared" si="118"/>
        <v>Binders</v>
      </c>
      <c r="V588" t="s">
        <v>1880</v>
      </c>
      <c r="X588" t="s">
        <v>29</v>
      </c>
      <c r="Y588" t="str">
        <f t="shared" si="120"/>
        <v>Second Class</v>
      </c>
      <c r="Z588">
        <v>7</v>
      </c>
      <c r="AA588">
        <v>1334.2</v>
      </c>
      <c r="AB588">
        <v>0.2</v>
      </c>
      <c r="AC588">
        <v>7471.52</v>
      </c>
      <c r="AD588">
        <v>6184.32</v>
      </c>
      <c r="AE588">
        <v>1287.2</v>
      </c>
      <c r="AF588" t="s">
        <v>30</v>
      </c>
      <c r="AG588" t="str">
        <f t="shared" si="121"/>
        <v>Paid</v>
      </c>
      <c r="AH588" t="s">
        <v>31</v>
      </c>
    </row>
    <row r="589" spans="1:34">
      <c r="A589" t="s">
        <v>1881</v>
      </c>
      <c r="B589">
        <f>COUNTIF($A:$A,A589)</f>
        <v>1</v>
      </c>
      <c r="C589" t="str">
        <f t="shared" si="111"/>
        <v>Unique</v>
      </c>
      <c r="D589" s="4">
        <v>45861</v>
      </c>
      <c r="E589">
        <f t="shared" si="112"/>
        <v>8</v>
      </c>
      <c r="F589" s="4">
        <v>45869</v>
      </c>
      <c r="G589" t="s">
        <v>1882</v>
      </c>
      <c r="H589" t="s">
        <v>263</v>
      </c>
      <c r="I589" t="str">
        <f t="shared" si="113"/>
        <v>Kabir Singh</v>
      </c>
      <c r="J589" t="s">
        <v>93</v>
      </c>
      <c r="K589" t="str">
        <f t="shared" si="114"/>
        <v>Home Office</v>
      </c>
      <c r="L589" t="s">
        <v>61</v>
      </c>
      <c r="M589" t="str">
        <f t="shared" si="119"/>
        <v>West</v>
      </c>
      <c r="N589" t="s">
        <v>70</v>
      </c>
      <c r="O589" t="str">
        <f t="shared" si="115"/>
        <v>Madhya Pradesh</v>
      </c>
      <c r="P589" t="s">
        <v>71</v>
      </c>
      <c r="Q589" t="str">
        <f t="shared" si="116"/>
        <v>Indore</v>
      </c>
      <c r="R589" t="s">
        <v>72</v>
      </c>
      <c r="S589" t="str">
        <f t="shared" si="117"/>
        <v>Technology</v>
      </c>
      <c r="T589" t="s">
        <v>73</v>
      </c>
      <c r="U589" t="str">
        <f t="shared" si="118"/>
        <v>Accessories</v>
      </c>
      <c r="V589" t="s">
        <v>1883</v>
      </c>
      <c r="X589" t="s">
        <v>48</v>
      </c>
      <c r="Y589" t="str">
        <f t="shared" si="120"/>
        <v>First Class</v>
      </c>
      <c r="Z589">
        <v>1</v>
      </c>
      <c r="AA589">
        <v>4253.84</v>
      </c>
      <c r="AB589">
        <v>0.15</v>
      </c>
      <c r="AC589">
        <v>3615.76</v>
      </c>
      <c r="AD589">
        <v>2951.52</v>
      </c>
      <c r="AE589">
        <v>664.24</v>
      </c>
      <c r="AF589" t="s">
        <v>100</v>
      </c>
      <c r="AG589" t="str">
        <f t="shared" si="121"/>
        <v>Refunded</v>
      </c>
      <c r="AH589" t="s">
        <v>66</v>
      </c>
    </row>
    <row r="590" spans="1:34">
      <c r="A590" t="s">
        <v>1884</v>
      </c>
      <c r="B590">
        <f>COUNTIF($A:$A,A590)</f>
        <v>1</v>
      </c>
      <c r="C590" t="str">
        <f t="shared" si="111"/>
        <v>Unique</v>
      </c>
      <c r="D590" s="4">
        <v>45964</v>
      </c>
      <c r="E590">
        <f t="shared" si="112"/>
        <v>-233</v>
      </c>
      <c r="F590" s="4">
        <v>45731</v>
      </c>
      <c r="G590" t="s">
        <v>1885</v>
      </c>
      <c r="H590" t="s">
        <v>126</v>
      </c>
      <c r="I590" t="str">
        <f t="shared" si="113"/>
        <v>Aarav Sharma</v>
      </c>
      <c r="J590" t="s">
        <v>93</v>
      </c>
      <c r="K590" t="str">
        <f t="shared" si="114"/>
        <v>Home Office</v>
      </c>
      <c r="L590" t="s">
        <v>52</v>
      </c>
      <c r="M590" t="str">
        <f t="shared" si="119"/>
        <v>South</v>
      </c>
      <c r="N590" t="s">
        <v>173</v>
      </c>
      <c r="O590" t="str">
        <f t="shared" si="115"/>
        <v>Karnataka</v>
      </c>
      <c r="P590" t="s">
        <v>174</v>
      </c>
      <c r="Q590" t="str">
        <f t="shared" si="116"/>
        <v>Bengaluru</v>
      </c>
      <c r="R590" t="s">
        <v>72</v>
      </c>
      <c r="S590" t="str">
        <f t="shared" si="117"/>
        <v>Technology</v>
      </c>
      <c r="T590" t="s">
        <v>73</v>
      </c>
      <c r="U590" t="str">
        <f t="shared" si="118"/>
        <v>Accessories</v>
      </c>
      <c r="V590" t="s">
        <v>1886</v>
      </c>
      <c r="X590" t="s">
        <v>29</v>
      </c>
      <c r="Y590" t="str">
        <f t="shared" si="120"/>
        <v>Second Class</v>
      </c>
      <c r="Z590">
        <v>8</v>
      </c>
      <c r="AA590">
        <v>4446.3599999999997</v>
      </c>
      <c r="AB590">
        <v>0.1</v>
      </c>
      <c r="AC590">
        <v>32013.79</v>
      </c>
      <c r="AD590">
        <v>20896.88</v>
      </c>
      <c r="AE590">
        <v>11116.91</v>
      </c>
      <c r="AF590" t="s">
        <v>100</v>
      </c>
      <c r="AG590" t="str">
        <f t="shared" si="121"/>
        <v>Refunded</v>
      </c>
      <c r="AH590" t="s">
        <v>66</v>
      </c>
    </row>
    <row r="591" spans="1:34">
      <c r="A591" t="s">
        <v>1887</v>
      </c>
      <c r="B591">
        <f>COUNTIF($A:$A,A591)</f>
        <v>1</v>
      </c>
      <c r="C591" t="str">
        <f t="shared" si="111"/>
        <v>Unique</v>
      </c>
      <c r="D591" s="4">
        <v>45455</v>
      </c>
      <c r="E591">
        <f t="shared" si="112"/>
        <v>183</v>
      </c>
      <c r="F591" s="4">
        <v>45638</v>
      </c>
      <c r="G591" t="s">
        <v>1888</v>
      </c>
      <c r="H591" t="s">
        <v>139</v>
      </c>
      <c r="I591" t="str">
        <f t="shared" si="113"/>
        <v>Rohan Mehta</v>
      </c>
      <c r="J591" t="s">
        <v>88</v>
      </c>
      <c r="K591" t="str">
        <f t="shared" si="114"/>
        <v>Corporate</v>
      </c>
      <c r="L591" t="s">
        <v>23</v>
      </c>
      <c r="M591" t="str">
        <f t="shared" si="119"/>
        <v>North</v>
      </c>
      <c r="N591" t="s">
        <v>134</v>
      </c>
      <c r="O591" t="str">
        <f t="shared" si="115"/>
        <v>Uttar Pradesh</v>
      </c>
      <c r="P591" t="s">
        <v>135</v>
      </c>
      <c r="Q591" t="str">
        <f t="shared" si="116"/>
        <v>Noida</v>
      </c>
      <c r="R591" t="s">
        <v>72</v>
      </c>
      <c r="S591" t="str">
        <f t="shared" si="117"/>
        <v>Technology</v>
      </c>
      <c r="T591" t="s">
        <v>169</v>
      </c>
      <c r="U591" t="str">
        <f t="shared" si="118"/>
        <v>Phones</v>
      </c>
      <c r="V591" t="s">
        <v>1889</v>
      </c>
      <c r="X591" t="s">
        <v>48</v>
      </c>
      <c r="Y591" t="str">
        <f t="shared" si="120"/>
        <v>First Class</v>
      </c>
      <c r="Z591">
        <v>3</v>
      </c>
      <c r="AA591">
        <v>524.75</v>
      </c>
      <c r="AB591">
        <v>0</v>
      </c>
      <c r="AC591">
        <v>1574.25</v>
      </c>
      <c r="AD591">
        <v>1326.12</v>
      </c>
      <c r="AE591">
        <v>248.13</v>
      </c>
      <c r="AF591" t="s">
        <v>30</v>
      </c>
      <c r="AG591" t="str">
        <f t="shared" si="121"/>
        <v>Paid</v>
      </c>
      <c r="AH591" t="s">
        <v>31</v>
      </c>
    </row>
    <row r="592" spans="1:34">
      <c r="A592" t="s">
        <v>1890</v>
      </c>
      <c r="B592">
        <f>COUNTIF($A:$A,A592)</f>
        <v>1</v>
      </c>
      <c r="C592" t="str">
        <f t="shared" si="111"/>
        <v>Unique</v>
      </c>
      <c r="D592" s="4">
        <v>45441</v>
      </c>
      <c r="E592">
        <f t="shared" si="112"/>
        <v>0</v>
      </c>
      <c r="F592" s="4">
        <v>45441</v>
      </c>
      <c r="G592" t="s">
        <v>1891</v>
      </c>
      <c r="H592" t="s">
        <v>126</v>
      </c>
      <c r="I592" t="str">
        <f t="shared" si="113"/>
        <v>Aarav Sharma</v>
      </c>
      <c r="J592" t="s">
        <v>93</v>
      </c>
      <c r="K592" t="str">
        <f t="shared" si="114"/>
        <v>Home Office</v>
      </c>
      <c r="L592" t="s">
        <v>23</v>
      </c>
      <c r="M592" t="str">
        <f t="shared" si="119"/>
        <v>North</v>
      </c>
      <c r="N592" t="s">
        <v>349</v>
      </c>
      <c r="O592" t="str">
        <f t="shared" si="115"/>
        <v>Delhi</v>
      </c>
      <c r="P592" t="s">
        <v>350</v>
      </c>
      <c r="Q592" t="str">
        <f t="shared" si="116"/>
        <v>New Delhi</v>
      </c>
      <c r="R592" t="s">
        <v>39</v>
      </c>
      <c r="S592" t="str">
        <f t="shared" si="117"/>
        <v>Furniture</v>
      </c>
      <c r="T592" t="s">
        <v>64</v>
      </c>
      <c r="U592" t="str">
        <f t="shared" si="118"/>
        <v>Chairs</v>
      </c>
      <c r="V592" t="s">
        <v>1892</v>
      </c>
      <c r="X592" t="s">
        <v>42</v>
      </c>
      <c r="Y592" t="str">
        <f t="shared" si="120"/>
        <v>Same Day</v>
      </c>
      <c r="Z592">
        <v>6</v>
      </c>
      <c r="AA592">
        <v>3430.35</v>
      </c>
      <c r="AB592">
        <v>0</v>
      </c>
      <c r="AC592">
        <v>20582.099999999999</v>
      </c>
      <c r="AD592">
        <v>15897.65</v>
      </c>
      <c r="AE592">
        <v>4684.45</v>
      </c>
      <c r="AF592" t="s">
        <v>109</v>
      </c>
      <c r="AG592" t="str">
        <f t="shared" si="121"/>
        <v>Pending</v>
      </c>
      <c r="AH592" t="s">
        <v>66</v>
      </c>
    </row>
    <row r="593" spans="1:34">
      <c r="A593" t="s">
        <v>1893</v>
      </c>
      <c r="B593">
        <f>COUNTIF($A:$A,A593)</f>
        <v>1</v>
      </c>
      <c r="C593" t="str">
        <f t="shared" si="111"/>
        <v>Unique</v>
      </c>
      <c r="D593" s="4">
        <v>45344</v>
      </c>
      <c r="E593">
        <f t="shared" si="112"/>
        <v>2</v>
      </c>
      <c r="F593" s="4">
        <v>45346</v>
      </c>
      <c r="G593" t="s">
        <v>1894</v>
      </c>
      <c r="H593" t="s">
        <v>130</v>
      </c>
      <c r="I593" t="str">
        <f t="shared" si="113"/>
        <v>Sneha Kapoor</v>
      </c>
      <c r="J593" t="s">
        <v>22</v>
      </c>
      <c r="K593" t="str">
        <f t="shared" si="114"/>
        <v>Consumer</v>
      </c>
      <c r="L593" t="s">
        <v>52</v>
      </c>
      <c r="M593" t="str">
        <f t="shared" si="119"/>
        <v>South</v>
      </c>
      <c r="N593" t="s">
        <v>173</v>
      </c>
      <c r="O593" t="str">
        <f t="shared" si="115"/>
        <v>Karnataka</v>
      </c>
      <c r="P593" t="s">
        <v>174</v>
      </c>
      <c r="Q593" t="str">
        <f t="shared" si="116"/>
        <v>Bengaluru</v>
      </c>
      <c r="R593" t="s">
        <v>72</v>
      </c>
      <c r="S593" t="str">
        <f t="shared" si="117"/>
        <v>Technology</v>
      </c>
      <c r="T593" t="s">
        <v>78</v>
      </c>
      <c r="U593" t="str">
        <f t="shared" si="118"/>
        <v>Copiers</v>
      </c>
      <c r="V593" t="s">
        <v>1895</v>
      </c>
      <c r="X593" t="s">
        <v>48</v>
      </c>
      <c r="Y593" t="str">
        <f t="shared" si="120"/>
        <v>First Class</v>
      </c>
      <c r="Z593">
        <v>3</v>
      </c>
      <c r="AA593">
        <v>3545.08</v>
      </c>
      <c r="AB593">
        <v>0</v>
      </c>
      <c r="AC593">
        <v>10635.24</v>
      </c>
      <c r="AD593">
        <v>6031.88</v>
      </c>
      <c r="AE593">
        <v>4603.3599999999997</v>
      </c>
      <c r="AF593" t="s">
        <v>153</v>
      </c>
      <c r="AG593" t="str">
        <f t="shared" si="121"/>
        <v>Failed</v>
      </c>
      <c r="AH593" t="s">
        <v>101</v>
      </c>
    </row>
    <row r="594" spans="1:34">
      <c r="A594" t="s">
        <v>1896</v>
      </c>
      <c r="B594">
        <f>COUNTIF($A:$A,A594)</f>
        <v>1</v>
      </c>
      <c r="C594" t="str">
        <f t="shared" si="111"/>
        <v>Unique</v>
      </c>
      <c r="D594" s="4">
        <v>45385</v>
      </c>
      <c r="E594">
        <f t="shared" si="112"/>
        <v>153</v>
      </c>
      <c r="F594" s="4">
        <v>45538</v>
      </c>
      <c r="G594" t="s">
        <v>1897</v>
      </c>
      <c r="H594" t="s">
        <v>34</v>
      </c>
      <c r="I594" t="str">
        <f t="shared" si="113"/>
        <v>Mira Das</v>
      </c>
      <c r="J594" t="s">
        <v>22</v>
      </c>
      <c r="K594" t="str">
        <f t="shared" si="114"/>
        <v>Consumer</v>
      </c>
      <c r="L594" t="s">
        <v>36</v>
      </c>
      <c r="M594" t="str">
        <f t="shared" si="119"/>
        <v>East</v>
      </c>
      <c r="N594" t="s">
        <v>97</v>
      </c>
      <c r="O594" t="str">
        <f t="shared" si="115"/>
        <v>West Bengal</v>
      </c>
      <c r="P594" t="s">
        <v>98</v>
      </c>
      <c r="Q594" t="str">
        <f t="shared" si="116"/>
        <v>Kolkata</v>
      </c>
      <c r="R594" t="s">
        <v>72</v>
      </c>
      <c r="S594" t="str">
        <f t="shared" si="117"/>
        <v>Technology</v>
      </c>
      <c r="T594" t="s">
        <v>73</v>
      </c>
      <c r="U594" t="str">
        <f t="shared" si="118"/>
        <v>Accessories</v>
      </c>
      <c r="V594" t="s">
        <v>1898</v>
      </c>
      <c r="X594" t="s">
        <v>42</v>
      </c>
      <c r="Y594" t="str">
        <f t="shared" si="120"/>
        <v>Same Day</v>
      </c>
      <c r="Z594">
        <v>8</v>
      </c>
      <c r="AA594">
        <v>4401.41</v>
      </c>
      <c r="AB594">
        <v>0.15</v>
      </c>
      <c r="AC594">
        <v>29929.59</v>
      </c>
      <c r="AD594">
        <v>22436.03</v>
      </c>
      <c r="AE594">
        <v>7493.56</v>
      </c>
      <c r="AF594" t="s">
        <v>30</v>
      </c>
      <c r="AG594" t="str">
        <f t="shared" si="121"/>
        <v>Paid</v>
      </c>
      <c r="AH594" t="s">
        <v>31</v>
      </c>
    </row>
    <row r="595" spans="1:34">
      <c r="A595" t="s">
        <v>1899</v>
      </c>
      <c r="B595">
        <f>COUNTIF($A:$A,A595)</f>
        <v>1</v>
      </c>
      <c r="C595" t="str">
        <f t="shared" si="111"/>
        <v>Unique</v>
      </c>
      <c r="D595" s="4">
        <v>45927</v>
      </c>
      <c r="E595">
        <f t="shared" si="112"/>
        <v>2</v>
      </c>
      <c r="F595" s="4">
        <v>45929</v>
      </c>
      <c r="G595" t="s">
        <v>1689</v>
      </c>
      <c r="H595" t="s">
        <v>51</v>
      </c>
      <c r="I595" t="str">
        <f t="shared" si="113"/>
        <v>Arjun Bose</v>
      </c>
      <c r="J595" t="s">
        <v>93</v>
      </c>
      <c r="K595" t="str">
        <f t="shared" si="114"/>
        <v>Home Office</v>
      </c>
      <c r="L595" t="s">
        <v>23</v>
      </c>
      <c r="M595" t="str">
        <f t="shared" si="119"/>
        <v>North</v>
      </c>
      <c r="N595" t="s">
        <v>134</v>
      </c>
      <c r="O595" t="str">
        <f t="shared" si="115"/>
        <v>Uttar Pradesh</v>
      </c>
      <c r="P595" t="s">
        <v>135</v>
      </c>
      <c r="Q595" t="str">
        <f t="shared" si="116"/>
        <v>Noida</v>
      </c>
      <c r="R595" t="s">
        <v>39</v>
      </c>
      <c r="S595" t="str">
        <f t="shared" si="117"/>
        <v>Furniture</v>
      </c>
      <c r="T595" t="s">
        <v>40</v>
      </c>
      <c r="U595" t="str">
        <f t="shared" si="118"/>
        <v>Tables</v>
      </c>
      <c r="V595" t="s">
        <v>1900</v>
      </c>
      <c r="X595" t="s">
        <v>29</v>
      </c>
      <c r="Y595" t="str">
        <f t="shared" si="120"/>
        <v>Second Class</v>
      </c>
      <c r="Z595">
        <v>9</v>
      </c>
      <c r="AA595">
        <v>4100.1099999999997</v>
      </c>
      <c r="AB595">
        <v>0.25</v>
      </c>
      <c r="AC595">
        <v>27675.74</v>
      </c>
      <c r="AD595">
        <v>15571.08</v>
      </c>
      <c r="AE595">
        <v>12104.66</v>
      </c>
      <c r="AF595" t="s">
        <v>30</v>
      </c>
      <c r="AG595" t="str">
        <f t="shared" si="121"/>
        <v>Paid</v>
      </c>
      <c r="AH595" t="s">
        <v>31</v>
      </c>
    </row>
    <row r="596" spans="1:34">
      <c r="A596" t="s">
        <v>1901</v>
      </c>
      <c r="B596">
        <f>COUNTIF($A:$A,A596)</f>
        <v>1</v>
      </c>
      <c r="C596" t="str">
        <f t="shared" si="111"/>
        <v>Unique</v>
      </c>
      <c r="D596" s="4">
        <v>45554</v>
      </c>
      <c r="E596">
        <f t="shared" si="112"/>
        <v>2</v>
      </c>
      <c r="F596" s="4">
        <v>45556</v>
      </c>
      <c r="G596" t="s">
        <v>1902</v>
      </c>
      <c r="H596" t="s">
        <v>21</v>
      </c>
      <c r="I596" t="str">
        <f t="shared" si="113"/>
        <v>Karan Malhotra</v>
      </c>
      <c r="J596" t="s">
        <v>35</v>
      </c>
      <c r="K596" t="str">
        <f t="shared" si="114"/>
        <v>Small Business</v>
      </c>
      <c r="L596" t="s">
        <v>36</v>
      </c>
      <c r="M596" t="str">
        <f t="shared" si="119"/>
        <v>East</v>
      </c>
      <c r="N596" t="s">
        <v>97</v>
      </c>
      <c r="O596" t="str">
        <f t="shared" si="115"/>
        <v>West Bengal</v>
      </c>
      <c r="P596" t="s">
        <v>98</v>
      </c>
      <c r="Q596" t="str">
        <f t="shared" si="116"/>
        <v>Kolkata</v>
      </c>
      <c r="R596" t="s">
        <v>39</v>
      </c>
      <c r="S596" t="str">
        <f t="shared" si="117"/>
        <v>Furniture</v>
      </c>
      <c r="T596" t="s">
        <v>64</v>
      </c>
      <c r="U596" t="str">
        <f t="shared" si="118"/>
        <v>Chairs</v>
      </c>
      <c r="V596" t="s">
        <v>1903</v>
      </c>
      <c r="X596" t="s">
        <v>48</v>
      </c>
      <c r="Y596" t="str">
        <f t="shared" si="120"/>
        <v>First Class</v>
      </c>
      <c r="Z596">
        <v>3</v>
      </c>
      <c r="AA596">
        <v>3981.76</v>
      </c>
      <c r="AB596">
        <v>0</v>
      </c>
      <c r="AC596">
        <v>11945.28</v>
      </c>
      <c r="AD596">
        <v>9700.31</v>
      </c>
      <c r="AE596">
        <v>2244.9699999999998</v>
      </c>
      <c r="AF596" t="s">
        <v>30</v>
      </c>
      <c r="AG596" t="str">
        <f t="shared" si="121"/>
        <v>Paid</v>
      </c>
      <c r="AH596" t="s">
        <v>31</v>
      </c>
    </row>
    <row r="597" spans="1:34">
      <c r="A597" t="s">
        <v>1904</v>
      </c>
      <c r="B597">
        <f>COUNTIF($A:$A,A597)</f>
        <v>1</v>
      </c>
      <c r="C597" t="str">
        <f t="shared" si="111"/>
        <v>Unique</v>
      </c>
      <c r="D597" s="4">
        <v>45699</v>
      </c>
      <c r="E597">
        <f t="shared" si="112"/>
        <v>5</v>
      </c>
      <c r="F597" s="4">
        <v>45704</v>
      </c>
      <c r="G597" t="s">
        <v>1905</v>
      </c>
      <c r="H597" t="s">
        <v>34</v>
      </c>
      <c r="I597" t="str">
        <f t="shared" si="113"/>
        <v>Mira Das</v>
      </c>
      <c r="J597" t="s">
        <v>88</v>
      </c>
      <c r="K597" t="str">
        <f t="shared" si="114"/>
        <v>Corporate</v>
      </c>
      <c r="L597" t="s">
        <v>23</v>
      </c>
      <c r="M597" t="str">
        <f t="shared" si="119"/>
        <v>North</v>
      </c>
      <c r="N597" t="s">
        <v>134</v>
      </c>
      <c r="O597" t="str">
        <f t="shared" si="115"/>
        <v>Uttar Pradesh</v>
      </c>
      <c r="P597" t="s">
        <v>135</v>
      </c>
      <c r="Q597" t="str">
        <f t="shared" si="116"/>
        <v>Noida</v>
      </c>
      <c r="R597" t="s">
        <v>72</v>
      </c>
      <c r="S597" t="str">
        <f t="shared" si="117"/>
        <v>Technology</v>
      </c>
      <c r="T597" t="s">
        <v>169</v>
      </c>
      <c r="U597" t="str">
        <f t="shared" si="118"/>
        <v>Phones</v>
      </c>
      <c r="V597" t="s">
        <v>1906</v>
      </c>
      <c r="X597" t="s">
        <v>48</v>
      </c>
      <c r="Y597" t="str">
        <f t="shared" si="120"/>
        <v>First Class</v>
      </c>
      <c r="Z597">
        <v>8</v>
      </c>
      <c r="AA597">
        <v>1825.56</v>
      </c>
      <c r="AB597">
        <v>0.1</v>
      </c>
      <c r="AC597">
        <v>13144.03</v>
      </c>
      <c r="AD597">
        <v>9764</v>
      </c>
      <c r="AE597">
        <v>3380.03</v>
      </c>
      <c r="AF597" t="s">
        <v>30</v>
      </c>
      <c r="AG597" t="str">
        <f t="shared" si="121"/>
        <v>Paid</v>
      </c>
      <c r="AH597" t="s">
        <v>31</v>
      </c>
    </row>
    <row r="598" spans="1:34">
      <c r="A598" t="s">
        <v>1907</v>
      </c>
      <c r="B598">
        <f>COUNTIF($A:$A,A598)</f>
        <v>1</v>
      </c>
      <c r="C598" t="str">
        <f t="shared" si="111"/>
        <v>Unique</v>
      </c>
      <c r="D598" s="4">
        <v>45569</v>
      </c>
      <c r="E598">
        <f t="shared" si="112"/>
        <v>-171</v>
      </c>
      <c r="F598" s="4">
        <v>45398</v>
      </c>
      <c r="G598" t="s">
        <v>1908</v>
      </c>
      <c r="H598" t="s">
        <v>87</v>
      </c>
      <c r="I598" t="str">
        <f t="shared" si="113"/>
        <v>Aditi Sen</v>
      </c>
      <c r="J598" t="s">
        <v>22</v>
      </c>
      <c r="K598" t="str">
        <f t="shared" si="114"/>
        <v>Consumer</v>
      </c>
      <c r="L598" t="s">
        <v>52</v>
      </c>
      <c r="M598" t="str">
        <f t="shared" si="119"/>
        <v>South</v>
      </c>
      <c r="N598" t="s">
        <v>183</v>
      </c>
      <c r="O598" t="str">
        <f t="shared" si="115"/>
        <v>Kerala</v>
      </c>
      <c r="P598" t="s">
        <v>184</v>
      </c>
      <c r="Q598" t="str">
        <f t="shared" si="116"/>
        <v>Kochi</v>
      </c>
      <c r="R598" t="s">
        <v>39</v>
      </c>
      <c r="S598" t="str">
        <f t="shared" si="117"/>
        <v>Furniture</v>
      </c>
      <c r="T598" t="s">
        <v>64</v>
      </c>
      <c r="U598" t="str">
        <f t="shared" si="118"/>
        <v>Chairs</v>
      </c>
      <c r="V598" t="s">
        <v>1909</v>
      </c>
      <c r="X598" t="s">
        <v>29</v>
      </c>
      <c r="Y598" t="str">
        <f t="shared" si="120"/>
        <v>Second Class</v>
      </c>
      <c r="Z598">
        <v>9</v>
      </c>
      <c r="AA598">
        <v>2723.26</v>
      </c>
      <c r="AB598">
        <v>0.25</v>
      </c>
      <c r="AC598">
        <v>18382.009999999998</v>
      </c>
      <c r="AD598">
        <v>13108.2</v>
      </c>
      <c r="AE598">
        <v>5273.81</v>
      </c>
      <c r="AF598" t="s">
        <v>30</v>
      </c>
      <c r="AG598" t="str">
        <f t="shared" si="121"/>
        <v>Paid</v>
      </c>
      <c r="AH598" t="s">
        <v>31</v>
      </c>
    </row>
    <row r="599" spans="1:34">
      <c r="A599" t="s">
        <v>1910</v>
      </c>
      <c r="B599">
        <f>COUNTIF($A:$A,A599)</f>
        <v>1</v>
      </c>
      <c r="C599" t="str">
        <f t="shared" si="111"/>
        <v>Unique</v>
      </c>
      <c r="D599" s="4">
        <v>45876</v>
      </c>
      <c r="E599">
        <f t="shared" si="112"/>
        <v>-30</v>
      </c>
      <c r="F599" s="4">
        <v>45846</v>
      </c>
      <c r="G599" t="s">
        <v>1911</v>
      </c>
      <c r="H599" t="s">
        <v>87</v>
      </c>
      <c r="I599" t="str">
        <f t="shared" si="113"/>
        <v>Aditi Sen</v>
      </c>
      <c r="J599" t="s">
        <v>22</v>
      </c>
      <c r="K599" t="str">
        <f t="shared" si="114"/>
        <v>Consumer</v>
      </c>
      <c r="L599" t="s">
        <v>52</v>
      </c>
      <c r="M599" t="str">
        <f t="shared" si="119"/>
        <v>South</v>
      </c>
      <c r="N599" t="s">
        <v>53</v>
      </c>
      <c r="O599" t="str">
        <f t="shared" si="115"/>
        <v>Telangana</v>
      </c>
      <c r="P599" t="s">
        <v>54</v>
      </c>
      <c r="Q599" t="str">
        <f t="shared" si="116"/>
        <v>Hyderabad</v>
      </c>
      <c r="R599" t="s">
        <v>72</v>
      </c>
      <c r="S599" t="str">
        <f t="shared" si="117"/>
        <v>Technology</v>
      </c>
      <c r="T599" t="s">
        <v>78</v>
      </c>
      <c r="U599" t="str">
        <f t="shared" si="118"/>
        <v>Copiers</v>
      </c>
      <c r="V599" t="s">
        <v>1912</v>
      </c>
      <c r="X599" t="s">
        <v>42</v>
      </c>
      <c r="Y599" t="str">
        <f t="shared" si="120"/>
        <v>Same Day</v>
      </c>
      <c r="Z599">
        <v>9</v>
      </c>
      <c r="AA599">
        <v>274.88</v>
      </c>
      <c r="AB599">
        <v>0.25</v>
      </c>
      <c r="AC599">
        <v>1855.44</v>
      </c>
      <c r="AD599">
        <v>1262.74</v>
      </c>
      <c r="AE599">
        <v>592.70000000000005</v>
      </c>
      <c r="AF599" t="s">
        <v>30</v>
      </c>
      <c r="AG599" t="str">
        <f t="shared" si="121"/>
        <v>Paid</v>
      </c>
      <c r="AH599" t="s">
        <v>31</v>
      </c>
    </row>
    <row r="600" spans="1:34">
      <c r="A600" t="s">
        <v>1913</v>
      </c>
      <c r="B600">
        <f>COUNTIF($A:$A,A600)</f>
        <v>1</v>
      </c>
      <c r="C600" t="str">
        <f t="shared" si="111"/>
        <v>Unique</v>
      </c>
      <c r="D600" s="4">
        <v>45521</v>
      </c>
      <c r="E600">
        <f t="shared" si="112"/>
        <v>7</v>
      </c>
      <c r="F600" s="4">
        <v>45528</v>
      </c>
      <c r="G600" t="s">
        <v>1914</v>
      </c>
      <c r="H600" t="s">
        <v>60</v>
      </c>
      <c r="I600" t="str">
        <f t="shared" si="113"/>
        <v>Ananya Rao</v>
      </c>
      <c r="J600" t="s">
        <v>88</v>
      </c>
      <c r="K600" t="str">
        <f t="shared" si="114"/>
        <v>Corporate</v>
      </c>
      <c r="L600" t="s">
        <v>36</v>
      </c>
      <c r="M600" t="str">
        <f t="shared" si="119"/>
        <v>East</v>
      </c>
      <c r="N600" t="s">
        <v>97</v>
      </c>
      <c r="O600" t="str">
        <f t="shared" si="115"/>
        <v>West Bengal</v>
      </c>
      <c r="P600" t="s">
        <v>98</v>
      </c>
      <c r="Q600" t="str">
        <f t="shared" si="116"/>
        <v>Kolkata</v>
      </c>
      <c r="R600" t="s">
        <v>72</v>
      </c>
      <c r="S600" t="str">
        <f t="shared" si="117"/>
        <v>Technology</v>
      </c>
      <c r="T600" t="s">
        <v>78</v>
      </c>
      <c r="U600" t="str">
        <f t="shared" si="118"/>
        <v>Copiers</v>
      </c>
      <c r="V600" t="s">
        <v>1915</v>
      </c>
      <c r="X600" t="s">
        <v>42</v>
      </c>
      <c r="Y600" t="str">
        <f t="shared" si="120"/>
        <v>Same Day</v>
      </c>
      <c r="Z600">
        <v>3</v>
      </c>
      <c r="AA600">
        <v>1490.69</v>
      </c>
      <c r="AB600">
        <v>0.25</v>
      </c>
      <c r="AC600">
        <v>3354.05</v>
      </c>
      <c r="AD600">
        <v>2672.67</v>
      </c>
      <c r="AE600">
        <v>681.38</v>
      </c>
      <c r="AF600" t="s">
        <v>30</v>
      </c>
      <c r="AG600" t="str">
        <f t="shared" si="121"/>
        <v>Paid</v>
      </c>
      <c r="AH600" t="s">
        <v>31</v>
      </c>
    </row>
    <row r="601" spans="1:34">
      <c r="A601" t="s">
        <v>1916</v>
      </c>
      <c r="B601">
        <f>COUNTIF($A:$A,A601)</f>
        <v>1</v>
      </c>
      <c r="C601" t="str">
        <f t="shared" si="111"/>
        <v>Unique</v>
      </c>
      <c r="D601" s="4">
        <v>45523</v>
      </c>
      <c r="E601">
        <f t="shared" si="112"/>
        <v>2</v>
      </c>
      <c r="F601" s="4">
        <v>45525</v>
      </c>
      <c r="G601" t="s">
        <v>1917</v>
      </c>
      <c r="H601" t="s">
        <v>51</v>
      </c>
      <c r="I601" t="str">
        <f t="shared" si="113"/>
        <v>Arjun Bose</v>
      </c>
      <c r="J601" t="s">
        <v>22</v>
      </c>
      <c r="K601" t="str">
        <f t="shared" si="114"/>
        <v>Consumer</v>
      </c>
      <c r="L601" t="s">
        <v>23</v>
      </c>
      <c r="M601" t="str">
        <f t="shared" si="119"/>
        <v>North</v>
      </c>
      <c r="N601" t="s">
        <v>120</v>
      </c>
      <c r="O601" t="str">
        <f t="shared" si="115"/>
        <v>Punjab</v>
      </c>
      <c r="P601" t="s">
        <v>121</v>
      </c>
      <c r="Q601" t="str">
        <f t="shared" si="116"/>
        <v>Ludhiana</v>
      </c>
      <c r="R601" t="s">
        <v>72</v>
      </c>
      <c r="S601" t="str">
        <f t="shared" si="117"/>
        <v>Technology</v>
      </c>
      <c r="T601" t="s">
        <v>169</v>
      </c>
      <c r="U601" t="str">
        <f t="shared" si="118"/>
        <v>Phones</v>
      </c>
      <c r="V601" t="s">
        <v>1918</v>
      </c>
      <c r="X601" t="s">
        <v>48</v>
      </c>
      <c r="Y601" t="str">
        <f t="shared" si="120"/>
        <v>First Class</v>
      </c>
      <c r="Z601">
        <v>3</v>
      </c>
      <c r="AA601">
        <v>1103.54</v>
      </c>
      <c r="AB601">
        <v>0.25</v>
      </c>
      <c r="AC601">
        <v>2482.9699999999998</v>
      </c>
      <c r="AD601">
        <v>1621.72</v>
      </c>
      <c r="AE601">
        <v>861.25</v>
      </c>
      <c r="AF601" t="s">
        <v>30</v>
      </c>
      <c r="AG601" t="str">
        <f t="shared" si="121"/>
        <v>Paid</v>
      </c>
      <c r="AH601" t="s">
        <v>31</v>
      </c>
    </row>
    <row r="602" spans="1:34">
      <c r="A602" t="s">
        <v>1919</v>
      </c>
      <c r="B602">
        <f>COUNTIF($A:$A,A602)</f>
        <v>1</v>
      </c>
      <c r="C602" t="str">
        <f t="shared" si="111"/>
        <v>Unique</v>
      </c>
      <c r="D602" s="4">
        <v>45780</v>
      </c>
      <c r="E602">
        <f t="shared" si="112"/>
        <v>214</v>
      </c>
      <c r="F602" s="4">
        <v>45994</v>
      </c>
      <c r="G602" t="s">
        <v>1920</v>
      </c>
      <c r="H602" t="s">
        <v>60</v>
      </c>
      <c r="I602" t="str">
        <f t="shared" si="113"/>
        <v>Ananya Rao</v>
      </c>
      <c r="J602" t="s">
        <v>88</v>
      </c>
      <c r="K602" t="str">
        <f t="shared" si="114"/>
        <v>Corporate</v>
      </c>
      <c r="L602" t="s">
        <v>61</v>
      </c>
      <c r="M602" t="str">
        <f t="shared" si="119"/>
        <v>West</v>
      </c>
      <c r="N602" t="s">
        <v>70</v>
      </c>
      <c r="O602" t="str">
        <f t="shared" si="115"/>
        <v>Madhya Pradesh</v>
      </c>
      <c r="P602" t="s">
        <v>71</v>
      </c>
      <c r="Q602" t="str">
        <f t="shared" si="116"/>
        <v>Indore</v>
      </c>
      <c r="R602" t="s">
        <v>26</v>
      </c>
      <c r="S602" t="str">
        <f t="shared" si="117"/>
        <v>Office Supplies</v>
      </c>
      <c r="T602" t="s">
        <v>122</v>
      </c>
      <c r="U602" t="str">
        <f t="shared" si="118"/>
        <v>Storage</v>
      </c>
      <c r="V602" t="s">
        <v>1921</v>
      </c>
      <c r="X602" t="s">
        <v>42</v>
      </c>
      <c r="Y602" t="str">
        <f t="shared" si="120"/>
        <v>Same Day</v>
      </c>
      <c r="Z602">
        <v>3</v>
      </c>
      <c r="AA602">
        <v>3682.75</v>
      </c>
      <c r="AC602">
        <v>11048.25</v>
      </c>
      <c r="AD602">
        <v>9062.7199999999993</v>
      </c>
      <c r="AE602">
        <v>1985.53</v>
      </c>
      <c r="AF602" t="s">
        <v>30</v>
      </c>
      <c r="AG602" t="str">
        <f t="shared" si="121"/>
        <v>Paid</v>
      </c>
      <c r="AH602" t="s">
        <v>31</v>
      </c>
    </row>
    <row r="603" spans="1:34">
      <c r="A603" t="s">
        <v>1922</v>
      </c>
      <c r="B603">
        <f>COUNTIF($A:$A,A603)</f>
        <v>1</v>
      </c>
      <c r="C603" t="str">
        <f t="shared" si="111"/>
        <v>Unique</v>
      </c>
      <c r="D603" s="4">
        <v>45317</v>
      </c>
      <c r="E603">
        <f t="shared" si="112"/>
        <v>5</v>
      </c>
      <c r="F603" s="4">
        <v>45322</v>
      </c>
      <c r="G603" t="s">
        <v>1923</v>
      </c>
      <c r="H603" t="s">
        <v>60</v>
      </c>
      <c r="I603" t="str">
        <f t="shared" si="113"/>
        <v>Ananya Rao</v>
      </c>
      <c r="J603" t="s">
        <v>93</v>
      </c>
      <c r="K603" t="str">
        <f t="shared" si="114"/>
        <v>Home Office</v>
      </c>
      <c r="L603" t="s">
        <v>36</v>
      </c>
      <c r="M603" t="str">
        <f t="shared" si="119"/>
        <v>East</v>
      </c>
      <c r="N603" t="s">
        <v>97</v>
      </c>
      <c r="O603" t="str">
        <f t="shared" si="115"/>
        <v>West Bengal</v>
      </c>
      <c r="P603" t="s">
        <v>98</v>
      </c>
      <c r="Q603" t="str">
        <f t="shared" si="116"/>
        <v>Kolkata</v>
      </c>
      <c r="R603" t="s">
        <v>26</v>
      </c>
      <c r="S603" t="str">
        <f t="shared" si="117"/>
        <v>Office Supplies</v>
      </c>
      <c r="T603" t="s">
        <v>27</v>
      </c>
      <c r="U603" t="str">
        <f t="shared" si="118"/>
        <v>Paper</v>
      </c>
      <c r="V603" t="s">
        <v>1924</v>
      </c>
      <c r="X603" t="s">
        <v>29</v>
      </c>
      <c r="Y603" t="str">
        <f t="shared" si="120"/>
        <v>Second Class</v>
      </c>
      <c r="Z603">
        <v>5</v>
      </c>
      <c r="AA603">
        <v>1615.03</v>
      </c>
      <c r="AB603">
        <v>0.2</v>
      </c>
      <c r="AC603">
        <v>6460.12</v>
      </c>
      <c r="AD603">
        <v>3604.03</v>
      </c>
      <c r="AE603">
        <v>2856.09</v>
      </c>
      <c r="AF603" t="s">
        <v>30</v>
      </c>
      <c r="AG603" t="str">
        <f t="shared" si="121"/>
        <v>Paid</v>
      </c>
      <c r="AH603" t="s">
        <v>31</v>
      </c>
    </row>
    <row r="604" spans="1:34">
      <c r="A604" t="s">
        <v>1925</v>
      </c>
      <c r="B604">
        <f>COUNTIF($A:$A,A604)</f>
        <v>1</v>
      </c>
      <c r="C604" t="str">
        <f t="shared" si="111"/>
        <v>Unique</v>
      </c>
      <c r="D604" s="4">
        <v>45588</v>
      </c>
      <c r="E604">
        <f t="shared" si="112"/>
        <v>7</v>
      </c>
      <c r="F604" s="4">
        <v>45595</v>
      </c>
      <c r="G604" t="s">
        <v>1926</v>
      </c>
      <c r="H604" t="s">
        <v>126</v>
      </c>
      <c r="I604" t="str">
        <f t="shared" si="113"/>
        <v>Aarav Sharma</v>
      </c>
      <c r="J604" t="s">
        <v>22</v>
      </c>
      <c r="K604" t="str">
        <f t="shared" si="114"/>
        <v>Consumer</v>
      </c>
      <c r="L604" t="s">
        <v>36</v>
      </c>
      <c r="M604" t="str">
        <f t="shared" si="119"/>
        <v>East</v>
      </c>
      <c r="N604" t="s">
        <v>227</v>
      </c>
      <c r="O604" t="str">
        <f t="shared" si="115"/>
        <v>Jharkhand</v>
      </c>
      <c r="P604" t="s">
        <v>228</v>
      </c>
      <c r="Q604" t="str">
        <f t="shared" si="116"/>
        <v>Ranchi</v>
      </c>
      <c r="R604" t="s">
        <v>72</v>
      </c>
      <c r="S604" t="str">
        <f t="shared" si="117"/>
        <v>Technology</v>
      </c>
      <c r="T604" t="s">
        <v>78</v>
      </c>
      <c r="U604" t="str">
        <f t="shared" si="118"/>
        <v>Copiers</v>
      </c>
      <c r="V604" t="s">
        <v>1927</v>
      </c>
      <c r="X604" t="s">
        <v>29</v>
      </c>
      <c r="Y604" t="str">
        <f t="shared" si="120"/>
        <v>Second Class</v>
      </c>
      <c r="Z604">
        <v>9</v>
      </c>
      <c r="AA604">
        <v>3423.82</v>
      </c>
      <c r="AB604">
        <v>0.15</v>
      </c>
      <c r="AC604">
        <v>26192.22</v>
      </c>
      <c r="AD604">
        <v>20795.55</v>
      </c>
      <c r="AE604">
        <v>5396.67</v>
      </c>
      <c r="AF604" t="s">
        <v>30</v>
      </c>
      <c r="AG604" t="str">
        <f t="shared" si="121"/>
        <v>Paid</v>
      </c>
      <c r="AH604" t="s">
        <v>31</v>
      </c>
    </row>
    <row r="605" spans="1:34">
      <c r="A605" t="s">
        <v>1928</v>
      </c>
      <c r="B605">
        <f>COUNTIF($A:$A,A605)</f>
        <v>1</v>
      </c>
      <c r="C605" t="str">
        <f t="shared" si="111"/>
        <v>Unique</v>
      </c>
      <c r="D605" s="4">
        <v>45660</v>
      </c>
      <c r="E605">
        <f t="shared" si="112"/>
        <v>302</v>
      </c>
      <c r="F605" s="4">
        <v>45962</v>
      </c>
      <c r="G605" t="s">
        <v>333</v>
      </c>
      <c r="H605" t="s">
        <v>69</v>
      </c>
      <c r="I605" t="str">
        <f t="shared" si="113"/>
        <v>Vikram Iyer</v>
      </c>
      <c r="J605" t="s">
        <v>88</v>
      </c>
      <c r="K605" t="str">
        <f t="shared" si="114"/>
        <v>Corporate</v>
      </c>
      <c r="L605" t="s">
        <v>36</v>
      </c>
      <c r="M605" t="str">
        <f t="shared" si="119"/>
        <v>East</v>
      </c>
      <c r="N605" t="s">
        <v>143</v>
      </c>
      <c r="O605" t="str">
        <f t="shared" si="115"/>
        <v>Bihar</v>
      </c>
      <c r="P605" t="s">
        <v>144</v>
      </c>
      <c r="Q605" t="str">
        <f t="shared" si="116"/>
        <v>Patna</v>
      </c>
      <c r="R605" t="s">
        <v>72</v>
      </c>
      <c r="S605" t="str">
        <f t="shared" si="117"/>
        <v>Technology</v>
      </c>
      <c r="T605" t="s">
        <v>73</v>
      </c>
      <c r="U605" t="str">
        <f t="shared" si="118"/>
        <v>Accessories</v>
      </c>
      <c r="V605" t="s">
        <v>1929</v>
      </c>
      <c r="X605" t="s">
        <v>48</v>
      </c>
      <c r="Y605" t="str">
        <f t="shared" si="120"/>
        <v>First Class</v>
      </c>
      <c r="Z605">
        <v>8</v>
      </c>
      <c r="AA605">
        <v>2574.29</v>
      </c>
      <c r="AB605">
        <v>0.05</v>
      </c>
      <c r="AC605">
        <v>19564.599999999999</v>
      </c>
      <c r="AD605">
        <v>11154.59</v>
      </c>
      <c r="AE605">
        <v>8410.01</v>
      </c>
      <c r="AF605" t="s">
        <v>109</v>
      </c>
      <c r="AG605" t="str">
        <f t="shared" si="121"/>
        <v>Pending</v>
      </c>
      <c r="AH605" t="s">
        <v>66</v>
      </c>
    </row>
    <row r="606" spans="1:34">
      <c r="A606" t="s">
        <v>1930</v>
      </c>
      <c r="B606">
        <f>COUNTIF($A:$A,A606)</f>
        <v>1</v>
      </c>
      <c r="C606" t="str">
        <f t="shared" si="111"/>
        <v>Unique</v>
      </c>
      <c r="D606" s="4">
        <v>45779</v>
      </c>
      <c r="E606">
        <f t="shared" si="112"/>
        <v>-85</v>
      </c>
      <c r="F606" s="4">
        <v>45694</v>
      </c>
      <c r="G606" t="s">
        <v>1931</v>
      </c>
      <c r="H606" t="s">
        <v>60</v>
      </c>
      <c r="I606" t="str">
        <f t="shared" si="113"/>
        <v>Ananya Rao</v>
      </c>
      <c r="J606" t="s">
        <v>22</v>
      </c>
      <c r="K606" t="str">
        <f t="shared" si="114"/>
        <v>Consumer</v>
      </c>
      <c r="L606" t="s">
        <v>61</v>
      </c>
      <c r="M606" t="str">
        <f t="shared" si="119"/>
        <v>West</v>
      </c>
      <c r="N606" t="s">
        <v>70</v>
      </c>
      <c r="O606" t="str">
        <f t="shared" si="115"/>
        <v>Madhya Pradesh</v>
      </c>
      <c r="P606" t="s">
        <v>71</v>
      </c>
      <c r="Q606" t="str">
        <f t="shared" si="116"/>
        <v>Indore</v>
      </c>
      <c r="R606" t="s">
        <v>26</v>
      </c>
      <c r="S606" t="str">
        <f t="shared" si="117"/>
        <v>Office Supplies</v>
      </c>
      <c r="T606" t="s">
        <v>151</v>
      </c>
      <c r="U606" t="str">
        <f t="shared" si="118"/>
        <v>Binders</v>
      </c>
      <c r="V606" t="s">
        <v>1932</v>
      </c>
      <c r="X606" t="s">
        <v>42</v>
      </c>
      <c r="Y606" t="str">
        <f t="shared" si="120"/>
        <v>Same Day</v>
      </c>
      <c r="Z606">
        <v>3</v>
      </c>
      <c r="AA606">
        <v>1076.3</v>
      </c>
      <c r="AB606">
        <v>0</v>
      </c>
      <c r="AC606">
        <v>3228.9</v>
      </c>
      <c r="AD606">
        <v>1853.23</v>
      </c>
      <c r="AE606">
        <v>1375.67</v>
      </c>
      <c r="AF606" t="s">
        <v>30</v>
      </c>
      <c r="AG606" t="str">
        <f t="shared" si="121"/>
        <v>Paid</v>
      </c>
      <c r="AH606" t="s">
        <v>31</v>
      </c>
    </row>
    <row r="607" spans="1:34">
      <c r="A607" t="s">
        <v>1933</v>
      </c>
      <c r="B607">
        <f>COUNTIF($A:$A,A607)</f>
        <v>1</v>
      </c>
      <c r="C607" t="str">
        <f t="shared" si="111"/>
        <v>Unique</v>
      </c>
      <c r="D607" s="4">
        <v>45907</v>
      </c>
      <c r="E607">
        <f t="shared" si="112"/>
        <v>-56</v>
      </c>
      <c r="F607" s="4">
        <v>45851</v>
      </c>
      <c r="G607" t="s">
        <v>1934</v>
      </c>
      <c r="H607" t="s">
        <v>263</v>
      </c>
      <c r="I607" t="str">
        <f t="shared" si="113"/>
        <v>Kabir Singh</v>
      </c>
      <c r="J607" t="s">
        <v>88</v>
      </c>
      <c r="K607" t="str">
        <f t="shared" si="114"/>
        <v>Corporate</v>
      </c>
      <c r="L607" t="s">
        <v>61</v>
      </c>
      <c r="M607" t="str">
        <f t="shared" si="119"/>
        <v>West</v>
      </c>
      <c r="N607" t="s">
        <v>188</v>
      </c>
      <c r="O607" t="str">
        <f t="shared" si="115"/>
        <v>Goa</v>
      </c>
      <c r="P607" t="s">
        <v>189</v>
      </c>
      <c r="Q607" t="str">
        <f t="shared" si="116"/>
        <v>Panaji</v>
      </c>
      <c r="R607" t="s">
        <v>39</v>
      </c>
      <c r="S607" t="str">
        <f t="shared" si="117"/>
        <v>Furniture</v>
      </c>
      <c r="T607" t="s">
        <v>55</v>
      </c>
      <c r="U607" t="str">
        <f t="shared" si="118"/>
        <v>Furnishings</v>
      </c>
      <c r="V607" t="s">
        <v>1935</v>
      </c>
      <c r="X607" t="s">
        <v>29</v>
      </c>
      <c r="Y607" t="str">
        <f t="shared" si="120"/>
        <v>Second Class</v>
      </c>
      <c r="Z607">
        <v>5</v>
      </c>
      <c r="AA607">
        <v>1680.01</v>
      </c>
      <c r="AB607" t="s">
        <v>777</v>
      </c>
      <c r="AC607">
        <v>7560.04</v>
      </c>
      <c r="AD607">
        <v>6448.05</v>
      </c>
      <c r="AE607">
        <v>1111.99</v>
      </c>
      <c r="AF607" t="s">
        <v>30</v>
      </c>
      <c r="AG607" t="str">
        <f t="shared" si="121"/>
        <v>Paid</v>
      </c>
      <c r="AH607" t="s">
        <v>66</v>
      </c>
    </row>
    <row r="608" spans="1:34">
      <c r="A608" t="s">
        <v>1936</v>
      </c>
      <c r="B608">
        <f>COUNTIF($A:$A,A608)</f>
        <v>1</v>
      </c>
      <c r="C608" t="str">
        <f t="shared" si="111"/>
        <v>Unique</v>
      </c>
      <c r="D608" s="4">
        <v>45710</v>
      </c>
      <c r="E608">
        <f t="shared" si="112"/>
        <v>6</v>
      </c>
      <c r="F608" s="4">
        <v>45716</v>
      </c>
      <c r="G608" t="s">
        <v>1937</v>
      </c>
      <c r="H608" t="s">
        <v>116</v>
      </c>
      <c r="I608" t="str">
        <f t="shared" si="113"/>
        <v>Rahul Verma</v>
      </c>
      <c r="J608" t="s">
        <v>93</v>
      </c>
      <c r="K608" t="str">
        <f t="shared" si="114"/>
        <v>Home Office</v>
      </c>
      <c r="L608" t="s">
        <v>61</v>
      </c>
      <c r="M608" t="str">
        <f t="shared" si="119"/>
        <v>West</v>
      </c>
      <c r="N608" t="s">
        <v>70</v>
      </c>
      <c r="O608" t="str">
        <f t="shared" si="115"/>
        <v>Madhya Pradesh</v>
      </c>
      <c r="P608" t="s">
        <v>71</v>
      </c>
      <c r="Q608" t="str">
        <f t="shared" si="116"/>
        <v>Indore</v>
      </c>
      <c r="R608" t="s">
        <v>72</v>
      </c>
      <c r="S608" t="str">
        <f t="shared" si="117"/>
        <v>Technology</v>
      </c>
      <c r="T608" t="s">
        <v>78</v>
      </c>
      <c r="U608" t="str">
        <f t="shared" si="118"/>
        <v>Copiers</v>
      </c>
      <c r="V608" t="s">
        <v>1938</v>
      </c>
      <c r="X608" t="s">
        <v>42</v>
      </c>
      <c r="Y608" t="str">
        <f t="shared" si="120"/>
        <v>Same Day</v>
      </c>
      <c r="Z608">
        <v>3</v>
      </c>
      <c r="AA608">
        <v>3890.81</v>
      </c>
      <c r="AB608">
        <v>0.25</v>
      </c>
      <c r="AC608">
        <v>8754.32</v>
      </c>
      <c r="AD608">
        <v>6238.9</v>
      </c>
      <c r="AE608">
        <v>2515.42</v>
      </c>
      <c r="AF608" t="s">
        <v>30</v>
      </c>
      <c r="AG608" t="str">
        <f t="shared" si="121"/>
        <v>Paid</v>
      </c>
      <c r="AH608" t="s">
        <v>31</v>
      </c>
    </row>
    <row r="609" spans="1:34">
      <c r="A609" t="s">
        <v>1939</v>
      </c>
      <c r="B609">
        <f>COUNTIF($A:$A,A609)</f>
        <v>1</v>
      </c>
      <c r="C609" t="str">
        <f t="shared" si="111"/>
        <v>Unique</v>
      </c>
      <c r="D609" s="4">
        <v>45704</v>
      </c>
      <c r="E609">
        <f t="shared" si="112"/>
        <v>6</v>
      </c>
      <c r="F609" s="4">
        <v>45710</v>
      </c>
      <c r="G609" t="s">
        <v>1940</v>
      </c>
      <c r="H609" t="s">
        <v>130</v>
      </c>
      <c r="I609" t="str">
        <f t="shared" si="113"/>
        <v>Sneha Kapoor</v>
      </c>
      <c r="J609" t="s">
        <v>93</v>
      </c>
      <c r="K609" t="str">
        <f t="shared" si="114"/>
        <v>Home Office</v>
      </c>
      <c r="L609" t="s">
        <v>36</v>
      </c>
      <c r="M609" t="str">
        <f t="shared" si="119"/>
        <v>East</v>
      </c>
      <c r="N609" t="s">
        <v>143</v>
      </c>
      <c r="O609" t="str">
        <f t="shared" si="115"/>
        <v>Bihar</v>
      </c>
      <c r="P609" t="s">
        <v>144</v>
      </c>
      <c r="Q609" t="str">
        <f t="shared" si="116"/>
        <v>Patna</v>
      </c>
      <c r="R609" t="s">
        <v>26</v>
      </c>
      <c r="S609" t="str">
        <f t="shared" si="117"/>
        <v>Office Supplies</v>
      </c>
      <c r="T609" t="s">
        <v>122</v>
      </c>
      <c r="U609" t="str">
        <f t="shared" si="118"/>
        <v>Storage</v>
      </c>
      <c r="V609" t="s">
        <v>1941</v>
      </c>
      <c r="X609" t="s">
        <v>42</v>
      </c>
      <c r="Y609" t="str">
        <f t="shared" si="120"/>
        <v>Same Day</v>
      </c>
      <c r="Z609">
        <v>5</v>
      </c>
      <c r="AA609">
        <v>954.67</v>
      </c>
      <c r="AB609">
        <v>0.15</v>
      </c>
      <c r="AC609">
        <v>4057.35</v>
      </c>
      <c r="AD609">
        <v>2862.03</v>
      </c>
      <c r="AE609">
        <v>1195.32</v>
      </c>
      <c r="AF609" t="s">
        <v>30</v>
      </c>
      <c r="AG609" t="str">
        <f t="shared" si="121"/>
        <v>Paid</v>
      </c>
      <c r="AH609" t="s">
        <v>31</v>
      </c>
    </row>
    <row r="610" spans="1:34">
      <c r="A610" t="s">
        <v>1942</v>
      </c>
      <c r="B610">
        <f>COUNTIF($A:$A,A610)</f>
        <v>1</v>
      </c>
      <c r="C610" t="str">
        <f t="shared" si="111"/>
        <v>Unique</v>
      </c>
      <c r="D610" s="4">
        <v>45464</v>
      </c>
      <c r="E610">
        <f t="shared" si="112"/>
        <v>2</v>
      </c>
      <c r="F610" s="4">
        <v>45466</v>
      </c>
      <c r="G610" t="s">
        <v>1718</v>
      </c>
      <c r="H610" t="s">
        <v>21</v>
      </c>
      <c r="I610" t="str">
        <f t="shared" si="113"/>
        <v>Karan Malhotra</v>
      </c>
      <c r="J610" t="s">
        <v>93</v>
      </c>
      <c r="K610" t="str">
        <f t="shared" si="114"/>
        <v>Home Office</v>
      </c>
      <c r="L610" t="s">
        <v>61</v>
      </c>
      <c r="M610" t="str">
        <f t="shared" si="119"/>
        <v>West</v>
      </c>
      <c r="N610" t="s">
        <v>188</v>
      </c>
      <c r="O610" t="str">
        <f t="shared" si="115"/>
        <v>Goa</v>
      </c>
      <c r="P610" t="s">
        <v>189</v>
      </c>
      <c r="Q610" t="str">
        <f t="shared" si="116"/>
        <v>Panaji</v>
      </c>
      <c r="R610" t="s">
        <v>39</v>
      </c>
      <c r="S610" t="str">
        <f t="shared" si="117"/>
        <v>Furniture</v>
      </c>
      <c r="T610" t="s">
        <v>55</v>
      </c>
      <c r="U610" t="str">
        <f t="shared" si="118"/>
        <v>Furnishings</v>
      </c>
      <c r="V610" t="s">
        <v>1943</v>
      </c>
      <c r="X610" t="s">
        <v>29</v>
      </c>
      <c r="Y610" t="str">
        <f t="shared" si="120"/>
        <v>Second Class</v>
      </c>
      <c r="Z610">
        <v>9</v>
      </c>
      <c r="AA610">
        <v>2153.75</v>
      </c>
      <c r="AB610">
        <v>0</v>
      </c>
      <c r="AC610">
        <v>19383.75</v>
      </c>
      <c r="AD610">
        <v>11667.43</v>
      </c>
      <c r="AE610">
        <v>7716.32</v>
      </c>
      <c r="AF610" t="s">
        <v>30</v>
      </c>
      <c r="AG610" t="str">
        <f t="shared" si="121"/>
        <v>Paid</v>
      </c>
      <c r="AH610" t="s">
        <v>31</v>
      </c>
    </row>
    <row r="611" spans="1:34">
      <c r="A611" t="s">
        <v>1944</v>
      </c>
      <c r="B611">
        <f>COUNTIF($A:$A,A611)</f>
        <v>1</v>
      </c>
      <c r="C611" t="str">
        <f t="shared" si="111"/>
        <v>Unique</v>
      </c>
      <c r="D611" s="4">
        <v>45870</v>
      </c>
      <c r="E611">
        <f t="shared" si="112"/>
        <v>122</v>
      </c>
      <c r="F611" s="4">
        <v>45992</v>
      </c>
      <c r="G611" t="s">
        <v>1945</v>
      </c>
      <c r="H611" t="s">
        <v>130</v>
      </c>
      <c r="I611" t="str">
        <f t="shared" si="113"/>
        <v>Sneha Kapoor</v>
      </c>
      <c r="J611" t="s">
        <v>93</v>
      </c>
      <c r="K611" t="str">
        <f t="shared" si="114"/>
        <v>Home Office</v>
      </c>
      <c r="L611" t="s">
        <v>52</v>
      </c>
      <c r="M611" t="str">
        <f t="shared" si="119"/>
        <v>South</v>
      </c>
      <c r="N611" t="s">
        <v>173</v>
      </c>
      <c r="O611" t="str">
        <f t="shared" si="115"/>
        <v>Karnataka</v>
      </c>
      <c r="P611" t="s">
        <v>174</v>
      </c>
      <c r="Q611" t="str">
        <f t="shared" si="116"/>
        <v>Bengaluru</v>
      </c>
      <c r="R611" t="s">
        <v>39</v>
      </c>
      <c r="S611" t="str">
        <f t="shared" si="117"/>
        <v>Furniture</v>
      </c>
      <c r="T611" t="s">
        <v>64</v>
      </c>
      <c r="U611" t="str">
        <f t="shared" si="118"/>
        <v>Chairs</v>
      </c>
      <c r="V611" t="s">
        <v>1946</v>
      </c>
      <c r="X611" t="s">
        <v>57</v>
      </c>
      <c r="Y611" t="str">
        <f t="shared" si="120"/>
        <v>Standard Class</v>
      </c>
      <c r="Z611">
        <v>7</v>
      </c>
      <c r="AA611">
        <v>4337.4799999999996</v>
      </c>
      <c r="AB611">
        <v>0</v>
      </c>
      <c r="AC611">
        <v>30362.36</v>
      </c>
      <c r="AD611">
        <v>25065.4</v>
      </c>
      <c r="AE611">
        <v>5296.96</v>
      </c>
      <c r="AF611" t="s">
        <v>30</v>
      </c>
      <c r="AG611" t="str">
        <f t="shared" si="121"/>
        <v>Paid</v>
      </c>
      <c r="AH611" t="s">
        <v>31</v>
      </c>
    </row>
    <row r="612" spans="1:34">
      <c r="A612" t="s">
        <v>1947</v>
      </c>
      <c r="B612">
        <f>COUNTIF($A:$A,A612)</f>
        <v>1</v>
      </c>
      <c r="C612" t="str">
        <f t="shared" si="111"/>
        <v>Unique</v>
      </c>
      <c r="D612" s="4">
        <v>45432</v>
      </c>
      <c r="E612">
        <f t="shared" si="112"/>
        <v>0</v>
      </c>
      <c r="F612" s="4">
        <v>45432</v>
      </c>
      <c r="G612" t="s">
        <v>1386</v>
      </c>
      <c r="H612" t="s">
        <v>21</v>
      </c>
      <c r="I612" t="str">
        <f t="shared" si="113"/>
        <v>Karan Malhotra</v>
      </c>
      <c r="J612" t="s">
        <v>93</v>
      </c>
      <c r="K612" t="str">
        <f t="shared" si="114"/>
        <v>Home Office</v>
      </c>
      <c r="L612" t="s">
        <v>61</v>
      </c>
      <c r="M612" t="str">
        <f t="shared" si="119"/>
        <v>West</v>
      </c>
      <c r="N612" t="s">
        <v>70</v>
      </c>
      <c r="O612" t="str">
        <f t="shared" si="115"/>
        <v>Madhya Pradesh</v>
      </c>
      <c r="P612" t="s">
        <v>71</v>
      </c>
      <c r="Q612" t="str">
        <f t="shared" si="116"/>
        <v>Indore</v>
      </c>
      <c r="R612" t="s">
        <v>39</v>
      </c>
      <c r="S612" t="str">
        <f t="shared" si="117"/>
        <v>Furniture</v>
      </c>
      <c r="T612" t="s">
        <v>64</v>
      </c>
      <c r="U612" t="str">
        <f t="shared" si="118"/>
        <v>Chairs</v>
      </c>
      <c r="V612" t="s">
        <v>1948</v>
      </c>
      <c r="X612" t="s">
        <v>57</v>
      </c>
      <c r="Y612" t="str">
        <f t="shared" si="120"/>
        <v>Standard Class</v>
      </c>
      <c r="Z612">
        <v>1</v>
      </c>
      <c r="AA612">
        <v>3032.95</v>
      </c>
      <c r="AB612">
        <v>0.1</v>
      </c>
      <c r="AC612">
        <v>2729.65</v>
      </c>
      <c r="AD612">
        <v>1715.36</v>
      </c>
      <c r="AE612">
        <v>1014.29</v>
      </c>
      <c r="AF612" t="s">
        <v>30</v>
      </c>
      <c r="AG612" t="str">
        <f t="shared" si="121"/>
        <v>Paid</v>
      </c>
      <c r="AH612" t="s">
        <v>31</v>
      </c>
    </row>
    <row r="613" spans="1:34">
      <c r="A613" t="s">
        <v>1949</v>
      </c>
      <c r="B613">
        <f>COUNTIF($A:$A,A613)</f>
        <v>1</v>
      </c>
      <c r="C613" t="str">
        <f t="shared" si="111"/>
        <v>Unique</v>
      </c>
      <c r="D613" s="4">
        <v>45876</v>
      </c>
      <c r="E613">
        <f t="shared" si="112"/>
        <v>-23</v>
      </c>
      <c r="F613" s="4">
        <v>45853</v>
      </c>
      <c r="G613" t="s">
        <v>1950</v>
      </c>
      <c r="H613" t="s">
        <v>60</v>
      </c>
      <c r="I613" t="str">
        <f t="shared" si="113"/>
        <v>Ananya Rao</v>
      </c>
      <c r="J613" t="s">
        <v>35</v>
      </c>
      <c r="K613" t="str">
        <f t="shared" si="114"/>
        <v>Small Business</v>
      </c>
      <c r="L613" t="s">
        <v>23</v>
      </c>
      <c r="M613" t="str">
        <f t="shared" si="119"/>
        <v>North</v>
      </c>
      <c r="N613" t="s">
        <v>24</v>
      </c>
      <c r="O613" t="str">
        <f t="shared" si="115"/>
        <v>Rajasthan</v>
      </c>
      <c r="P613" t="s">
        <v>25</v>
      </c>
      <c r="Q613" t="str">
        <f t="shared" si="116"/>
        <v>Jaipur</v>
      </c>
      <c r="R613" t="s">
        <v>26</v>
      </c>
      <c r="S613" t="str">
        <f t="shared" si="117"/>
        <v>Office Supplies</v>
      </c>
      <c r="T613" t="s">
        <v>151</v>
      </c>
      <c r="U613" t="str">
        <f t="shared" si="118"/>
        <v>Binders</v>
      </c>
      <c r="V613" t="s">
        <v>1951</v>
      </c>
      <c r="X613" t="s">
        <v>42</v>
      </c>
      <c r="Y613" t="str">
        <f t="shared" si="120"/>
        <v>Same Day</v>
      </c>
      <c r="Z613">
        <v>8</v>
      </c>
      <c r="AA613">
        <v>655.28</v>
      </c>
      <c r="AB613">
        <v>0.1</v>
      </c>
      <c r="AC613">
        <v>4718.0200000000004</v>
      </c>
      <c r="AD613">
        <v>3908.23</v>
      </c>
      <c r="AE613">
        <v>809.79</v>
      </c>
      <c r="AF613" t="s">
        <v>30</v>
      </c>
      <c r="AG613" t="str">
        <f t="shared" si="121"/>
        <v>Paid</v>
      </c>
      <c r="AH613" t="s">
        <v>31</v>
      </c>
    </row>
    <row r="614" spans="1:34">
      <c r="A614" t="s">
        <v>1952</v>
      </c>
      <c r="B614">
        <f>COUNTIF($A:$A,A614)</f>
        <v>1</v>
      </c>
      <c r="C614" t="str">
        <f t="shared" si="111"/>
        <v>Unique</v>
      </c>
      <c r="D614" s="4">
        <v>45812</v>
      </c>
      <c r="E614">
        <f t="shared" si="112"/>
        <v>-52</v>
      </c>
      <c r="F614" s="4">
        <v>45760</v>
      </c>
      <c r="G614" t="s">
        <v>1953</v>
      </c>
      <c r="H614" t="s">
        <v>87</v>
      </c>
      <c r="I614" t="str">
        <f t="shared" si="113"/>
        <v>Aditi Sen</v>
      </c>
      <c r="J614" t="s">
        <v>22</v>
      </c>
      <c r="K614" t="str">
        <f t="shared" si="114"/>
        <v>Consumer</v>
      </c>
      <c r="M614" t="s">
        <v>2828</v>
      </c>
      <c r="N614" t="s">
        <v>37</v>
      </c>
      <c r="O614" t="str">
        <f t="shared" si="115"/>
        <v>Odisha</v>
      </c>
      <c r="P614" t="s">
        <v>38</v>
      </c>
      <c r="Q614" t="str">
        <f t="shared" si="116"/>
        <v>Bhubaneswar</v>
      </c>
      <c r="R614" t="s">
        <v>72</v>
      </c>
      <c r="S614" t="str">
        <f t="shared" si="117"/>
        <v>Technology</v>
      </c>
      <c r="T614" t="s">
        <v>169</v>
      </c>
      <c r="U614" t="str">
        <f t="shared" si="118"/>
        <v>Phones</v>
      </c>
      <c r="V614" t="s">
        <v>1954</v>
      </c>
      <c r="X614" t="s">
        <v>57</v>
      </c>
      <c r="Y614" t="str">
        <f t="shared" si="120"/>
        <v>Standard Class</v>
      </c>
      <c r="Z614">
        <v>1</v>
      </c>
      <c r="AA614">
        <v>3844.01</v>
      </c>
      <c r="AB614">
        <v>0</v>
      </c>
      <c r="AC614">
        <v>3844.01</v>
      </c>
      <c r="AD614">
        <v>2195.79</v>
      </c>
      <c r="AE614">
        <v>1648.22</v>
      </c>
      <c r="AF614" t="s">
        <v>30</v>
      </c>
      <c r="AG614" t="str">
        <f t="shared" si="121"/>
        <v>Paid</v>
      </c>
      <c r="AH614" t="s">
        <v>31</v>
      </c>
    </row>
    <row r="615" spans="1:34">
      <c r="A615" t="s">
        <v>1955</v>
      </c>
      <c r="B615">
        <f>COUNTIF($A:$A,A615)</f>
        <v>1</v>
      </c>
      <c r="C615" t="str">
        <f t="shared" si="111"/>
        <v>Unique</v>
      </c>
      <c r="D615" s="4">
        <v>45422</v>
      </c>
      <c r="E615">
        <f t="shared" si="112"/>
        <v>153</v>
      </c>
      <c r="F615" s="4">
        <v>45575</v>
      </c>
      <c r="G615" t="s">
        <v>1956</v>
      </c>
      <c r="H615" t="s">
        <v>160</v>
      </c>
      <c r="I615" t="str">
        <f t="shared" si="113"/>
        <v>Diya Patel</v>
      </c>
      <c r="J615" t="s">
        <v>93</v>
      </c>
      <c r="K615" t="str">
        <f t="shared" si="114"/>
        <v>Home Office</v>
      </c>
      <c r="L615" t="s">
        <v>61</v>
      </c>
      <c r="M615" t="str">
        <f t="shared" ref="M615:M659" si="122">PROPER(TRIM(L615))</f>
        <v>West</v>
      </c>
      <c r="N615" t="s">
        <v>178</v>
      </c>
      <c r="O615" t="str">
        <f t="shared" si="115"/>
        <v>Gujarat</v>
      </c>
      <c r="P615" t="s">
        <v>179</v>
      </c>
      <c r="Q615" t="str">
        <f t="shared" si="116"/>
        <v>Ahmedabad</v>
      </c>
      <c r="R615" t="s">
        <v>72</v>
      </c>
      <c r="S615" t="str">
        <f t="shared" si="117"/>
        <v>Technology</v>
      </c>
      <c r="T615" t="s">
        <v>273</v>
      </c>
      <c r="U615" t="str">
        <f t="shared" si="118"/>
        <v>Machines</v>
      </c>
      <c r="V615" t="s">
        <v>1957</v>
      </c>
      <c r="X615" t="s">
        <v>42</v>
      </c>
      <c r="Y615" t="str">
        <f t="shared" si="120"/>
        <v>Same Day</v>
      </c>
      <c r="Z615">
        <v>9</v>
      </c>
      <c r="AA615">
        <v>3361.3</v>
      </c>
      <c r="AB615">
        <v>0.25</v>
      </c>
      <c r="AC615">
        <v>22688.78</v>
      </c>
      <c r="AD615">
        <v>14672.41</v>
      </c>
      <c r="AE615">
        <v>8016.37</v>
      </c>
      <c r="AF615" t="s">
        <v>30</v>
      </c>
      <c r="AG615" t="str">
        <f t="shared" si="121"/>
        <v>Paid</v>
      </c>
      <c r="AH615" t="s">
        <v>31</v>
      </c>
    </row>
    <row r="616" spans="1:34">
      <c r="A616" t="s">
        <v>1958</v>
      </c>
      <c r="B616">
        <f>COUNTIF($A:$A,A616)</f>
        <v>1</v>
      </c>
      <c r="C616" t="str">
        <f t="shared" si="111"/>
        <v>Unique</v>
      </c>
      <c r="D616" s="4">
        <v>45598</v>
      </c>
      <c r="E616">
        <f t="shared" si="112"/>
        <v>-257</v>
      </c>
      <c r="F616" s="4">
        <v>45341</v>
      </c>
      <c r="G616" t="s">
        <v>1959</v>
      </c>
      <c r="H616" t="s">
        <v>60</v>
      </c>
      <c r="I616" t="str">
        <f t="shared" si="113"/>
        <v>Ananya Rao</v>
      </c>
      <c r="J616" t="s">
        <v>93</v>
      </c>
      <c r="K616" t="str">
        <f t="shared" si="114"/>
        <v>Home Office</v>
      </c>
      <c r="L616" t="s">
        <v>52</v>
      </c>
      <c r="M616" t="str">
        <f t="shared" si="122"/>
        <v>South</v>
      </c>
      <c r="N616" t="s">
        <v>53</v>
      </c>
      <c r="O616" t="str">
        <f t="shared" si="115"/>
        <v>Telangana</v>
      </c>
      <c r="P616" t="s">
        <v>54</v>
      </c>
      <c r="Q616" t="str">
        <f t="shared" si="116"/>
        <v>Hyderabad</v>
      </c>
      <c r="R616" t="s">
        <v>39</v>
      </c>
      <c r="S616" t="str">
        <f t="shared" si="117"/>
        <v>Furniture</v>
      </c>
      <c r="T616" t="s">
        <v>64</v>
      </c>
      <c r="U616" t="str">
        <f t="shared" si="118"/>
        <v>Chairs</v>
      </c>
      <c r="V616" t="s">
        <v>1960</v>
      </c>
      <c r="X616" t="s">
        <v>57</v>
      </c>
      <c r="Y616" t="str">
        <f t="shared" si="120"/>
        <v>Standard Class</v>
      </c>
      <c r="Z616">
        <v>8</v>
      </c>
      <c r="AA616">
        <v>3398.32</v>
      </c>
      <c r="AB616">
        <v>0.25</v>
      </c>
      <c r="AC616">
        <v>20389.919999999998</v>
      </c>
      <c r="AD616">
        <v>16661.080000000002</v>
      </c>
      <c r="AE616">
        <v>3728.84</v>
      </c>
      <c r="AF616" t="s">
        <v>100</v>
      </c>
      <c r="AG616" t="str">
        <f t="shared" si="121"/>
        <v>Refunded</v>
      </c>
      <c r="AH616" t="s">
        <v>66</v>
      </c>
    </row>
    <row r="617" spans="1:34">
      <c r="A617" t="s">
        <v>1961</v>
      </c>
      <c r="B617">
        <f>COUNTIF($A:$A,A617)</f>
        <v>1</v>
      </c>
      <c r="C617" t="str">
        <f t="shared" si="111"/>
        <v>Unique</v>
      </c>
      <c r="D617" s="4">
        <v>45392</v>
      </c>
      <c r="E617">
        <f t="shared" si="112"/>
        <v>180</v>
      </c>
      <c r="F617" s="4">
        <v>45572</v>
      </c>
      <c r="G617" t="s">
        <v>1962</v>
      </c>
      <c r="H617" t="s">
        <v>116</v>
      </c>
      <c r="I617" t="str">
        <f t="shared" si="113"/>
        <v>Rahul Verma</v>
      </c>
      <c r="J617" t="s">
        <v>88</v>
      </c>
      <c r="K617" t="str">
        <f t="shared" si="114"/>
        <v>Corporate</v>
      </c>
      <c r="L617" t="s">
        <v>52</v>
      </c>
      <c r="M617" t="str">
        <f t="shared" si="122"/>
        <v>South</v>
      </c>
      <c r="N617" t="s">
        <v>183</v>
      </c>
      <c r="O617" t="str">
        <f t="shared" si="115"/>
        <v>Kerala</v>
      </c>
      <c r="P617" t="s">
        <v>184</v>
      </c>
      <c r="Q617" t="str">
        <f t="shared" si="116"/>
        <v>Kochi</v>
      </c>
      <c r="R617" t="s">
        <v>26</v>
      </c>
      <c r="S617" t="str">
        <f t="shared" si="117"/>
        <v>Office Supplies</v>
      </c>
      <c r="T617" t="s">
        <v>46</v>
      </c>
      <c r="U617" t="str">
        <f t="shared" si="118"/>
        <v>Art</v>
      </c>
      <c r="V617" t="s">
        <v>1963</v>
      </c>
      <c r="X617" t="s">
        <v>29</v>
      </c>
      <c r="Y617" t="str">
        <f t="shared" si="120"/>
        <v>Second Class</v>
      </c>
      <c r="Z617">
        <v>2</v>
      </c>
      <c r="AA617">
        <v>3144.38</v>
      </c>
      <c r="AB617">
        <v>0.1</v>
      </c>
      <c r="AC617">
        <v>5904.57</v>
      </c>
      <c r="AD617">
        <v>4337.79</v>
      </c>
      <c r="AE617">
        <v>1322.09</v>
      </c>
      <c r="AF617" t="s">
        <v>30</v>
      </c>
      <c r="AG617" t="str">
        <f t="shared" si="121"/>
        <v>Paid</v>
      </c>
      <c r="AH617" t="s">
        <v>31</v>
      </c>
    </row>
    <row r="618" spans="1:34">
      <c r="A618" t="s">
        <v>1964</v>
      </c>
      <c r="B618">
        <f>COUNTIF($A:$A,A618)</f>
        <v>1</v>
      </c>
      <c r="C618" t="str">
        <f t="shared" si="111"/>
        <v>Unique</v>
      </c>
      <c r="D618" s="4">
        <v>45520</v>
      </c>
      <c r="E618">
        <f t="shared" si="112"/>
        <v>3</v>
      </c>
      <c r="F618" s="4">
        <v>45523</v>
      </c>
      <c r="G618" t="s">
        <v>1965</v>
      </c>
      <c r="H618" t="s">
        <v>263</v>
      </c>
      <c r="I618" t="str">
        <f t="shared" si="113"/>
        <v>Kabir Singh</v>
      </c>
      <c r="J618" t="s">
        <v>22</v>
      </c>
      <c r="K618" t="str">
        <f t="shared" si="114"/>
        <v>Consumer</v>
      </c>
      <c r="L618" t="s">
        <v>52</v>
      </c>
      <c r="M618" t="str">
        <f t="shared" si="122"/>
        <v>South</v>
      </c>
      <c r="N618" t="s">
        <v>53</v>
      </c>
      <c r="O618" t="str">
        <f t="shared" si="115"/>
        <v>Telangana</v>
      </c>
      <c r="P618" t="s">
        <v>54</v>
      </c>
      <c r="Q618" t="str">
        <f t="shared" si="116"/>
        <v>Hyderabad</v>
      </c>
      <c r="R618" t="s">
        <v>26</v>
      </c>
      <c r="S618" t="str">
        <f t="shared" si="117"/>
        <v>Office Supplies</v>
      </c>
      <c r="T618" t="s">
        <v>27</v>
      </c>
      <c r="U618" t="str">
        <f t="shared" si="118"/>
        <v>Paper</v>
      </c>
      <c r="V618" t="s">
        <v>1966</v>
      </c>
      <c r="X618" t="s">
        <v>57</v>
      </c>
      <c r="Y618" t="str">
        <f t="shared" si="120"/>
        <v>Standard Class</v>
      </c>
      <c r="Z618">
        <v>6</v>
      </c>
      <c r="AA618">
        <v>3925.55</v>
      </c>
      <c r="AB618">
        <v>0.2</v>
      </c>
      <c r="AC618">
        <v>18842.64</v>
      </c>
      <c r="AD618">
        <v>11840.58</v>
      </c>
      <c r="AE618">
        <v>7002.06</v>
      </c>
      <c r="AF618" t="s">
        <v>30</v>
      </c>
      <c r="AG618" t="str">
        <f t="shared" si="121"/>
        <v>Paid</v>
      </c>
      <c r="AH618" t="s">
        <v>31</v>
      </c>
    </row>
    <row r="619" spans="1:34">
      <c r="A619" t="s">
        <v>1967</v>
      </c>
      <c r="B619">
        <f>COUNTIF($A:$A,A619)</f>
        <v>1</v>
      </c>
      <c r="C619" t="str">
        <f t="shared" si="111"/>
        <v>Unique</v>
      </c>
      <c r="D619" s="4">
        <v>45564</v>
      </c>
      <c r="E619">
        <f t="shared" si="112"/>
        <v>1</v>
      </c>
      <c r="F619" s="4">
        <v>45565</v>
      </c>
      <c r="G619" t="s">
        <v>1968</v>
      </c>
      <c r="H619" t="s">
        <v>34</v>
      </c>
      <c r="I619" t="str">
        <f t="shared" si="113"/>
        <v>Mira Das</v>
      </c>
      <c r="J619" t="s">
        <v>93</v>
      </c>
      <c r="K619" t="str">
        <f t="shared" si="114"/>
        <v>Home Office</v>
      </c>
      <c r="L619" t="s">
        <v>52</v>
      </c>
      <c r="M619" t="str">
        <f t="shared" si="122"/>
        <v>South</v>
      </c>
      <c r="N619" t="s">
        <v>53</v>
      </c>
      <c r="O619" t="str">
        <f t="shared" si="115"/>
        <v>Telangana</v>
      </c>
      <c r="P619" t="s">
        <v>54</v>
      </c>
      <c r="Q619" t="str">
        <f t="shared" si="116"/>
        <v>Hyderabad</v>
      </c>
      <c r="R619" t="s">
        <v>72</v>
      </c>
      <c r="S619" t="str">
        <f t="shared" si="117"/>
        <v>Technology</v>
      </c>
      <c r="T619" t="s">
        <v>169</v>
      </c>
      <c r="U619" t="str">
        <f t="shared" si="118"/>
        <v>Phones</v>
      </c>
      <c r="V619" t="s">
        <v>1969</v>
      </c>
      <c r="X619" t="s">
        <v>57</v>
      </c>
      <c r="Y619" t="str">
        <f t="shared" si="120"/>
        <v>Standard Class</v>
      </c>
      <c r="Z619">
        <v>9</v>
      </c>
      <c r="AA619">
        <v>2741.91</v>
      </c>
      <c r="AB619">
        <v>0</v>
      </c>
      <c r="AC619">
        <v>24677.19</v>
      </c>
      <c r="AD619">
        <v>20350.849999999999</v>
      </c>
      <c r="AE619">
        <v>4326.34</v>
      </c>
      <c r="AF619" t="s">
        <v>30</v>
      </c>
      <c r="AG619" t="str">
        <f t="shared" si="121"/>
        <v>Paid</v>
      </c>
      <c r="AH619" t="s">
        <v>31</v>
      </c>
    </row>
    <row r="620" spans="1:34">
      <c r="A620" t="s">
        <v>1970</v>
      </c>
      <c r="B620">
        <f>COUNTIF($A:$A,A620)</f>
        <v>1</v>
      </c>
      <c r="C620" t="str">
        <f t="shared" si="111"/>
        <v>Unique</v>
      </c>
      <c r="D620" s="4">
        <v>45496</v>
      </c>
      <c r="E620">
        <f t="shared" si="112"/>
        <v>7</v>
      </c>
      <c r="F620" s="4">
        <v>45503</v>
      </c>
      <c r="G620" t="s">
        <v>1971</v>
      </c>
      <c r="H620" t="s">
        <v>263</v>
      </c>
      <c r="I620" t="str">
        <f t="shared" si="113"/>
        <v>Kabir Singh</v>
      </c>
      <c r="J620" t="s">
        <v>88</v>
      </c>
      <c r="K620" t="str">
        <f t="shared" si="114"/>
        <v>Corporate</v>
      </c>
      <c r="L620" t="s">
        <v>23</v>
      </c>
      <c r="M620" t="str">
        <f t="shared" si="122"/>
        <v>North</v>
      </c>
      <c r="N620" t="s">
        <v>24</v>
      </c>
      <c r="O620" t="str">
        <f t="shared" si="115"/>
        <v>Rajasthan</v>
      </c>
      <c r="P620" t="s">
        <v>25</v>
      </c>
      <c r="Q620" t="str">
        <f t="shared" si="116"/>
        <v>Jaipur</v>
      </c>
      <c r="R620" t="s">
        <v>39</v>
      </c>
      <c r="S620" t="str">
        <f t="shared" si="117"/>
        <v>Furniture</v>
      </c>
      <c r="T620" t="s">
        <v>40</v>
      </c>
      <c r="U620" t="str">
        <f t="shared" si="118"/>
        <v>Tables</v>
      </c>
      <c r="V620" t="s">
        <v>1972</v>
      </c>
      <c r="X620" t="s">
        <v>42</v>
      </c>
      <c r="Y620" t="str">
        <f t="shared" si="120"/>
        <v>Same Day</v>
      </c>
      <c r="Z620">
        <v>9</v>
      </c>
      <c r="AA620">
        <v>1870.11</v>
      </c>
      <c r="AB620">
        <v>0.25</v>
      </c>
      <c r="AC620">
        <v>12623.24</v>
      </c>
      <c r="AD620">
        <v>10540.8</v>
      </c>
      <c r="AE620">
        <v>2082.44</v>
      </c>
      <c r="AF620" t="s">
        <v>153</v>
      </c>
      <c r="AG620" t="str">
        <f t="shared" si="121"/>
        <v>Failed</v>
      </c>
      <c r="AH620" t="s">
        <v>66</v>
      </c>
    </row>
    <row r="621" spans="1:34">
      <c r="A621" t="s">
        <v>1973</v>
      </c>
      <c r="B621">
        <f>COUNTIF($A:$A,A621)</f>
        <v>1</v>
      </c>
      <c r="C621" t="str">
        <f t="shared" si="111"/>
        <v>Unique</v>
      </c>
      <c r="D621" s="4">
        <v>45618</v>
      </c>
      <c r="E621">
        <f t="shared" si="112"/>
        <v>5</v>
      </c>
      <c r="F621" s="4">
        <v>45623</v>
      </c>
      <c r="G621" t="s">
        <v>1974</v>
      </c>
      <c r="H621" t="s">
        <v>112</v>
      </c>
      <c r="I621" t="str">
        <f t="shared" si="113"/>
        <v>Priya Menon</v>
      </c>
      <c r="J621" t="s">
        <v>88</v>
      </c>
      <c r="K621" t="str">
        <f t="shared" si="114"/>
        <v>Corporate</v>
      </c>
      <c r="L621" t="s">
        <v>52</v>
      </c>
      <c r="M621" t="str">
        <f t="shared" si="122"/>
        <v>South</v>
      </c>
      <c r="N621" t="s">
        <v>246</v>
      </c>
      <c r="O621" t="str">
        <f t="shared" si="115"/>
        <v>Tamil Nadu</v>
      </c>
      <c r="P621" t="s">
        <v>247</v>
      </c>
      <c r="Q621" t="str">
        <f t="shared" si="116"/>
        <v>Chennai</v>
      </c>
      <c r="R621" t="s">
        <v>26</v>
      </c>
      <c r="S621" t="str">
        <f t="shared" si="117"/>
        <v>Office Supplies</v>
      </c>
      <c r="T621" t="s">
        <v>151</v>
      </c>
      <c r="U621" t="str">
        <f t="shared" si="118"/>
        <v>Binders</v>
      </c>
      <c r="V621" t="s">
        <v>1975</v>
      </c>
      <c r="X621" t="s">
        <v>48</v>
      </c>
      <c r="Y621" t="str">
        <f t="shared" si="120"/>
        <v>First Class</v>
      </c>
      <c r="Z621">
        <v>1</v>
      </c>
      <c r="AA621">
        <v>4251.26</v>
      </c>
      <c r="AB621">
        <v>0.2</v>
      </c>
      <c r="AC621">
        <v>3401.01</v>
      </c>
      <c r="AD621">
        <v>2917.54</v>
      </c>
      <c r="AE621">
        <v>483.47</v>
      </c>
      <c r="AF621" t="s">
        <v>100</v>
      </c>
      <c r="AG621" t="str">
        <f t="shared" si="121"/>
        <v>Refunded</v>
      </c>
      <c r="AH621" t="s">
        <v>101</v>
      </c>
    </row>
    <row r="622" spans="1:34">
      <c r="A622" t="s">
        <v>1976</v>
      </c>
      <c r="B622">
        <f>COUNTIF($A:$A,A622)</f>
        <v>1</v>
      </c>
      <c r="C622" t="str">
        <f t="shared" si="111"/>
        <v>Unique</v>
      </c>
      <c r="D622" s="4">
        <v>45522</v>
      </c>
      <c r="E622">
        <f t="shared" si="112"/>
        <v>3</v>
      </c>
      <c r="F622" s="4">
        <v>45525</v>
      </c>
      <c r="G622" t="s">
        <v>1977</v>
      </c>
      <c r="H622" t="s">
        <v>69</v>
      </c>
      <c r="I622" t="str">
        <f t="shared" si="113"/>
        <v>Vikram Iyer</v>
      </c>
      <c r="J622" t="s">
        <v>22</v>
      </c>
      <c r="K622" t="str">
        <f t="shared" si="114"/>
        <v>Consumer</v>
      </c>
      <c r="L622" t="s">
        <v>23</v>
      </c>
      <c r="M622" t="str">
        <f t="shared" si="122"/>
        <v>North</v>
      </c>
      <c r="N622" t="s">
        <v>134</v>
      </c>
      <c r="O622" t="str">
        <f t="shared" si="115"/>
        <v>Uttar Pradesh</v>
      </c>
      <c r="P622" t="s">
        <v>135</v>
      </c>
      <c r="Q622" t="str">
        <f t="shared" si="116"/>
        <v>Noida</v>
      </c>
      <c r="R622" t="s">
        <v>72</v>
      </c>
      <c r="S622" t="str">
        <f t="shared" si="117"/>
        <v>Technology</v>
      </c>
      <c r="T622" t="s">
        <v>273</v>
      </c>
      <c r="U622" t="str">
        <f t="shared" si="118"/>
        <v>Machines</v>
      </c>
      <c r="V622" t="s">
        <v>1978</v>
      </c>
      <c r="X622" t="s">
        <v>57</v>
      </c>
      <c r="Y622" t="str">
        <f t="shared" si="120"/>
        <v>Standard Class</v>
      </c>
      <c r="Z622">
        <v>9</v>
      </c>
      <c r="AA622">
        <v>734.34</v>
      </c>
      <c r="AB622">
        <v>0</v>
      </c>
      <c r="AC622">
        <v>6609.06</v>
      </c>
      <c r="AD622">
        <v>4946.78</v>
      </c>
      <c r="AE622">
        <v>1662.28</v>
      </c>
      <c r="AF622" t="s">
        <v>30</v>
      </c>
      <c r="AG622" t="str">
        <f t="shared" si="121"/>
        <v>Paid</v>
      </c>
      <c r="AH622" t="s">
        <v>31</v>
      </c>
    </row>
    <row r="623" spans="1:34">
      <c r="A623" t="s">
        <v>1979</v>
      </c>
      <c r="B623">
        <f>COUNTIF($A:$A,A623)</f>
        <v>1</v>
      </c>
      <c r="C623" t="str">
        <f t="shared" si="111"/>
        <v>Unique</v>
      </c>
      <c r="D623" s="4">
        <v>45624</v>
      </c>
      <c r="E623">
        <f t="shared" si="112"/>
        <v>-169</v>
      </c>
      <c r="F623" s="4">
        <v>45455</v>
      </c>
      <c r="G623" t="s">
        <v>1980</v>
      </c>
      <c r="H623" t="s">
        <v>87</v>
      </c>
      <c r="I623" t="str">
        <f t="shared" si="113"/>
        <v>Aditi Sen</v>
      </c>
      <c r="J623" t="s">
        <v>22</v>
      </c>
      <c r="K623" t="str">
        <f t="shared" si="114"/>
        <v>Consumer</v>
      </c>
      <c r="L623" t="s">
        <v>61</v>
      </c>
      <c r="M623" t="str">
        <f t="shared" si="122"/>
        <v>West</v>
      </c>
      <c r="N623" t="s">
        <v>62</v>
      </c>
      <c r="O623" t="str">
        <f t="shared" si="115"/>
        <v>Maharashtra</v>
      </c>
      <c r="P623" t="s">
        <v>63</v>
      </c>
      <c r="Q623" t="str">
        <f t="shared" si="116"/>
        <v>Mumbai</v>
      </c>
      <c r="R623" t="s">
        <v>39</v>
      </c>
      <c r="S623" t="str">
        <f t="shared" si="117"/>
        <v>Furniture</v>
      </c>
      <c r="T623" t="s">
        <v>64</v>
      </c>
      <c r="U623" t="str">
        <f t="shared" si="118"/>
        <v>Chairs</v>
      </c>
      <c r="V623" t="s">
        <v>1981</v>
      </c>
      <c r="X623" t="s">
        <v>42</v>
      </c>
      <c r="Y623" t="str">
        <f t="shared" si="120"/>
        <v>Same Day</v>
      </c>
      <c r="Z623">
        <v>5</v>
      </c>
      <c r="AA623">
        <v>1092.8399999999999</v>
      </c>
      <c r="AC623">
        <v>5464.2</v>
      </c>
      <c r="AD623">
        <v>3318.09</v>
      </c>
      <c r="AE623">
        <v>2146.11</v>
      </c>
      <c r="AF623" t="s">
        <v>30</v>
      </c>
      <c r="AG623" t="str">
        <f t="shared" si="121"/>
        <v>Paid</v>
      </c>
      <c r="AH623" t="s">
        <v>31</v>
      </c>
    </row>
    <row r="624" spans="1:34">
      <c r="A624" t="s">
        <v>1982</v>
      </c>
      <c r="B624">
        <f>COUNTIF($A:$A,A624)</f>
        <v>1</v>
      </c>
      <c r="C624" t="str">
        <f t="shared" si="111"/>
        <v>Unique</v>
      </c>
      <c r="D624" s="4">
        <v>45686</v>
      </c>
      <c r="E624">
        <f t="shared" si="112"/>
        <v>124</v>
      </c>
      <c r="F624" s="4">
        <v>45810</v>
      </c>
      <c r="G624" t="s">
        <v>1983</v>
      </c>
      <c r="H624" t="s">
        <v>69</v>
      </c>
      <c r="I624" t="str">
        <f t="shared" si="113"/>
        <v>Vikram Iyer</v>
      </c>
      <c r="J624" t="s">
        <v>22</v>
      </c>
      <c r="K624" t="str">
        <f t="shared" si="114"/>
        <v>Consumer</v>
      </c>
      <c r="L624" t="s">
        <v>36</v>
      </c>
      <c r="M624" t="str">
        <f t="shared" si="122"/>
        <v>East</v>
      </c>
      <c r="N624" t="s">
        <v>143</v>
      </c>
      <c r="O624" t="str">
        <f t="shared" si="115"/>
        <v>Bihar</v>
      </c>
      <c r="P624" t="s">
        <v>144</v>
      </c>
      <c r="Q624" t="str">
        <f t="shared" si="116"/>
        <v>Patna</v>
      </c>
      <c r="R624" t="s">
        <v>26</v>
      </c>
      <c r="S624" t="str">
        <f t="shared" si="117"/>
        <v>Office Supplies</v>
      </c>
      <c r="T624" t="s">
        <v>122</v>
      </c>
      <c r="U624" t="str">
        <f t="shared" si="118"/>
        <v>Storage</v>
      </c>
      <c r="V624" t="s">
        <v>1984</v>
      </c>
      <c r="X624" t="s">
        <v>57</v>
      </c>
      <c r="Y624" t="str">
        <f t="shared" si="120"/>
        <v>Standard Class</v>
      </c>
      <c r="Z624">
        <v>4</v>
      </c>
      <c r="AA624">
        <v>2759.01</v>
      </c>
      <c r="AB624">
        <v>0.05</v>
      </c>
      <c r="AC624">
        <v>10484.24</v>
      </c>
      <c r="AD624">
        <v>6680.15</v>
      </c>
      <c r="AE624">
        <v>3804.09</v>
      </c>
      <c r="AF624" t="s">
        <v>30</v>
      </c>
      <c r="AG624" t="str">
        <f t="shared" si="121"/>
        <v>Paid</v>
      </c>
      <c r="AH624" t="s">
        <v>31</v>
      </c>
    </row>
    <row r="625" spans="1:34">
      <c r="A625" t="s">
        <v>1985</v>
      </c>
      <c r="B625">
        <f>COUNTIF($A:$A,A625)</f>
        <v>1</v>
      </c>
      <c r="C625" t="str">
        <f t="shared" si="111"/>
        <v>Unique</v>
      </c>
      <c r="D625" s="4">
        <v>45512</v>
      </c>
      <c r="E625">
        <f t="shared" si="112"/>
        <v>6</v>
      </c>
      <c r="F625" s="4">
        <v>45518</v>
      </c>
      <c r="G625" t="s">
        <v>1986</v>
      </c>
      <c r="H625" t="s">
        <v>69</v>
      </c>
      <c r="I625" t="str">
        <f t="shared" si="113"/>
        <v>Vikram Iyer</v>
      </c>
      <c r="J625" t="s">
        <v>93</v>
      </c>
      <c r="K625" t="str">
        <f t="shared" si="114"/>
        <v>Home Office</v>
      </c>
      <c r="L625" t="s">
        <v>23</v>
      </c>
      <c r="M625" t="str">
        <f t="shared" si="122"/>
        <v>North</v>
      </c>
      <c r="N625" t="s">
        <v>120</v>
      </c>
      <c r="O625" t="str">
        <f t="shared" si="115"/>
        <v>Punjab</v>
      </c>
      <c r="P625" t="s">
        <v>121</v>
      </c>
      <c r="Q625" t="str">
        <f t="shared" si="116"/>
        <v>Ludhiana</v>
      </c>
      <c r="R625" t="s">
        <v>26</v>
      </c>
      <c r="S625" t="str">
        <f t="shared" si="117"/>
        <v>Office Supplies</v>
      </c>
      <c r="T625" t="s">
        <v>122</v>
      </c>
      <c r="U625" t="str">
        <f t="shared" si="118"/>
        <v>Storage</v>
      </c>
      <c r="V625" t="s">
        <v>1987</v>
      </c>
      <c r="X625" t="s">
        <v>29</v>
      </c>
      <c r="Y625" t="str">
        <f t="shared" si="120"/>
        <v>Second Class</v>
      </c>
      <c r="Z625">
        <v>8</v>
      </c>
      <c r="AA625">
        <v>1359.19</v>
      </c>
      <c r="AB625">
        <v>0.05</v>
      </c>
      <c r="AC625">
        <v>10329.84</v>
      </c>
      <c r="AD625">
        <v>7512.22</v>
      </c>
      <c r="AE625">
        <v>2817.62</v>
      </c>
      <c r="AF625" t="s">
        <v>30</v>
      </c>
      <c r="AG625" t="str">
        <f t="shared" si="121"/>
        <v>Paid</v>
      </c>
      <c r="AH625" t="s">
        <v>31</v>
      </c>
    </row>
    <row r="626" spans="1:34">
      <c r="A626" t="s">
        <v>1988</v>
      </c>
      <c r="B626">
        <f>COUNTIF($A:$A,A626)</f>
        <v>1</v>
      </c>
      <c r="C626" t="str">
        <f t="shared" si="111"/>
        <v>Unique</v>
      </c>
      <c r="D626" s="4">
        <v>45321</v>
      </c>
      <c r="E626">
        <f t="shared" si="112"/>
        <v>-28</v>
      </c>
      <c r="F626" s="4">
        <v>45293</v>
      </c>
      <c r="G626" t="s">
        <v>1989</v>
      </c>
      <c r="H626" t="s">
        <v>77</v>
      </c>
      <c r="I626" t="str">
        <f t="shared" si="113"/>
        <v>Neha Gupta</v>
      </c>
      <c r="J626" t="s">
        <v>93</v>
      </c>
      <c r="K626" t="str">
        <f t="shared" si="114"/>
        <v>Home Office</v>
      </c>
      <c r="L626" t="s">
        <v>36</v>
      </c>
      <c r="M626" t="str">
        <f t="shared" si="122"/>
        <v>East</v>
      </c>
      <c r="N626" t="s">
        <v>164</v>
      </c>
      <c r="O626" t="str">
        <f t="shared" si="115"/>
        <v>Assam</v>
      </c>
      <c r="P626" t="s">
        <v>165</v>
      </c>
      <c r="Q626" t="str">
        <f t="shared" si="116"/>
        <v>Guwahati</v>
      </c>
      <c r="R626" t="s">
        <v>39</v>
      </c>
      <c r="S626" t="str">
        <f t="shared" si="117"/>
        <v>Furniture</v>
      </c>
      <c r="T626" t="s">
        <v>64</v>
      </c>
      <c r="U626" t="str">
        <f t="shared" si="118"/>
        <v>Chairs</v>
      </c>
      <c r="V626" t="s">
        <v>1990</v>
      </c>
      <c r="X626" t="s">
        <v>48</v>
      </c>
      <c r="Y626" t="str">
        <f t="shared" si="120"/>
        <v>First Class</v>
      </c>
      <c r="Z626">
        <v>2</v>
      </c>
      <c r="AA626">
        <v>4451.03</v>
      </c>
      <c r="AB626">
        <v>0.05</v>
      </c>
      <c r="AC626">
        <v>8456.9599999999991</v>
      </c>
      <c r="AD626">
        <v>5462.85</v>
      </c>
      <c r="AE626">
        <v>2994.11</v>
      </c>
      <c r="AF626" t="s">
        <v>30</v>
      </c>
      <c r="AG626" t="str">
        <f t="shared" si="121"/>
        <v>Paid</v>
      </c>
      <c r="AH626" t="s">
        <v>31</v>
      </c>
    </row>
    <row r="627" spans="1:34">
      <c r="A627" t="s">
        <v>1991</v>
      </c>
      <c r="B627">
        <f>COUNTIF($A:$A,A627)</f>
        <v>1</v>
      </c>
      <c r="C627" t="str">
        <f t="shared" si="111"/>
        <v>Unique</v>
      </c>
      <c r="D627" s="4">
        <v>45641</v>
      </c>
      <c r="E627">
        <f t="shared" si="112"/>
        <v>6</v>
      </c>
      <c r="F627" s="4">
        <v>45647</v>
      </c>
      <c r="G627" t="s">
        <v>1992</v>
      </c>
      <c r="H627" t="s">
        <v>160</v>
      </c>
      <c r="I627" t="str">
        <f t="shared" si="113"/>
        <v>Diya Patel</v>
      </c>
      <c r="J627" t="s">
        <v>88</v>
      </c>
      <c r="K627" t="str">
        <f t="shared" si="114"/>
        <v>Corporate</v>
      </c>
      <c r="L627" t="s">
        <v>61</v>
      </c>
      <c r="M627" t="str">
        <f t="shared" si="122"/>
        <v>West</v>
      </c>
      <c r="N627" t="s">
        <v>24</v>
      </c>
      <c r="O627" t="str">
        <f t="shared" si="115"/>
        <v>Rajasthan</v>
      </c>
      <c r="P627" t="s">
        <v>107</v>
      </c>
      <c r="Q627" t="str">
        <f t="shared" si="116"/>
        <v>Udaipur</v>
      </c>
      <c r="R627" t="s">
        <v>39</v>
      </c>
      <c r="S627" t="str">
        <f t="shared" si="117"/>
        <v>Furniture</v>
      </c>
      <c r="T627" t="s">
        <v>64</v>
      </c>
      <c r="U627" t="str">
        <f t="shared" si="118"/>
        <v>Chairs</v>
      </c>
      <c r="V627" t="s">
        <v>1993</v>
      </c>
      <c r="X627" t="s">
        <v>42</v>
      </c>
      <c r="Y627" t="str">
        <f t="shared" si="120"/>
        <v>Same Day</v>
      </c>
      <c r="Z627">
        <v>3</v>
      </c>
      <c r="AA627">
        <v>527.66999999999996</v>
      </c>
      <c r="AB627">
        <v>0.2</v>
      </c>
      <c r="AC627">
        <v>1266.4100000000001</v>
      </c>
      <c r="AD627">
        <v>983.92</v>
      </c>
      <c r="AE627">
        <v>282.49</v>
      </c>
      <c r="AF627" t="s">
        <v>30</v>
      </c>
      <c r="AG627" t="str">
        <f t="shared" si="121"/>
        <v>Paid</v>
      </c>
      <c r="AH627" t="s">
        <v>31</v>
      </c>
    </row>
    <row r="628" spans="1:34">
      <c r="A628" t="s">
        <v>1994</v>
      </c>
      <c r="B628">
        <f>COUNTIF($A:$A,A628)</f>
        <v>1</v>
      </c>
      <c r="C628" t="str">
        <f t="shared" si="111"/>
        <v>Unique</v>
      </c>
      <c r="D628" s="4">
        <v>45753</v>
      </c>
      <c r="E628">
        <f t="shared" si="112"/>
        <v>62</v>
      </c>
      <c r="F628" s="4">
        <v>45815</v>
      </c>
      <c r="G628" t="s">
        <v>1995</v>
      </c>
      <c r="H628" t="s">
        <v>130</v>
      </c>
      <c r="I628" t="str">
        <f t="shared" si="113"/>
        <v>Sneha Kapoor</v>
      </c>
      <c r="J628" t="s">
        <v>93</v>
      </c>
      <c r="K628" t="str">
        <f t="shared" si="114"/>
        <v>Home Office</v>
      </c>
      <c r="L628" t="s">
        <v>36</v>
      </c>
      <c r="M628" t="str">
        <f t="shared" si="122"/>
        <v>East</v>
      </c>
      <c r="N628" t="s">
        <v>164</v>
      </c>
      <c r="O628" t="str">
        <f t="shared" si="115"/>
        <v>Assam</v>
      </c>
      <c r="P628" t="s">
        <v>165</v>
      </c>
      <c r="Q628" t="str">
        <f t="shared" si="116"/>
        <v>Guwahati</v>
      </c>
      <c r="R628" t="s">
        <v>72</v>
      </c>
      <c r="S628" t="str">
        <f t="shared" si="117"/>
        <v>Technology</v>
      </c>
      <c r="T628" t="s">
        <v>273</v>
      </c>
      <c r="U628" t="str">
        <f t="shared" si="118"/>
        <v>Machines</v>
      </c>
      <c r="V628" t="s">
        <v>1996</v>
      </c>
      <c r="X628" t="s">
        <v>57</v>
      </c>
      <c r="Y628" t="str">
        <f t="shared" si="120"/>
        <v>Standard Class</v>
      </c>
      <c r="Z628">
        <v>8</v>
      </c>
      <c r="AA628">
        <v>1434.13</v>
      </c>
      <c r="AB628">
        <v>0</v>
      </c>
      <c r="AC628">
        <v>11473.04</v>
      </c>
      <c r="AD628">
        <v>8931.33</v>
      </c>
      <c r="AE628">
        <v>2541.71</v>
      </c>
      <c r="AF628" t="s">
        <v>109</v>
      </c>
      <c r="AG628" t="str">
        <f t="shared" si="121"/>
        <v>Pending</v>
      </c>
      <c r="AH628" t="s">
        <v>101</v>
      </c>
    </row>
    <row r="629" spans="1:34">
      <c r="A629" t="s">
        <v>1997</v>
      </c>
      <c r="B629">
        <f>COUNTIF($A:$A,A629)</f>
        <v>1</v>
      </c>
      <c r="C629" t="str">
        <f t="shared" si="111"/>
        <v>Unique</v>
      </c>
      <c r="D629" s="4">
        <v>45701</v>
      </c>
      <c r="E629">
        <f t="shared" si="112"/>
        <v>8</v>
      </c>
      <c r="F629" s="4">
        <v>45709</v>
      </c>
      <c r="G629" t="s">
        <v>1998</v>
      </c>
      <c r="H629" t="s">
        <v>21</v>
      </c>
      <c r="I629" t="str">
        <f t="shared" si="113"/>
        <v>Karan Malhotra</v>
      </c>
      <c r="J629" t="s">
        <v>35</v>
      </c>
      <c r="K629" t="str">
        <f t="shared" si="114"/>
        <v>Small Business</v>
      </c>
      <c r="L629" t="s">
        <v>52</v>
      </c>
      <c r="M629" t="str">
        <f t="shared" si="122"/>
        <v>South</v>
      </c>
      <c r="N629" t="s">
        <v>183</v>
      </c>
      <c r="O629" t="str">
        <f t="shared" si="115"/>
        <v>Kerala</v>
      </c>
      <c r="P629" t="s">
        <v>184</v>
      </c>
      <c r="Q629" t="str">
        <f t="shared" si="116"/>
        <v>Kochi</v>
      </c>
      <c r="R629" t="s">
        <v>72</v>
      </c>
      <c r="S629" t="str">
        <f t="shared" si="117"/>
        <v>Technology</v>
      </c>
      <c r="T629" t="s">
        <v>169</v>
      </c>
      <c r="U629" t="str">
        <f t="shared" si="118"/>
        <v>Phones</v>
      </c>
      <c r="V629" t="s">
        <v>1999</v>
      </c>
      <c r="X629" t="s">
        <v>29</v>
      </c>
      <c r="Y629" t="str">
        <f t="shared" si="120"/>
        <v>Second Class</v>
      </c>
      <c r="Z629">
        <v>2</v>
      </c>
      <c r="AA629">
        <v>2360.02</v>
      </c>
      <c r="AB629">
        <v>0.15</v>
      </c>
      <c r="AC629">
        <v>4012.03</v>
      </c>
      <c r="AD629">
        <v>3142.92</v>
      </c>
      <c r="AE629">
        <v>869.11</v>
      </c>
      <c r="AF629" t="s">
        <v>109</v>
      </c>
      <c r="AG629" t="str">
        <f t="shared" si="121"/>
        <v>Pending</v>
      </c>
      <c r="AH629" t="s">
        <v>66</v>
      </c>
    </row>
    <row r="630" spans="1:34">
      <c r="A630" t="s">
        <v>2000</v>
      </c>
      <c r="B630">
        <f>COUNTIF($A:$A,A630)</f>
        <v>1</v>
      </c>
      <c r="C630" t="str">
        <f t="shared" si="111"/>
        <v>Unique</v>
      </c>
      <c r="D630" s="4">
        <v>45787</v>
      </c>
      <c r="E630">
        <f t="shared" si="112"/>
        <v>214</v>
      </c>
      <c r="F630" s="4">
        <v>46001</v>
      </c>
      <c r="G630" t="s">
        <v>2001</v>
      </c>
      <c r="H630" t="s">
        <v>60</v>
      </c>
      <c r="I630" t="str">
        <f t="shared" si="113"/>
        <v>Ananya Rao</v>
      </c>
      <c r="J630" t="s">
        <v>93</v>
      </c>
      <c r="K630" t="str">
        <f t="shared" si="114"/>
        <v>Home Office</v>
      </c>
      <c r="L630" t="s">
        <v>36</v>
      </c>
      <c r="M630" t="str">
        <f t="shared" si="122"/>
        <v>East</v>
      </c>
      <c r="N630" t="s">
        <v>227</v>
      </c>
      <c r="O630" t="str">
        <f t="shared" si="115"/>
        <v>Jharkhand</v>
      </c>
      <c r="P630" t="s">
        <v>228</v>
      </c>
      <c r="Q630" t="str">
        <f t="shared" si="116"/>
        <v>Ranchi</v>
      </c>
      <c r="R630" t="s">
        <v>72</v>
      </c>
      <c r="S630" t="str">
        <f t="shared" si="117"/>
        <v>Technology</v>
      </c>
      <c r="T630" t="s">
        <v>73</v>
      </c>
      <c r="U630" t="str">
        <f t="shared" si="118"/>
        <v>Accessories</v>
      </c>
      <c r="V630" t="s">
        <v>2002</v>
      </c>
      <c r="X630" t="s">
        <v>42</v>
      </c>
      <c r="Y630" t="str">
        <f t="shared" si="120"/>
        <v>Same Day</v>
      </c>
      <c r="Z630">
        <v>7</v>
      </c>
      <c r="AA630">
        <v>806.67</v>
      </c>
      <c r="AB630">
        <v>0.05</v>
      </c>
      <c r="AC630">
        <v>5364.36</v>
      </c>
      <c r="AD630">
        <v>4391.29</v>
      </c>
      <c r="AE630">
        <v>973.07</v>
      </c>
      <c r="AF630" t="s">
        <v>30</v>
      </c>
      <c r="AG630" t="str">
        <f t="shared" si="121"/>
        <v>Paid</v>
      </c>
      <c r="AH630" t="s">
        <v>31</v>
      </c>
    </row>
    <row r="631" spans="1:34">
      <c r="A631" t="s">
        <v>2003</v>
      </c>
      <c r="B631">
        <f>COUNTIF($A:$A,A631)</f>
        <v>1</v>
      </c>
      <c r="C631" t="str">
        <f t="shared" si="111"/>
        <v>Unique</v>
      </c>
      <c r="D631" s="4">
        <v>45910</v>
      </c>
      <c r="E631">
        <f t="shared" si="112"/>
        <v>4</v>
      </c>
      <c r="F631" s="4">
        <v>45914</v>
      </c>
      <c r="G631" t="s">
        <v>2004</v>
      </c>
      <c r="H631" t="s">
        <v>51</v>
      </c>
      <c r="I631" t="str">
        <f t="shared" si="113"/>
        <v>Arjun Bose</v>
      </c>
      <c r="J631" t="s">
        <v>93</v>
      </c>
      <c r="K631" t="str">
        <f t="shared" si="114"/>
        <v>Home Office</v>
      </c>
      <c r="L631" t="s">
        <v>61</v>
      </c>
      <c r="M631" t="str">
        <f t="shared" si="122"/>
        <v>West</v>
      </c>
      <c r="N631" t="s">
        <v>178</v>
      </c>
      <c r="O631" t="str">
        <f t="shared" si="115"/>
        <v>Gujarat</v>
      </c>
      <c r="P631" t="s">
        <v>179</v>
      </c>
      <c r="Q631" t="str">
        <f t="shared" si="116"/>
        <v>Ahmedabad</v>
      </c>
      <c r="R631" t="s">
        <v>39</v>
      </c>
      <c r="S631" t="str">
        <f t="shared" si="117"/>
        <v>Furniture</v>
      </c>
      <c r="T631" t="s">
        <v>40</v>
      </c>
      <c r="U631" t="str">
        <f t="shared" si="118"/>
        <v>Tables</v>
      </c>
      <c r="V631" t="s">
        <v>2005</v>
      </c>
      <c r="X631" t="s">
        <v>42</v>
      </c>
      <c r="Y631" t="str">
        <f t="shared" si="120"/>
        <v>Same Day</v>
      </c>
      <c r="Z631">
        <v>3</v>
      </c>
      <c r="AA631">
        <v>4198.46</v>
      </c>
      <c r="AB631">
        <v>0.15</v>
      </c>
      <c r="AC631">
        <v>10706.07</v>
      </c>
      <c r="AD631">
        <v>5927.1</v>
      </c>
      <c r="AE631">
        <v>4778.97</v>
      </c>
      <c r="AF631" t="s">
        <v>30</v>
      </c>
      <c r="AG631" t="str">
        <f t="shared" si="121"/>
        <v>Paid</v>
      </c>
      <c r="AH631" t="s">
        <v>31</v>
      </c>
    </row>
    <row r="632" spans="1:34">
      <c r="A632" t="s">
        <v>2006</v>
      </c>
      <c r="B632">
        <f>COUNTIF($A:$A,A632)</f>
        <v>1</v>
      </c>
      <c r="C632" t="str">
        <f t="shared" si="111"/>
        <v>Unique</v>
      </c>
      <c r="D632" s="4">
        <v>45539</v>
      </c>
      <c r="E632">
        <f t="shared" si="112"/>
        <v>30</v>
      </c>
      <c r="F632" s="4">
        <v>45569</v>
      </c>
      <c r="G632" t="s">
        <v>2007</v>
      </c>
      <c r="H632" t="s">
        <v>112</v>
      </c>
      <c r="I632" t="str">
        <f t="shared" si="113"/>
        <v>Priya Menon</v>
      </c>
      <c r="J632" t="s">
        <v>88</v>
      </c>
      <c r="K632" t="str">
        <f t="shared" si="114"/>
        <v>Corporate</v>
      </c>
      <c r="L632" t="s">
        <v>36</v>
      </c>
      <c r="M632" t="str">
        <f t="shared" si="122"/>
        <v>East</v>
      </c>
      <c r="N632" t="s">
        <v>164</v>
      </c>
      <c r="O632" t="str">
        <f t="shared" si="115"/>
        <v>Assam</v>
      </c>
      <c r="P632" t="s">
        <v>165</v>
      </c>
      <c r="Q632" t="str">
        <f t="shared" si="116"/>
        <v>Guwahati</v>
      </c>
      <c r="R632" t="s">
        <v>26</v>
      </c>
      <c r="S632" t="str">
        <f t="shared" si="117"/>
        <v>Office Supplies</v>
      </c>
      <c r="T632" t="s">
        <v>27</v>
      </c>
      <c r="U632" t="str">
        <f t="shared" si="118"/>
        <v>Paper</v>
      </c>
      <c r="V632" t="s">
        <v>2008</v>
      </c>
      <c r="X632" t="s">
        <v>57</v>
      </c>
      <c r="Y632" t="str">
        <f t="shared" si="120"/>
        <v>Standard Class</v>
      </c>
      <c r="Z632">
        <v>4</v>
      </c>
      <c r="AA632">
        <v>3047.05</v>
      </c>
      <c r="AB632">
        <v>0.1</v>
      </c>
      <c r="AC632">
        <v>10969.38</v>
      </c>
      <c r="AD632">
        <v>9254.4599999999991</v>
      </c>
      <c r="AE632">
        <v>1714.92</v>
      </c>
      <c r="AF632" t="s">
        <v>30</v>
      </c>
      <c r="AG632" t="str">
        <f t="shared" si="121"/>
        <v>Paid</v>
      </c>
      <c r="AH632" t="s">
        <v>31</v>
      </c>
    </row>
    <row r="633" spans="1:34">
      <c r="A633" t="s">
        <v>2009</v>
      </c>
      <c r="B633">
        <f>COUNTIF($A:$A,A633)</f>
        <v>1</v>
      </c>
      <c r="C633" t="str">
        <f t="shared" si="111"/>
        <v>Unique</v>
      </c>
      <c r="D633" s="4">
        <v>45569</v>
      </c>
      <c r="E633">
        <f t="shared" si="112"/>
        <v>-172</v>
      </c>
      <c r="F633" s="4">
        <v>45397</v>
      </c>
      <c r="G633" t="s">
        <v>2010</v>
      </c>
      <c r="H633" t="s">
        <v>126</v>
      </c>
      <c r="I633" t="str">
        <f t="shared" si="113"/>
        <v>Aarav Sharma</v>
      </c>
      <c r="J633" t="s">
        <v>93</v>
      </c>
      <c r="K633" t="str">
        <f t="shared" si="114"/>
        <v>Home Office</v>
      </c>
      <c r="L633" t="s">
        <v>61</v>
      </c>
      <c r="M633" t="str">
        <f t="shared" si="122"/>
        <v>West</v>
      </c>
      <c r="N633" t="s">
        <v>24</v>
      </c>
      <c r="O633" t="str">
        <f t="shared" si="115"/>
        <v>Rajasthan</v>
      </c>
      <c r="P633" t="s">
        <v>107</v>
      </c>
      <c r="Q633" t="str">
        <f t="shared" si="116"/>
        <v>Udaipur</v>
      </c>
      <c r="R633" t="s">
        <v>39</v>
      </c>
      <c r="S633" t="str">
        <f t="shared" si="117"/>
        <v>Furniture</v>
      </c>
      <c r="T633" t="s">
        <v>64</v>
      </c>
      <c r="U633" t="str">
        <f t="shared" si="118"/>
        <v>Chairs</v>
      </c>
      <c r="V633" t="s">
        <v>2011</v>
      </c>
      <c r="X633" t="s">
        <v>57</v>
      </c>
      <c r="Y633" t="str">
        <f t="shared" si="120"/>
        <v>Standard Class</v>
      </c>
      <c r="Z633">
        <v>8</v>
      </c>
      <c r="AA633">
        <v>4362.4799999999996</v>
      </c>
      <c r="AB633">
        <v>0.1</v>
      </c>
      <c r="AC633">
        <v>31409.86</v>
      </c>
      <c r="AD633">
        <v>22523.54</v>
      </c>
      <c r="AE633">
        <v>8886.32</v>
      </c>
      <c r="AF633" t="s">
        <v>30</v>
      </c>
      <c r="AG633" t="str">
        <f t="shared" si="121"/>
        <v>Paid</v>
      </c>
      <c r="AH633" t="s">
        <v>31</v>
      </c>
    </row>
    <row r="634" spans="1:34">
      <c r="A634" t="s">
        <v>2012</v>
      </c>
      <c r="B634">
        <f>COUNTIF($A:$A,A634)</f>
        <v>1</v>
      </c>
      <c r="C634" t="str">
        <f t="shared" si="111"/>
        <v>Unique</v>
      </c>
      <c r="D634" s="4">
        <v>45762</v>
      </c>
      <c r="E634">
        <f t="shared" si="112"/>
        <v>1</v>
      </c>
      <c r="F634" s="4">
        <v>45763</v>
      </c>
      <c r="G634" t="s">
        <v>2013</v>
      </c>
      <c r="H634" t="s">
        <v>130</v>
      </c>
      <c r="I634" t="str">
        <f t="shared" si="113"/>
        <v>Sneha Kapoor</v>
      </c>
      <c r="J634" t="s">
        <v>35</v>
      </c>
      <c r="K634" t="str">
        <f t="shared" si="114"/>
        <v>Small Business</v>
      </c>
      <c r="L634" t="s">
        <v>52</v>
      </c>
      <c r="M634" t="str">
        <f t="shared" si="122"/>
        <v>South</v>
      </c>
      <c r="N634" t="s">
        <v>173</v>
      </c>
      <c r="O634" t="str">
        <f t="shared" si="115"/>
        <v>Karnataka</v>
      </c>
      <c r="P634" t="s">
        <v>174</v>
      </c>
      <c r="Q634" t="str">
        <f t="shared" si="116"/>
        <v>Bengaluru</v>
      </c>
      <c r="R634" t="s">
        <v>39</v>
      </c>
      <c r="S634" t="str">
        <f t="shared" si="117"/>
        <v>Furniture</v>
      </c>
      <c r="T634" t="s">
        <v>55</v>
      </c>
      <c r="U634" t="str">
        <f t="shared" si="118"/>
        <v>Furnishings</v>
      </c>
      <c r="V634" t="s">
        <v>2014</v>
      </c>
      <c r="X634" t="s">
        <v>48</v>
      </c>
      <c r="Y634" t="str">
        <f t="shared" si="120"/>
        <v>First Class</v>
      </c>
      <c r="Z634">
        <v>5</v>
      </c>
      <c r="AA634">
        <v>2850.53</v>
      </c>
      <c r="AB634">
        <v>0</v>
      </c>
      <c r="AC634">
        <v>14252.65</v>
      </c>
      <c r="AD634">
        <v>11558.31</v>
      </c>
      <c r="AE634">
        <v>2694.34</v>
      </c>
      <c r="AF634" t="s">
        <v>30</v>
      </c>
      <c r="AG634" t="str">
        <f t="shared" si="121"/>
        <v>Paid</v>
      </c>
      <c r="AH634" t="s">
        <v>31</v>
      </c>
    </row>
    <row r="635" spans="1:34">
      <c r="A635" t="s">
        <v>2015</v>
      </c>
      <c r="B635">
        <f>COUNTIF($A:$A,A635)</f>
        <v>1</v>
      </c>
      <c r="C635" t="str">
        <f t="shared" si="111"/>
        <v>Unique</v>
      </c>
      <c r="D635" s="4">
        <v>45765</v>
      </c>
      <c r="E635">
        <f t="shared" si="112"/>
        <v>2</v>
      </c>
      <c r="F635" s="4">
        <v>45767</v>
      </c>
      <c r="G635" t="s">
        <v>2016</v>
      </c>
      <c r="H635" t="s">
        <v>126</v>
      </c>
      <c r="I635" t="str">
        <f t="shared" si="113"/>
        <v>Aarav Sharma</v>
      </c>
      <c r="J635" t="s">
        <v>35</v>
      </c>
      <c r="K635" t="str">
        <f t="shared" si="114"/>
        <v>Small Business</v>
      </c>
      <c r="L635" t="s">
        <v>52</v>
      </c>
      <c r="M635" t="str">
        <f t="shared" si="122"/>
        <v>South</v>
      </c>
      <c r="N635" t="s">
        <v>246</v>
      </c>
      <c r="O635" t="str">
        <f t="shared" si="115"/>
        <v>Tamil Nadu</v>
      </c>
      <c r="P635" t="s">
        <v>247</v>
      </c>
      <c r="Q635" t="str">
        <f t="shared" si="116"/>
        <v>Chennai</v>
      </c>
      <c r="R635" t="s">
        <v>72</v>
      </c>
      <c r="S635" t="str">
        <f t="shared" si="117"/>
        <v>Technology</v>
      </c>
      <c r="T635" t="s">
        <v>73</v>
      </c>
      <c r="U635" t="str">
        <f t="shared" si="118"/>
        <v>Accessories</v>
      </c>
      <c r="V635" t="s">
        <v>2017</v>
      </c>
      <c r="X635" t="s">
        <v>29</v>
      </c>
      <c r="Y635" t="str">
        <f t="shared" si="120"/>
        <v>Second Class</v>
      </c>
      <c r="Z635">
        <v>1</v>
      </c>
      <c r="AA635">
        <v>1626.08</v>
      </c>
      <c r="AB635">
        <v>0.15</v>
      </c>
      <c r="AC635">
        <v>1382.17</v>
      </c>
      <c r="AD635">
        <v>810.03</v>
      </c>
      <c r="AE635">
        <v>572.14</v>
      </c>
      <c r="AF635" t="s">
        <v>30</v>
      </c>
      <c r="AG635" t="str">
        <f t="shared" si="121"/>
        <v>Paid</v>
      </c>
      <c r="AH635" t="s">
        <v>31</v>
      </c>
    </row>
    <row r="636" spans="1:34">
      <c r="A636" t="s">
        <v>2018</v>
      </c>
      <c r="B636">
        <f>COUNTIF($A:$A,A636)</f>
        <v>1</v>
      </c>
      <c r="C636" t="str">
        <f t="shared" si="111"/>
        <v>Unique</v>
      </c>
      <c r="D636" s="4">
        <v>45668</v>
      </c>
      <c r="E636">
        <f t="shared" si="112"/>
        <v>324</v>
      </c>
      <c r="F636" s="4">
        <v>45992</v>
      </c>
      <c r="G636" t="s">
        <v>2019</v>
      </c>
      <c r="H636" t="s">
        <v>87</v>
      </c>
      <c r="I636" t="str">
        <f t="shared" si="113"/>
        <v>Aditi Sen</v>
      </c>
      <c r="J636" t="s">
        <v>22</v>
      </c>
      <c r="K636" t="str">
        <f t="shared" si="114"/>
        <v>Consumer</v>
      </c>
      <c r="L636" t="s">
        <v>52</v>
      </c>
      <c r="M636" t="str">
        <f t="shared" si="122"/>
        <v>South</v>
      </c>
      <c r="N636" t="s">
        <v>53</v>
      </c>
      <c r="O636" t="str">
        <f t="shared" si="115"/>
        <v>Telangana</v>
      </c>
      <c r="P636" t="s">
        <v>54</v>
      </c>
      <c r="Q636" t="str">
        <f t="shared" si="116"/>
        <v>Hyderabad</v>
      </c>
      <c r="R636" t="s">
        <v>39</v>
      </c>
      <c r="S636" t="str">
        <f t="shared" si="117"/>
        <v>Furniture</v>
      </c>
      <c r="T636" t="s">
        <v>64</v>
      </c>
      <c r="U636" t="str">
        <f t="shared" si="118"/>
        <v>Chairs</v>
      </c>
      <c r="V636" t="s">
        <v>2020</v>
      </c>
      <c r="X636" t="s">
        <v>29</v>
      </c>
      <c r="Y636" t="str">
        <f t="shared" si="120"/>
        <v>Second Class</v>
      </c>
      <c r="Z636">
        <v>4</v>
      </c>
      <c r="AA636">
        <v>2427.15</v>
      </c>
      <c r="AB636">
        <v>0.05</v>
      </c>
      <c r="AC636">
        <v>9223.17</v>
      </c>
      <c r="AD636">
        <v>5103.7</v>
      </c>
      <c r="AE636">
        <v>4119.47</v>
      </c>
      <c r="AF636" t="s">
        <v>30</v>
      </c>
      <c r="AG636" t="str">
        <f t="shared" si="121"/>
        <v>Paid</v>
      </c>
      <c r="AH636" t="s">
        <v>31</v>
      </c>
    </row>
    <row r="637" spans="1:34">
      <c r="A637" t="s">
        <v>2021</v>
      </c>
      <c r="B637">
        <f>COUNTIF($A:$A,A637)</f>
        <v>1</v>
      </c>
      <c r="C637" t="str">
        <f t="shared" si="111"/>
        <v>Unique</v>
      </c>
      <c r="D637" s="4">
        <v>45432</v>
      </c>
      <c r="E637">
        <f t="shared" si="112"/>
        <v>5</v>
      </c>
      <c r="F637" s="4">
        <v>45437</v>
      </c>
      <c r="G637" t="s">
        <v>2022</v>
      </c>
      <c r="H637" t="s">
        <v>34</v>
      </c>
      <c r="I637" t="str">
        <f t="shared" si="113"/>
        <v>Mira Das</v>
      </c>
      <c r="J637" t="s">
        <v>88</v>
      </c>
      <c r="K637" t="str">
        <f t="shared" si="114"/>
        <v>Corporate</v>
      </c>
      <c r="L637" t="s">
        <v>52</v>
      </c>
      <c r="M637" t="str">
        <f t="shared" si="122"/>
        <v>South</v>
      </c>
      <c r="N637" t="s">
        <v>82</v>
      </c>
      <c r="O637" t="str">
        <f t="shared" si="115"/>
        <v>Andhra Pradesh</v>
      </c>
      <c r="P637" t="s">
        <v>83</v>
      </c>
      <c r="Q637" t="str">
        <f t="shared" si="116"/>
        <v>Vijayawada</v>
      </c>
      <c r="R637" t="s">
        <v>39</v>
      </c>
      <c r="S637" t="str">
        <f t="shared" si="117"/>
        <v>Furniture</v>
      </c>
      <c r="T637" t="s">
        <v>64</v>
      </c>
      <c r="U637" t="str">
        <f t="shared" si="118"/>
        <v>Chairs</v>
      </c>
      <c r="V637" t="s">
        <v>2023</v>
      </c>
      <c r="X637" t="s">
        <v>42</v>
      </c>
      <c r="Y637" t="str">
        <f t="shared" si="120"/>
        <v>Same Day</v>
      </c>
      <c r="Z637">
        <v>7</v>
      </c>
      <c r="AA637">
        <v>3122.85</v>
      </c>
      <c r="AB637">
        <v>0.25</v>
      </c>
      <c r="AC637">
        <v>16394.96</v>
      </c>
      <c r="AD637">
        <v>10404.17</v>
      </c>
      <c r="AE637">
        <v>5990.79</v>
      </c>
      <c r="AF637" t="s">
        <v>30</v>
      </c>
      <c r="AG637" t="str">
        <f t="shared" si="121"/>
        <v>Paid</v>
      </c>
      <c r="AH637" t="s">
        <v>31</v>
      </c>
    </row>
    <row r="638" spans="1:34">
      <c r="A638" t="s">
        <v>2024</v>
      </c>
      <c r="B638">
        <f>COUNTIF($A:$A,A638)</f>
        <v>1</v>
      </c>
      <c r="C638" t="str">
        <f t="shared" si="111"/>
        <v>Unique</v>
      </c>
      <c r="D638" s="4">
        <v>45332</v>
      </c>
      <c r="E638">
        <f t="shared" si="112"/>
        <v>213</v>
      </c>
      <c r="F638" s="4">
        <v>45545</v>
      </c>
      <c r="G638" t="s">
        <v>2025</v>
      </c>
      <c r="H638" t="s">
        <v>60</v>
      </c>
      <c r="I638" t="str">
        <f t="shared" si="113"/>
        <v>Ananya Rao</v>
      </c>
      <c r="J638" t="s">
        <v>22</v>
      </c>
      <c r="K638" t="str">
        <f t="shared" si="114"/>
        <v>Consumer</v>
      </c>
      <c r="L638" t="s">
        <v>52</v>
      </c>
      <c r="M638" t="str">
        <f t="shared" si="122"/>
        <v>South</v>
      </c>
      <c r="N638" t="s">
        <v>246</v>
      </c>
      <c r="O638" t="str">
        <f t="shared" si="115"/>
        <v>Tamil Nadu</v>
      </c>
      <c r="P638" t="s">
        <v>247</v>
      </c>
      <c r="Q638" t="str">
        <f t="shared" si="116"/>
        <v>Chennai</v>
      </c>
      <c r="R638" t="s">
        <v>26</v>
      </c>
      <c r="S638" t="str">
        <f t="shared" si="117"/>
        <v>Office Supplies</v>
      </c>
      <c r="T638" t="s">
        <v>27</v>
      </c>
      <c r="U638" t="str">
        <f t="shared" si="118"/>
        <v>Paper</v>
      </c>
      <c r="V638" t="s">
        <v>2026</v>
      </c>
      <c r="X638" t="s">
        <v>57</v>
      </c>
      <c r="Y638" t="str">
        <f t="shared" si="120"/>
        <v>Standard Class</v>
      </c>
      <c r="Z638">
        <v>8</v>
      </c>
      <c r="AA638">
        <v>1910.31</v>
      </c>
      <c r="AB638">
        <v>0.15</v>
      </c>
      <c r="AC638">
        <v>12990.11</v>
      </c>
      <c r="AD638">
        <v>10200.799999999999</v>
      </c>
      <c r="AE638">
        <v>2789.31</v>
      </c>
      <c r="AF638" t="s">
        <v>30</v>
      </c>
      <c r="AG638" t="str">
        <f t="shared" si="121"/>
        <v>Paid</v>
      </c>
      <c r="AH638" t="s">
        <v>31</v>
      </c>
    </row>
    <row r="639" spans="1:34">
      <c r="A639" t="s">
        <v>2027</v>
      </c>
      <c r="B639">
        <f>COUNTIF($A:$A,A639)</f>
        <v>1</v>
      </c>
      <c r="C639" t="str">
        <f t="shared" si="111"/>
        <v>Unique</v>
      </c>
      <c r="D639" s="4">
        <v>45438</v>
      </c>
      <c r="E639">
        <f t="shared" si="112"/>
        <v>0</v>
      </c>
      <c r="F639" s="4">
        <v>45438</v>
      </c>
      <c r="G639" t="s">
        <v>2028</v>
      </c>
      <c r="H639" t="s">
        <v>116</v>
      </c>
      <c r="I639" t="str">
        <f t="shared" si="113"/>
        <v>Rahul Verma</v>
      </c>
      <c r="J639" t="s">
        <v>35</v>
      </c>
      <c r="K639" t="str">
        <f t="shared" si="114"/>
        <v>Small Business</v>
      </c>
      <c r="L639" t="s">
        <v>61</v>
      </c>
      <c r="M639" t="str">
        <f t="shared" si="122"/>
        <v>West</v>
      </c>
      <c r="N639" t="s">
        <v>188</v>
      </c>
      <c r="O639" t="str">
        <f t="shared" si="115"/>
        <v>Goa</v>
      </c>
      <c r="P639" t="s">
        <v>189</v>
      </c>
      <c r="Q639" t="str">
        <f t="shared" si="116"/>
        <v>Panaji</v>
      </c>
      <c r="R639" t="s">
        <v>72</v>
      </c>
      <c r="S639" t="str">
        <f t="shared" si="117"/>
        <v>Technology</v>
      </c>
      <c r="T639" t="s">
        <v>78</v>
      </c>
      <c r="U639" t="str">
        <f t="shared" si="118"/>
        <v>Copiers</v>
      </c>
      <c r="V639" t="s">
        <v>2029</v>
      </c>
      <c r="X639" t="s">
        <v>48</v>
      </c>
      <c r="Y639" t="str">
        <f t="shared" si="120"/>
        <v>First Class</v>
      </c>
      <c r="Z639">
        <v>2</v>
      </c>
      <c r="AA639">
        <v>3192.47</v>
      </c>
      <c r="AB639">
        <v>0.2</v>
      </c>
      <c r="AC639">
        <v>5107.95</v>
      </c>
      <c r="AD639">
        <v>3133.08</v>
      </c>
      <c r="AE639">
        <v>1974.87</v>
      </c>
      <c r="AF639" t="s">
        <v>30</v>
      </c>
      <c r="AG639" t="str">
        <f t="shared" si="121"/>
        <v>Paid</v>
      </c>
      <c r="AH639" t="s">
        <v>31</v>
      </c>
    </row>
    <row r="640" spans="1:34">
      <c r="A640" t="s">
        <v>2030</v>
      </c>
      <c r="B640">
        <f>COUNTIF($A:$A,A640)</f>
        <v>1</v>
      </c>
      <c r="C640" t="str">
        <f t="shared" si="111"/>
        <v>Unique</v>
      </c>
      <c r="D640" s="4">
        <v>45317</v>
      </c>
      <c r="E640">
        <f t="shared" si="112"/>
        <v>5</v>
      </c>
      <c r="F640" s="4">
        <v>45322</v>
      </c>
      <c r="G640" t="s">
        <v>2031</v>
      </c>
      <c r="H640" t="s">
        <v>21</v>
      </c>
      <c r="I640" t="str">
        <f t="shared" si="113"/>
        <v>Karan Malhotra</v>
      </c>
      <c r="J640" t="s">
        <v>88</v>
      </c>
      <c r="K640" t="str">
        <f t="shared" si="114"/>
        <v>Corporate</v>
      </c>
      <c r="L640" t="s">
        <v>52</v>
      </c>
      <c r="M640" t="str">
        <f t="shared" si="122"/>
        <v>South</v>
      </c>
      <c r="N640" t="s">
        <v>183</v>
      </c>
      <c r="O640" t="str">
        <f t="shared" si="115"/>
        <v>Kerala</v>
      </c>
      <c r="P640" t="s">
        <v>184</v>
      </c>
      <c r="Q640" t="str">
        <f t="shared" si="116"/>
        <v>Kochi</v>
      </c>
      <c r="R640" t="s">
        <v>26</v>
      </c>
      <c r="S640" t="str">
        <f t="shared" si="117"/>
        <v>Office Supplies</v>
      </c>
      <c r="T640" t="s">
        <v>122</v>
      </c>
      <c r="U640" t="str">
        <f t="shared" si="118"/>
        <v>Storage</v>
      </c>
      <c r="V640" t="s">
        <v>2032</v>
      </c>
      <c r="X640" t="s">
        <v>29</v>
      </c>
      <c r="Y640" t="str">
        <f t="shared" si="120"/>
        <v>Second Class</v>
      </c>
      <c r="Z640">
        <v>3</v>
      </c>
      <c r="AA640">
        <v>3224.32</v>
      </c>
      <c r="AB640">
        <v>0.2</v>
      </c>
      <c r="AC640">
        <v>7738.37</v>
      </c>
      <c r="AD640">
        <v>4626.8500000000004</v>
      </c>
      <c r="AE640">
        <v>3111.52</v>
      </c>
      <c r="AF640" t="s">
        <v>153</v>
      </c>
      <c r="AG640" t="str">
        <f t="shared" si="121"/>
        <v>Failed</v>
      </c>
      <c r="AH640" t="s">
        <v>101</v>
      </c>
    </row>
    <row r="641" spans="1:34">
      <c r="A641" t="s">
        <v>2033</v>
      </c>
      <c r="B641">
        <f>COUNTIF($A:$A,A641)</f>
        <v>1</v>
      </c>
      <c r="C641" t="str">
        <f t="shared" si="111"/>
        <v>Unique</v>
      </c>
      <c r="D641" s="4">
        <v>45653</v>
      </c>
      <c r="E641">
        <f t="shared" si="112"/>
        <v>4</v>
      </c>
      <c r="F641" s="4">
        <v>45657</v>
      </c>
      <c r="G641" t="s">
        <v>2034</v>
      </c>
      <c r="H641" t="s">
        <v>45</v>
      </c>
      <c r="I641" t="str">
        <f t="shared" si="113"/>
        <v>Isha Nair</v>
      </c>
      <c r="J641" t="s">
        <v>35</v>
      </c>
      <c r="K641" t="str">
        <f t="shared" si="114"/>
        <v>Small Business</v>
      </c>
      <c r="L641" t="s">
        <v>36</v>
      </c>
      <c r="M641" t="str">
        <f t="shared" si="122"/>
        <v>East</v>
      </c>
      <c r="N641" t="s">
        <v>37</v>
      </c>
      <c r="O641" t="str">
        <f t="shared" si="115"/>
        <v>Odisha</v>
      </c>
      <c r="P641" t="s">
        <v>38</v>
      </c>
      <c r="Q641" t="str">
        <f t="shared" si="116"/>
        <v>Bhubaneswar</v>
      </c>
      <c r="R641" t="s">
        <v>39</v>
      </c>
      <c r="S641" t="str">
        <f t="shared" si="117"/>
        <v>Furniture</v>
      </c>
      <c r="T641" t="s">
        <v>64</v>
      </c>
      <c r="U641" t="str">
        <f t="shared" si="118"/>
        <v>Chairs</v>
      </c>
      <c r="V641" t="s">
        <v>2035</v>
      </c>
      <c r="X641" t="s">
        <v>29</v>
      </c>
      <c r="Y641" t="str">
        <f t="shared" si="120"/>
        <v>Second Class</v>
      </c>
      <c r="Z641">
        <v>1</v>
      </c>
      <c r="AA641">
        <v>1594.7</v>
      </c>
      <c r="AB641">
        <v>0.05</v>
      </c>
      <c r="AC641">
        <v>1514.96</v>
      </c>
      <c r="AD641">
        <v>1046.17</v>
      </c>
      <c r="AE641">
        <v>468.79</v>
      </c>
      <c r="AF641" t="s">
        <v>30</v>
      </c>
      <c r="AG641" t="str">
        <f t="shared" si="121"/>
        <v>Paid</v>
      </c>
      <c r="AH641" t="s">
        <v>31</v>
      </c>
    </row>
    <row r="642" spans="1:34">
      <c r="A642" t="s">
        <v>2036</v>
      </c>
      <c r="B642">
        <f>COUNTIF($A:$A,A642)</f>
        <v>1</v>
      </c>
      <c r="C642" t="str">
        <f t="shared" ref="C642:C705" si="123">IF(B642&gt;1,"Review Duplicate ID","Unique")</f>
        <v>Unique</v>
      </c>
      <c r="D642" s="4">
        <v>45671</v>
      </c>
      <c r="E642">
        <f t="shared" ref="E642:E705" si="124">F642-D642</f>
        <v>3</v>
      </c>
      <c r="F642" s="4">
        <v>45674</v>
      </c>
      <c r="G642" t="s">
        <v>2037</v>
      </c>
      <c r="H642" t="s">
        <v>69</v>
      </c>
      <c r="I642" t="str">
        <f t="shared" ref="I642:I705" si="125">PROPER(TRIM(H642))</f>
        <v>Vikram Iyer</v>
      </c>
      <c r="J642" t="s">
        <v>22</v>
      </c>
      <c r="K642" t="str">
        <f t="shared" ref="K642:K705" si="126">PROPER(TRIM(J642))</f>
        <v>Consumer</v>
      </c>
      <c r="L642" t="s">
        <v>61</v>
      </c>
      <c r="M642" t="str">
        <f t="shared" si="122"/>
        <v>West</v>
      </c>
      <c r="N642" t="s">
        <v>188</v>
      </c>
      <c r="O642" t="str">
        <f t="shared" ref="O642:O705" si="127">PROPER(TRIM(N642))</f>
        <v>Goa</v>
      </c>
      <c r="P642" t="s">
        <v>189</v>
      </c>
      <c r="Q642" t="str">
        <f t="shared" ref="Q642:Q705" si="128">PROPER(TRIM(P642))</f>
        <v>Panaji</v>
      </c>
      <c r="R642" t="s">
        <v>26</v>
      </c>
      <c r="S642" t="str">
        <f t="shared" ref="S642:S705" si="129">PROPER(TRIM(R642))</f>
        <v>Office Supplies</v>
      </c>
      <c r="T642" t="s">
        <v>122</v>
      </c>
      <c r="U642" t="str">
        <f t="shared" ref="U642:U705" si="130">PROPER(TRIM(T642))</f>
        <v>Storage</v>
      </c>
      <c r="V642" t="s">
        <v>2038</v>
      </c>
      <c r="X642" t="s">
        <v>48</v>
      </c>
      <c r="Y642" t="str">
        <f t="shared" si="120"/>
        <v>First Class</v>
      </c>
      <c r="Z642">
        <v>1</v>
      </c>
      <c r="AA642">
        <v>1584.12</v>
      </c>
      <c r="AB642">
        <v>0.2</v>
      </c>
      <c r="AC642">
        <v>1267.3</v>
      </c>
      <c r="AD642">
        <v>923.53</v>
      </c>
      <c r="AE642">
        <v>343.77</v>
      </c>
      <c r="AF642" t="s">
        <v>30</v>
      </c>
      <c r="AG642" t="str">
        <f t="shared" si="121"/>
        <v>Paid</v>
      </c>
      <c r="AH642" t="s">
        <v>31</v>
      </c>
    </row>
    <row r="643" spans="1:34">
      <c r="A643" t="s">
        <v>2039</v>
      </c>
      <c r="B643">
        <f>COUNTIF($A:$A,A643)</f>
        <v>1</v>
      </c>
      <c r="C643" t="str">
        <f t="shared" si="123"/>
        <v>Unique</v>
      </c>
      <c r="D643" s="4">
        <v>45904</v>
      </c>
      <c r="E643">
        <f t="shared" si="124"/>
        <v>-143</v>
      </c>
      <c r="F643" s="4">
        <v>45761</v>
      </c>
      <c r="G643" t="s">
        <v>2040</v>
      </c>
      <c r="H643" t="s">
        <v>21</v>
      </c>
      <c r="I643" t="str">
        <f t="shared" si="125"/>
        <v>Karan Malhotra</v>
      </c>
      <c r="J643" t="s">
        <v>22</v>
      </c>
      <c r="K643" t="str">
        <f t="shared" si="126"/>
        <v>Consumer</v>
      </c>
      <c r="L643" t="s">
        <v>23</v>
      </c>
      <c r="M643" t="str">
        <f t="shared" si="122"/>
        <v>North</v>
      </c>
      <c r="N643" t="s">
        <v>349</v>
      </c>
      <c r="O643" t="str">
        <f t="shared" si="127"/>
        <v>Delhi</v>
      </c>
      <c r="P643" t="s">
        <v>350</v>
      </c>
      <c r="Q643" t="str">
        <f t="shared" si="128"/>
        <v>New Delhi</v>
      </c>
      <c r="R643" t="s">
        <v>39</v>
      </c>
      <c r="S643" t="str">
        <f t="shared" si="129"/>
        <v>Furniture</v>
      </c>
      <c r="T643" t="s">
        <v>55</v>
      </c>
      <c r="U643" t="str">
        <f t="shared" si="130"/>
        <v>Furnishings</v>
      </c>
      <c r="V643" t="s">
        <v>2041</v>
      </c>
      <c r="X643" t="s">
        <v>42</v>
      </c>
      <c r="Y643" t="str">
        <f t="shared" ref="Y643:Y705" si="131">PROPER(TRIM(X643))</f>
        <v>Same Day</v>
      </c>
      <c r="Z643">
        <v>2</v>
      </c>
      <c r="AA643">
        <v>3202.87</v>
      </c>
      <c r="AB643">
        <v>0</v>
      </c>
      <c r="AC643">
        <v>6405.74</v>
      </c>
      <c r="AD643">
        <v>3561.87</v>
      </c>
      <c r="AE643">
        <v>2843.87</v>
      </c>
      <c r="AF643" t="s">
        <v>30</v>
      </c>
      <c r="AG643" t="str">
        <f t="shared" ref="AG643:AG706" si="132">PROPER(TRIM(AF643))</f>
        <v>Paid</v>
      </c>
      <c r="AH643" t="s">
        <v>31</v>
      </c>
    </row>
    <row r="644" spans="1:34">
      <c r="A644" t="s">
        <v>2042</v>
      </c>
      <c r="B644">
        <f>COUNTIF($A:$A,A644)</f>
        <v>1</v>
      </c>
      <c r="C644" t="str">
        <f t="shared" si="123"/>
        <v>Unique</v>
      </c>
      <c r="D644" s="4">
        <v>45533</v>
      </c>
      <c r="E644">
        <f t="shared" si="124"/>
        <v>2</v>
      </c>
      <c r="F644" s="4">
        <v>45535</v>
      </c>
      <c r="G644" t="s">
        <v>2043</v>
      </c>
      <c r="H644" t="s">
        <v>45</v>
      </c>
      <c r="I644" t="str">
        <f t="shared" si="125"/>
        <v>Isha Nair</v>
      </c>
      <c r="J644" t="s">
        <v>93</v>
      </c>
      <c r="K644" t="str">
        <f t="shared" si="126"/>
        <v>Home Office</v>
      </c>
      <c r="L644" t="s">
        <v>36</v>
      </c>
      <c r="M644" t="str">
        <f t="shared" si="122"/>
        <v>East</v>
      </c>
      <c r="N644" t="s">
        <v>164</v>
      </c>
      <c r="O644" t="str">
        <f t="shared" si="127"/>
        <v>Assam</v>
      </c>
      <c r="P644" t="s">
        <v>165</v>
      </c>
      <c r="Q644" t="str">
        <f t="shared" si="128"/>
        <v>Guwahati</v>
      </c>
      <c r="R644" t="s">
        <v>26</v>
      </c>
      <c r="S644" t="str">
        <f t="shared" si="129"/>
        <v>Office Supplies</v>
      </c>
      <c r="T644" t="s">
        <v>2044</v>
      </c>
      <c r="U644" t="str">
        <f t="shared" si="130"/>
        <v>Binders</v>
      </c>
      <c r="V644" t="s">
        <v>2045</v>
      </c>
      <c r="X644" t="s">
        <v>29</v>
      </c>
      <c r="Y644" t="str">
        <f t="shared" si="131"/>
        <v>Second Class</v>
      </c>
      <c r="Z644">
        <v>9</v>
      </c>
      <c r="AA644">
        <v>1275.21</v>
      </c>
      <c r="AB644">
        <v>0.25</v>
      </c>
      <c r="AC644">
        <v>8607.67</v>
      </c>
      <c r="AD644">
        <v>5337.64</v>
      </c>
      <c r="AE644">
        <v>3270.03</v>
      </c>
      <c r="AF644" t="s">
        <v>153</v>
      </c>
      <c r="AG644" t="str">
        <f t="shared" si="132"/>
        <v>Failed</v>
      </c>
      <c r="AH644" t="s">
        <v>101</v>
      </c>
    </row>
    <row r="645" spans="1:34">
      <c r="A645" t="s">
        <v>2046</v>
      </c>
      <c r="B645">
        <f>COUNTIF($A:$A,A645)</f>
        <v>1</v>
      </c>
      <c r="C645" t="str">
        <f t="shared" si="123"/>
        <v>Unique</v>
      </c>
      <c r="D645" s="4">
        <v>45414</v>
      </c>
      <c r="E645">
        <f t="shared" si="124"/>
        <v>-79</v>
      </c>
      <c r="F645" s="4">
        <v>45335</v>
      </c>
      <c r="G645" t="s">
        <v>729</v>
      </c>
      <c r="H645" t="s">
        <v>126</v>
      </c>
      <c r="I645" t="str">
        <f t="shared" si="125"/>
        <v>Aarav Sharma</v>
      </c>
      <c r="J645" t="s">
        <v>93</v>
      </c>
      <c r="K645" t="str">
        <f t="shared" si="126"/>
        <v>Home Office</v>
      </c>
      <c r="L645" t="s">
        <v>23</v>
      </c>
      <c r="M645" t="str">
        <f t="shared" si="122"/>
        <v>North</v>
      </c>
      <c r="N645" t="s">
        <v>134</v>
      </c>
      <c r="O645" t="str">
        <f t="shared" si="127"/>
        <v>Uttar Pradesh</v>
      </c>
      <c r="P645" t="s">
        <v>135</v>
      </c>
      <c r="Q645" t="str">
        <f t="shared" si="128"/>
        <v>Noida</v>
      </c>
      <c r="R645" t="s">
        <v>26</v>
      </c>
      <c r="S645" t="str">
        <f t="shared" si="129"/>
        <v>Office Supplies</v>
      </c>
      <c r="T645" t="s">
        <v>89</v>
      </c>
      <c r="U645" t="str">
        <f t="shared" si="130"/>
        <v>Labels</v>
      </c>
      <c r="V645" t="s">
        <v>2047</v>
      </c>
      <c r="X645" t="s">
        <v>57</v>
      </c>
      <c r="Y645" t="str">
        <f t="shared" si="131"/>
        <v>Standard Class</v>
      </c>
      <c r="Z645">
        <v>8</v>
      </c>
      <c r="AA645">
        <v>3871.18</v>
      </c>
      <c r="AB645">
        <v>0.15</v>
      </c>
      <c r="AC645">
        <v>26324.02</v>
      </c>
      <c r="AD645">
        <v>16277.96</v>
      </c>
      <c r="AE645">
        <v>10046.06</v>
      </c>
      <c r="AF645" t="s">
        <v>153</v>
      </c>
      <c r="AG645" t="str">
        <f t="shared" si="132"/>
        <v>Failed</v>
      </c>
      <c r="AH645" t="s">
        <v>101</v>
      </c>
    </row>
    <row r="646" spans="1:34">
      <c r="A646" t="s">
        <v>2048</v>
      </c>
      <c r="B646">
        <f>COUNTIF($A:$A,A646)</f>
        <v>1</v>
      </c>
      <c r="C646" t="str">
        <f t="shared" si="123"/>
        <v>Unique</v>
      </c>
      <c r="D646" s="4">
        <v>45934</v>
      </c>
      <c r="E646">
        <f t="shared" si="124"/>
        <v>-170</v>
      </c>
      <c r="F646" s="4">
        <v>45764</v>
      </c>
      <c r="G646" t="s">
        <v>2049</v>
      </c>
      <c r="H646" t="s">
        <v>69</v>
      </c>
      <c r="I646" t="str">
        <f t="shared" si="125"/>
        <v>Vikram Iyer</v>
      </c>
      <c r="J646" t="s">
        <v>22</v>
      </c>
      <c r="K646" t="str">
        <f t="shared" si="126"/>
        <v>Consumer</v>
      </c>
      <c r="L646" t="s">
        <v>36</v>
      </c>
      <c r="M646" t="str">
        <f t="shared" si="122"/>
        <v>East</v>
      </c>
      <c r="N646" t="s">
        <v>97</v>
      </c>
      <c r="O646" t="str">
        <f t="shared" si="127"/>
        <v>West Bengal</v>
      </c>
      <c r="P646" t="s">
        <v>98</v>
      </c>
      <c r="Q646" t="str">
        <f t="shared" si="128"/>
        <v>Kolkata</v>
      </c>
      <c r="R646" t="s">
        <v>39</v>
      </c>
      <c r="S646" t="str">
        <f t="shared" si="129"/>
        <v>Furniture</v>
      </c>
      <c r="T646" t="s">
        <v>64</v>
      </c>
      <c r="U646" t="str">
        <f t="shared" si="130"/>
        <v>Chairs</v>
      </c>
      <c r="V646" t="s">
        <v>2050</v>
      </c>
      <c r="X646" t="s">
        <v>57</v>
      </c>
      <c r="Y646" t="str">
        <f t="shared" si="131"/>
        <v>Standard Class</v>
      </c>
      <c r="Z646">
        <v>4</v>
      </c>
      <c r="AA646">
        <v>3750.02</v>
      </c>
      <c r="AB646">
        <v>0.05</v>
      </c>
      <c r="AC646">
        <v>14250.08</v>
      </c>
      <c r="AD646">
        <v>10914.92</v>
      </c>
      <c r="AE646">
        <v>3335.16</v>
      </c>
      <c r="AF646" t="s">
        <v>30</v>
      </c>
      <c r="AG646" t="str">
        <f t="shared" si="132"/>
        <v>Paid</v>
      </c>
      <c r="AH646" t="s">
        <v>31</v>
      </c>
    </row>
    <row r="647" spans="1:34">
      <c r="A647" t="s">
        <v>2051</v>
      </c>
      <c r="B647">
        <f>COUNTIF($A:$A,A647)</f>
        <v>1</v>
      </c>
      <c r="C647" t="str">
        <f t="shared" si="123"/>
        <v>Unique</v>
      </c>
      <c r="D647" s="4">
        <v>45383</v>
      </c>
      <c r="E647">
        <f t="shared" si="124"/>
        <v>153</v>
      </c>
      <c r="F647" s="4">
        <v>45536</v>
      </c>
      <c r="G647" t="s">
        <v>2052</v>
      </c>
      <c r="H647" t="s">
        <v>263</v>
      </c>
      <c r="I647" t="str">
        <f t="shared" si="125"/>
        <v>Kabir Singh</v>
      </c>
      <c r="J647" t="s">
        <v>22</v>
      </c>
      <c r="K647" t="str">
        <f t="shared" si="126"/>
        <v>Consumer</v>
      </c>
      <c r="L647" t="s">
        <v>36</v>
      </c>
      <c r="M647" t="str">
        <f t="shared" si="122"/>
        <v>East</v>
      </c>
      <c r="N647" t="s">
        <v>143</v>
      </c>
      <c r="O647" t="str">
        <f t="shared" si="127"/>
        <v>Bihar</v>
      </c>
      <c r="P647" t="s">
        <v>144</v>
      </c>
      <c r="Q647" t="str">
        <f t="shared" si="128"/>
        <v>Patna</v>
      </c>
      <c r="R647" t="s">
        <v>39</v>
      </c>
      <c r="S647" t="str">
        <f t="shared" si="129"/>
        <v>Furniture</v>
      </c>
      <c r="T647" t="s">
        <v>64</v>
      </c>
      <c r="U647" t="str">
        <f t="shared" si="130"/>
        <v>Chairs</v>
      </c>
      <c r="V647" t="s">
        <v>2053</v>
      </c>
      <c r="X647" t="s">
        <v>29</v>
      </c>
      <c r="Y647" t="str">
        <f t="shared" si="131"/>
        <v>Second Class</v>
      </c>
      <c r="Z647">
        <v>6</v>
      </c>
      <c r="AA647">
        <v>2423.61</v>
      </c>
      <c r="AB647">
        <v>0.1</v>
      </c>
      <c r="AC647">
        <v>13087.49</v>
      </c>
      <c r="AD647">
        <v>7608.89</v>
      </c>
      <c r="AE647">
        <v>5133.22</v>
      </c>
      <c r="AF647" t="s">
        <v>30</v>
      </c>
      <c r="AG647" t="str">
        <f t="shared" si="132"/>
        <v>Paid</v>
      </c>
      <c r="AH647" t="s">
        <v>31</v>
      </c>
    </row>
    <row r="648" spans="1:34">
      <c r="A648" t="s">
        <v>2054</v>
      </c>
      <c r="B648">
        <f>COUNTIF($A:$A,A648)</f>
        <v>1</v>
      </c>
      <c r="C648" t="str">
        <f t="shared" si="123"/>
        <v>Unique</v>
      </c>
      <c r="D648" s="4">
        <v>45553</v>
      </c>
      <c r="E648">
        <f t="shared" si="124"/>
        <v>6</v>
      </c>
      <c r="F648" s="4">
        <v>45559</v>
      </c>
      <c r="G648" t="s">
        <v>2055</v>
      </c>
      <c r="H648" t="s">
        <v>69</v>
      </c>
      <c r="I648" t="str">
        <f t="shared" si="125"/>
        <v>Vikram Iyer</v>
      </c>
      <c r="J648" t="s">
        <v>35</v>
      </c>
      <c r="K648" t="str">
        <f t="shared" si="126"/>
        <v>Small Business</v>
      </c>
      <c r="L648" t="s">
        <v>36</v>
      </c>
      <c r="M648" t="str">
        <f t="shared" si="122"/>
        <v>East</v>
      </c>
      <c r="N648" t="s">
        <v>227</v>
      </c>
      <c r="O648" t="str">
        <f t="shared" si="127"/>
        <v>Jharkhand</v>
      </c>
      <c r="P648" t="s">
        <v>228</v>
      </c>
      <c r="Q648" t="str">
        <f t="shared" si="128"/>
        <v>Ranchi</v>
      </c>
      <c r="R648" t="s">
        <v>72</v>
      </c>
      <c r="S648" t="str">
        <f t="shared" si="129"/>
        <v>Technology</v>
      </c>
      <c r="T648" t="s">
        <v>273</v>
      </c>
      <c r="U648" t="str">
        <f t="shared" si="130"/>
        <v>Machines</v>
      </c>
      <c r="V648" t="s">
        <v>2056</v>
      </c>
      <c r="X648" t="s">
        <v>48</v>
      </c>
      <c r="Y648" t="str">
        <f t="shared" si="131"/>
        <v>First Class</v>
      </c>
      <c r="Z648">
        <v>3</v>
      </c>
      <c r="AA648">
        <v>729.14</v>
      </c>
      <c r="AB648">
        <v>0.25</v>
      </c>
      <c r="AC648">
        <v>1640.57</v>
      </c>
      <c r="AD648">
        <v>1136.98</v>
      </c>
      <c r="AE648">
        <v>503.59</v>
      </c>
      <c r="AF648" t="s">
        <v>30</v>
      </c>
      <c r="AG648" t="str">
        <f t="shared" si="132"/>
        <v>Paid</v>
      </c>
      <c r="AH648" t="s">
        <v>31</v>
      </c>
    </row>
    <row r="649" spans="1:34">
      <c r="A649" t="s">
        <v>2057</v>
      </c>
      <c r="B649">
        <f>COUNTIF($A:$A,A649)</f>
        <v>1</v>
      </c>
      <c r="C649" t="str">
        <f t="shared" si="123"/>
        <v>Unique</v>
      </c>
      <c r="D649" s="4">
        <v>45658</v>
      </c>
      <c r="E649">
        <f t="shared" si="124"/>
        <v>243</v>
      </c>
      <c r="F649" s="4">
        <v>45901</v>
      </c>
      <c r="G649" t="s">
        <v>2058</v>
      </c>
      <c r="H649" t="s">
        <v>2059</v>
      </c>
      <c r="I649" t="str">
        <f t="shared" si="125"/>
        <v>Rohan Mehta</v>
      </c>
      <c r="J649" t="s">
        <v>35</v>
      </c>
      <c r="K649" t="str">
        <f t="shared" si="126"/>
        <v>Small Business</v>
      </c>
      <c r="L649" t="s">
        <v>23</v>
      </c>
      <c r="M649" t="str">
        <f t="shared" si="122"/>
        <v>North</v>
      </c>
      <c r="N649" t="s">
        <v>120</v>
      </c>
      <c r="O649" t="str">
        <f t="shared" si="127"/>
        <v>Punjab</v>
      </c>
      <c r="P649" t="s">
        <v>121</v>
      </c>
      <c r="Q649" t="str">
        <f t="shared" si="128"/>
        <v>Ludhiana</v>
      </c>
      <c r="R649" t="s">
        <v>26</v>
      </c>
      <c r="S649" t="str">
        <f t="shared" si="129"/>
        <v>Office Supplies</v>
      </c>
      <c r="T649" t="s">
        <v>46</v>
      </c>
      <c r="U649" t="str">
        <f t="shared" si="130"/>
        <v>Art</v>
      </c>
      <c r="V649" t="s">
        <v>2060</v>
      </c>
      <c r="X649" t="s">
        <v>48</v>
      </c>
      <c r="Y649" t="str">
        <f t="shared" si="131"/>
        <v>First Class</v>
      </c>
      <c r="Z649">
        <v>8</v>
      </c>
      <c r="AA649">
        <v>2123.81</v>
      </c>
      <c r="AB649">
        <v>0.15</v>
      </c>
      <c r="AC649">
        <v>14441.91</v>
      </c>
      <c r="AD649">
        <v>10872.89</v>
      </c>
      <c r="AE649">
        <v>3569.02</v>
      </c>
      <c r="AF649" t="s">
        <v>30</v>
      </c>
      <c r="AG649" t="str">
        <f t="shared" si="132"/>
        <v>Paid</v>
      </c>
      <c r="AH649" t="s">
        <v>31</v>
      </c>
    </row>
    <row r="650" spans="1:34">
      <c r="A650" t="s">
        <v>2061</v>
      </c>
      <c r="B650">
        <f>COUNTIF($A:$A,A650)</f>
        <v>1</v>
      </c>
      <c r="C650" t="str">
        <f t="shared" si="123"/>
        <v>Unique</v>
      </c>
      <c r="D650" s="4">
        <v>45403</v>
      </c>
      <c r="E650">
        <f t="shared" si="124"/>
        <v>3</v>
      </c>
      <c r="F650" s="4">
        <v>45406</v>
      </c>
      <c r="G650" t="s">
        <v>2062</v>
      </c>
      <c r="H650" t="s">
        <v>77</v>
      </c>
      <c r="I650" t="str">
        <f t="shared" si="125"/>
        <v>Neha Gupta</v>
      </c>
      <c r="J650" t="s">
        <v>35</v>
      </c>
      <c r="K650" t="str">
        <f t="shared" si="126"/>
        <v>Small Business</v>
      </c>
      <c r="L650" t="s">
        <v>52</v>
      </c>
      <c r="M650" t="str">
        <f t="shared" si="122"/>
        <v>South</v>
      </c>
      <c r="N650" t="s">
        <v>82</v>
      </c>
      <c r="O650" t="str">
        <f t="shared" si="127"/>
        <v>Andhra Pradesh</v>
      </c>
      <c r="P650" t="s">
        <v>83</v>
      </c>
      <c r="Q650" t="str">
        <f t="shared" si="128"/>
        <v>Vijayawada</v>
      </c>
      <c r="R650" t="s">
        <v>26</v>
      </c>
      <c r="S650" t="str">
        <f t="shared" si="129"/>
        <v>Office Supplies</v>
      </c>
      <c r="T650" t="s">
        <v>46</v>
      </c>
      <c r="U650" t="str">
        <f t="shared" si="130"/>
        <v>Art</v>
      </c>
      <c r="V650" t="s">
        <v>2063</v>
      </c>
      <c r="X650" t="s">
        <v>42</v>
      </c>
      <c r="Y650" t="str">
        <f t="shared" si="131"/>
        <v>Same Day</v>
      </c>
      <c r="Z650">
        <v>9</v>
      </c>
      <c r="AA650">
        <v>703.59</v>
      </c>
      <c r="AB650">
        <v>0.2</v>
      </c>
      <c r="AC650">
        <v>5065.8500000000004</v>
      </c>
      <c r="AD650">
        <v>3517.23</v>
      </c>
      <c r="AE650">
        <v>1548.62</v>
      </c>
      <c r="AF650" t="s">
        <v>153</v>
      </c>
      <c r="AG650" t="str">
        <f t="shared" si="132"/>
        <v>Failed</v>
      </c>
      <c r="AH650" t="s">
        <v>101</v>
      </c>
    </row>
    <row r="651" spans="1:34">
      <c r="A651" t="s">
        <v>2064</v>
      </c>
      <c r="B651">
        <f>COUNTIF($A:$A,A651)</f>
        <v>1</v>
      </c>
      <c r="C651" t="str">
        <f t="shared" si="123"/>
        <v>Unique</v>
      </c>
      <c r="D651" s="4">
        <v>45969</v>
      </c>
      <c r="E651">
        <f t="shared" si="124"/>
        <v>-81</v>
      </c>
      <c r="F651" s="4">
        <v>45888</v>
      </c>
      <c r="G651" t="s">
        <v>2065</v>
      </c>
      <c r="H651" t="s">
        <v>263</v>
      </c>
      <c r="I651" t="str">
        <f t="shared" si="125"/>
        <v>Kabir Singh</v>
      </c>
      <c r="J651" t="s">
        <v>35</v>
      </c>
      <c r="K651" t="str">
        <f t="shared" si="126"/>
        <v>Small Business</v>
      </c>
      <c r="L651" t="s">
        <v>52</v>
      </c>
      <c r="M651" t="str">
        <f t="shared" si="122"/>
        <v>South</v>
      </c>
      <c r="N651" t="s">
        <v>183</v>
      </c>
      <c r="O651" t="str">
        <f t="shared" si="127"/>
        <v>Kerala</v>
      </c>
      <c r="P651" t="s">
        <v>184</v>
      </c>
      <c r="Q651" t="str">
        <f t="shared" si="128"/>
        <v>Kochi</v>
      </c>
      <c r="R651" t="s">
        <v>72</v>
      </c>
      <c r="S651" t="str">
        <f t="shared" si="129"/>
        <v>Technology</v>
      </c>
      <c r="T651" t="s">
        <v>73</v>
      </c>
      <c r="U651" t="str">
        <f t="shared" si="130"/>
        <v>Accessories</v>
      </c>
      <c r="V651" t="s">
        <v>2066</v>
      </c>
      <c r="X651" t="s">
        <v>57</v>
      </c>
      <c r="Y651" t="str">
        <f t="shared" si="131"/>
        <v>Standard Class</v>
      </c>
      <c r="Z651">
        <v>4</v>
      </c>
      <c r="AA651">
        <v>2258.96</v>
      </c>
      <c r="AB651">
        <v>0.25</v>
      </c>
      <c r="AC651">
        <v>6776.88</v>
      </c>
      <c r="AD651">
        <v>3836.24</v>
      </c>
      <c r="AE651">
        <v>2940.64</v>
      </c>
      <c r="AF651" t="s">
        <v>30</v>
      </c>
      <c r="AG651" t="str">
        <f t="shared" si="132"/>
        <v>Paid</v>
      </c>
      <c r="AH651" t="s">
        <v>31</v>
      </c>
    </row>
    <row r="652" spans="1:34">
      <c r="A652" t="s">
        <v>2067</v>
      </c>
      <c r="B652">
        <f>COUNTIF($A:$A,A652)</f>
        <v>1</v>
      </c>
      <c r="C652" t="str">
        <f t="shared" si="123"/>
        <v>Unique</v>
      </c>
      <c r="D652" s="4">
        <v>45395</v>
      </c>
      <c r="E652">
        <f t="shared" si="124"/>
        <v>8</v>
      </c>
      <c r="F652" s="4">
        <v>45403</v>
      </c>
      <c r="G652" t="s">
        <v>377</v>
      </c>
      <c r="H652" t="s">
        <v>126</v>
      </c>
      <c r="I652" t="str">
        <f t="shared" si="125"/>
        <v>Aarav Sharma</v>
      </c>
      <c r="J652" t="s">
        <v>93</v>
      </c>
      <c r="K652" t="str">
        <f t="shared" si="126"/>
        <v>Home Office</v>
      </c>
      <c r="L652" t="s">
        <v>36</v>
      </c>
      <c r="M652" t="str">
        <f t="shared" si="122"/>
        <v>East</v>
      </c>
      <c r="N652" t="s">
        <v>143</v>
      </c>
      <c r="O652" t="str">
        <f t="shared" si="127"/>
        <v>Bihar</v>
      </c>
      <c r="P652" t="s">
        <v>144</v>
      </c>
      <c r="Q652" t="str">
        <f t="shared" si="128"/>
        <v>Patna</v>
      </c>
      <c r="R652" t="s">
        <v>72</v>
      </c>
      <c r="S652" t="str">
        <f t="shared" si="129"/>
        <v>Technology</v>
      </c>
      <c r="T652" t="s">
        <v>73</v>
      </c>
      <c r="U652" t="str">
        <f t="shared" si="130"/>
        <v>Accessories</v>
      </c>
      <c r="V652" t="s">
        <v>2068</v>
      </c>
      <c r="X652" t="s">
        <v>42</v>
      </c>
      <c r="Y652" t="str">
        <f t="shared" si="131"/>
        <v>Same Day</v>
      </c>
      <c r="Z652">
        <v>7</v>
      </c>
      <c r="AA652">
        <v>2648.76</v>
      </c>
      <c r="AB652">
        <v>0.15</v>
      </c>
      <c r="AC652">
        <v>15760.12</v>
      </c>
      <c r="AD652">
        <v>9931.5300000000007</v>
      </c>
      <c r="AE652">
        <v>5828.59</v>
      </c>
      <c r="AF652" t="s">
        <v>153</v>
      </c>
      <c r="AG652" t="str">
        <f t="shared" si="132"/>
        <v>Failed</v>
      </c>
      <c r="AH652" t="s">
        <v>101</v>
      </c>
    </row>
    <row r="653" spans="1:34">
      <c r="A653" t="s">
        <v>2069</v>
      </c>
      <c r="B653">
        <f>COUNTIF($A:$A,A653)</f>
        <v>1</v>
      </c>
      <c r="C653" t="str">
        <f t="shared" si="123"/>
        <v>Unique</v>
      </c>
      <c r="D653" s="4">
        <v>45816</v>
      </c>
      <c r="E653">
        <f t="shared" si="124"/>
        <v>92</v>
      </c>
      <c r="F653" s="4">
        <v>45908</v>
      </c>
      <c r="G653" t="s">
        <v>2070</v>
      </c>
      <c r="H653" t="s">
        <v>34</v>
      </c>
      <c r="I653" t="str">
        <f t="shared" si="125"/>
        <v>Mira Das</v>
      </c>
      <c r="J653" t="s">
        <v>35</v>
      </c>
      <c r="K653" t="str">
        <f t="shared" si="126"/>
        <v>Small Business</v>
      </c>
      <c r="L653" t="s">
        <v>52</v>
      </c>
      <c r="M653" t="str">
        <f t="shared" si="122"/>
        <v>South</v>
      </c>
      <c r="N653" t="s">
        <v>82</v>
      </c>
      <c r="O653" t="str">
        <f t="shared" si="127"/>
        <v>Andhra Pradesh</v>
      </c>
      <c r="P653" t="s">
        <v>83</v>
      </c>
      <c r="Q653" t="str">
        <f t="shared" si="128"/>
        <v>Vijayawada</v>
      </c>
      <c r="R653" t="s">
        <v>26</v>
      </c>
      <c r="S653" t="str">
        <f t="shared" si="129"/>
        <v>Office Supplies</v>
      </c>
      <c r="T653" t="s">
        <v>27</v>
      </c>
      <c r="U653" t="str">
        <f t="shared" si="130"/>
        <v>Paper</v>
      </c>
      <c r="V653" t="s">
        <v>2071</v>
      </c>
      <c r="X653" t="s">
        <v>29</v>
      </c>
      <c r="Y653" t="str">
        <f t="shared" si="131"/>
        <v>Second Class</v>
      </c>
      <c r="Z653">
        <v>3</v>
      </c>
      <c r="AA653">
        <v>598.54999999999995</v>
      </c>
      <c r="AB653">
        <v>0</v>
      </c>
      <c r="AC653">
        <v>1795.65</v>
      </c>
      <c r="AD653">
        <v>996.72</v>
      </c>
      <c r="AE653">
        <v>798.93</v>
      </c>
      <c r="AF653" t="s">
        <v>30</v>
      </c>
      <c r="AG653" t="str">
        <f t="shared" si="132"/>
        <v>Paid</v>
      </c>
      <c r="AH653" t="s">
        <v>31</v>
      </c>
    </row>
    <row r="654" spans="1:34">
      <c r="A654" t="s">
        <v>2072</v>
      </c>
      <c r="B654">
        <f>COUNTIF($A:$A,A654)</f>
        <v>1</v>
      </c>
      <c r="C654" t="str">
        <f t="shared" si="123"/>
        <v>Unique</v>
      </c>
      <c r="D654" s="4">
        <v>45733</v>
      </c>
      <c r="E654">
        <f t="shared" si="124"/>
        <v>4</v>
      </c>
      <c r="F654" s="4">
        <v>45737</v>
      </c>
      <c r="G654" t="s">
        <v>1712</v>
      </c>
      <c r="H654" t="s">
        <v>130</v>
      </c>
      <c r="I654" t="str">
        <f t="shared" si="125"/>
        <v>Sneha Kapoor</v>
      </c>
      <c r="J654" t="s">
        <v>22</v>
      </c>
      <c r="K654" t="str">
        <f t="shared" si="126"/>
        <v>Consumer</v>
      </c>
      <c r="L654" t="s">
        <v>23</v>
      </c>
      <c r="M654" t="str">
        <f t="shared" si="122"/>
        <v>North</v>
      </c>
      <c r="N654" t="s">
        <v>134</v>
      </c>
      <c r="O654" t="str">
        <f t="shared" si="127"/>
        <v>Uttar Pradesh</v>
      </c>
      <c r="P654" t="s">
        <v>135</v>
      </c>
      <c r="Q654" t="str">
        <f t="shared" si="128"/>
        <v>Noida</v>
      </c>
      <c r="R654" t="s">
        <v>26</v>
      </c>
      <c r="S654" t="str">
        <f t="shared" si="129"/>
        <v>Office Supplies</v>
      </c>
      <c r="T654" t="s">
        <v>151</v>
      </c>
      <c r="U654" t="str">
        <f t="shared" si="130"/>
        <v>Binders</v>
      </c>
      <c r="V654" t="s">
        <v>2073</v>
      </c>
      <c r="X654" t="s">
        <v>57</v>
      </c>
      <c r="Y654" t="str">
        <f t="shared" si="131"/>
        <v>Standard Class</v>
      </c>
      <c r="Z654">
        <v>5</v>
      </c>
      <c r="AA654">
        <v>4320.59</v>
      </c>
      <c r="AB654">
        <v>0.15</v>
      </c>
      <c r="AC654">
        <v>18362.509999999998</v>
      </c>
      <c r="AD654">
        <v>11133.97</v>
      </c>
      <c r="AE654">
        <v>7228.54</v>
      </c>
      <c r="AF654" t="s">
        <v>30</v>
      </c>
      <c r="AG654" t="str">
        <f t="shared" si="132"/>
        <v>Paid</v>
      </c>
      <c r="AH654" t="s">
        <v>31</v>
      </c>
    </row>
    <row r="655" spans="1:34">
      <c r="A655" t="s">
        <v>2074</v>
      </c>
      <c r="B655">
        <f>COUNTIF($A:$A,A655)</f>
        <v>1</v>
      </c>
      <c r="C655" t="str">
        <f t="shared" si="123"/>
        <v>Unique</v>
      </c>
      <c r="D655" s="4">
        <v>45751</v>
      </c>
      <c r="E655">
        <f t="shared" si="124"/>
        <v>3</v>
      </c>
      <c r="F655" s="4">
        <v>45754</v>
      </c>
      <c r="G655" t="s">
        <v>2075</v>
      </c>
      <c r="H655" t="s">
        <v>112</v>
      </c>
      <c r="I655" t="str">
        <f t="shared" si="125"/>
        <v>Priya Menon</v>
      </c>
      <c r="J655" t="s">
        <v>35</v>
      </c>
      <c r="K655" t="str">
        <f t="shared" si="126"/>
        <v>Small Business</v>
      </c>
      <c r="L655" t="s">
        <v>52</v>
      </c>
      <c r="M655" t="str">
        <f t="shared" si="122"/>
        <v>South</v>
      </c>
      <c r="N655" t="s">
        <v>246</v>
      </c>
      <c r="O655" t="str">
        <f t="shared" si="127"/>
        <v>Tamil Nadu</v>
      </c>
      <c r="P655" t="s">
        <v>247</v>
      </c>
      <c r="Q655" t="str">
        <f t="shared" si="128"/>
        <v>Chennai</v>
      </c>
      <c r="R655" t="s">
        <v>72</v>
      </c>
      <c r="S655" t="str">
        <f t="shared" si="129"/>
        <v>Technology</v>
      </c>
      <c r="T655" t="s">
        <v>78</v>
      </c>
      <c r="U655" t="str">
        <f t="shared" si="130"/>
        <v>Copiers</v>
      </c>
      <c r="V655" t="s">
        <v>2076</v>
      </c>
      <c r="X655" t="s">
        <v>29</v>
      </c>
      <c r="Y655" t="str">
        <f t="shared" si="131"/>
        <v>Second Class</v>
      </c>
      <c r="Z655">
        <v>7</v>
      </c>
      <c r="AA655">
        <v>4457.93</v>
      </c>
      <c r="AB655">
        <v>0.15</v>
      </c>
      <c r="AC655">
        <v>26524.68</v>
      </c>
      <c r="AD655">
        <v>20574.3</v>
      </c>
      <c r="AE655">
        <v>5950.38</v>
      </c>
      <c r="AF655" t="s">
        <v>30</v>
      </c>
      <c r="AG655" t="str">
        <f t="shared" si="132"/>
        <v>Paid</v>
      </c>
      <c r="AH655" t="s">
        <v>31</v>
      </c>
    </row>
    <row r="656" spans="1:34">
      <c r="A656" t="s">
        <v>2077</v>
      </c>
      <c r="B656">
        <f>COUNTIF($A:$A,A656)</f>
        <v>1</v>
      </c>
      <c r="C656" t="str">
        <f t="shared" si="123"/>
        <v>Unique</v>
      </c>
      <c r="D656" s="4">
        <v>45942</v>
      </c>
      <c r="E656">
        <f t="shared" si="124"/>
        <v>4</v>
      </c>
      <c r="F656" s="4">
        <v>45946</v>
      </c>
      <c r="G656" t="s">
        <v>940</v>
      </c>
      <c r="H656" t="s">
        <v>160</v>
      </c>
      <c r="I656" t="str">
        <f t="shared" si="125"/>
        <v>Diya Patel</v>
      </c>
      <c r="J656" t="s">
        <v>88</v>
      </c>
      <c r="K656" t="str">
        <f t="shared" si="126"/>
        <v>Corporate</v>
      </c>
      <c r="L656" t="s">
        <v>36</v>
      </c>
      <c r="M656" t="str">
        <f t="shared" si="122"/>
        <v>East</v>
      </c>
      <c r="N656" t="s">
        <v>143</v>
      </c>
      <c r="O656" t="str">
        <f t="shared" si="127"/>
        <v>Bihar</v>
      </c>
      <c r="P656" t="s">
        <v>144</v>
      </c>
      <c r="Q656" t="str">
        <f t="shared" si="128"/>
        <v>Patna</v>
      </c>
      <c r="R656" t="s">
        <v>72</v>
      </c>
      <c r="S656" t="str">
        <f t="shared" si="129"/>
        <v>Technology</v>
      </c>
      <c r="T656" t="s">
        <v>273</v>
      </c>
      <c r="U656" t="str">
        <f t="shared" si="130"/>
        <v>Machines</v>
      </c>
      <c r="V656" t="s">
        <v>2078</v>
      </c>
      <c r="X656" t="s">
        <v>42</v>
      </c>
      <c r="Y656" t="str">
        <f t="shared" si="131"/>
        <v>Same Day</v>
      </c>
      <c r="Z656">
        <v>1</v>
      </c>
      <c r="AA656">
        <v>2570.06</v>
      </c>
      <c r="AB656">
        <v>0.2</v>
      </c>
      <c r="AC656">
        <v>2056.0500000000002</v>
      </c>
      <c r="AD656">
        <v>1662.39</v>
      </c>
      <c r="AE656">
        <v>393.66</v>
      </c>
      <c r="AF656" t="s">
        <v>30</v>
      </c>
      <c r="AG656" t="str">
        <f t="shared" si="132"/>
        <v>Paid</v>
      </c>
      <c r="AH656" t="s">
        <v>31</v>
      </c>
    </row>
    <row r="657" spans="1:34">
      <c r="A657" t="s">
        <v>2079</v>
      </c>
      <c r="B657">
        <f>COUNTIF($A:$A,A657)</f>
        <v>1</v>
      </c>
      <c r="C657" t="str">
        <f t="shared" si="123"/>
        <v>Unique</v>
      </c>
      <c r="D657" s="4">
        <v>45895</v>
      </c>
      <c r="E657">
        <f t="shared" si="124"/>
        <v>0</v>
      </c>
      <c r="F657" s="4">
        <v>45895</v>
      </c>
      <c r="G657" t="s">
        <v>2080</v>
      </c>
      <c r="H657" t="s">
        <v>77</v>
      </c>
      <c r="I657" t="str">
        <f t="shared" si="125"/>
        <v>Neha Gupta</v>
      </c>
      <c r="J657" t="s">
        <v>93</v>
      </c>
      <c r="K657" t="str">
        <f t="shared" si="126"/>
        <v>Home Office</v>
      </c>
      <c r="L657" t="s">
        <v>36</v>
      </c>
      <c r="M657" t="str">
        <f t="shared" si="122"/>
        <v>East</v>
      </c>
      <c r="N657" t="s">
        <v>97</v>
      </c>
      <c r="O657" t="str">
        <f t="shared" si="127"/>
        <v>West Bengal</v>
      </c>
      <c r="P657" t="s">
        <v>98</v>
      </c>
      <c r="Q657" t="str">
        <f t="shared" si="128"/>
        <v>Kolkata</v>
      </c>
      <c r="R657" t="s">
        <v>39</v>
      </c>
      <c r="S657" t="str">
        <f t="shared" si="129"/>
        <v>Furniture</v>
      </c>
      <c r="T657" t="s">
        <v>55</v>
      </c>
      <c r="U657" t="str">
        <f t="shared" si="130"/>
        <v>Furnishings</v>
      </c>
      <c r="V657" t="s">
        <v>2081</v>
      </c>
      <c r="X657" t="s">
        <v>57</v>
      </c>
      <c r="Y657" t="str">
        <f t="shared" si="131"/>
        <v>Standard Class</v>
      </c>
      <c r="Z657">
        <v>4</v>
      </c>
      <c r="AA657">
        <v>2151.8200000000002</v>
      </c>
      <c r="AB657">
        <v>0</v>
      </c>
      <c r="AC657">
        <v>8607.2800000000007</v>
      </c>
      <c r="AD657">
        <v>5124.01</v>
      </c>
      <c r="AE657">
        <v>3483.27</v>
      </c>
      <c r="AF657" t="s">
        <v>30</v>
      </c>
      <c r="AG657" t="str">
        <f t="shared" si="132"/>
        <v>Paid</v>
      </c>
      <c r="AH657" t="s">
        <v>31</v>
      </c>
    </row>
    <row r="658" spans="1:34">
      <c r="A658" t="s">
        <v>2082</v>
      </c>
      <c r="B658">
        <f>COUNTIF($A:$A,A658)</f>
        <v>1</v>
      </c>
      <c r="C658" t="str">
        <f t="shared" si="123"/>
        <v>Unique</v>
      </c>
      <c r="D658" s="4">
        <v>45478</v>
      </c>
      <c r="E658">
        <f t="shared" si="124"/>
        <v>-52</v>
      </c>
      <c r="F658" s="4">
        <v>45426</v>
      </c>
      <c r="G658" t="s">
        <v>2083</v>
      </c>
      <c r="H658" t="s">
        <v>77</v>
      </c>
      <c r="I658" t="str">
        <f t="shared" si="125"/>
        <v>Neha Gupta</v>
      </c>
      <c r="J658" t="s">
        <v>35</v>
      </c>
      <c r="K658" t="str">
        <f t="shared" si="126"/>
        <v>Small Business</v>
      </c>
      <c r="L658" t="s">
        <v>23</v>
      </c>
      <c r="M658" t="str">
        <f t="shared" si="122"/>
        <v>North</v>
      </c>
      <c r="N658" t="s">
        <v>235</v>
      </c>
      <c r="O658" t="str">
        <f t="shared" si="127"/>
        <v>Haryana</v>
      </c>
      <c r="P658" t="s">
        <v>236</v>
      </c>
      <c r="Q658" t="str">
        <f t="shared" si="128"/>
        <v>Gurugram</v>
      </c>
      <c r="R658" t="s">
        <v>72</v>
      </c>
      <c r="S658" t="str">
        <f t="shared" si="129"/>
        <v>Technology</v>
      </c>
      <c r="T658" t="s">
        <v>273</v>
      </c>
      <c r="U658" t="str">
        <f t="shared" si="130"/>
        <v>Machines</v>
      </c>
      <c r="V658" t="s">
        <v>2084</v>
      </c>
      <c r="X658" t="s">
        <v>42</v>
      </c>
      <c r="Y658" t="str">
        <f t="shared" si="131"/>
        <v>Same Day</v>
      </c>
      <c r="Z658">
        <v>4</v>
      </c>
      <c r="AA658">
        <v>2751.1</v>
      </c>
      <c r="AB658">
        <v>-0.05</v>
      </c>
      <c r="AC658">
        <v>9903.9599999999991</v>
      </c>
      <c r="AD658">
        <v>7696.28</v>
      </c>
      <c r="AE658">
        <v>2207.6799999999998</v>
      </c>
      <c r="AF658" t="s">
        <v>30</v>
      </c>
      <c r="AG658" t="str">
        <f t="shared" si="132"/>
        <v>Paid</v>
      </c>
      <c r="AH658" t="s">
        <v>31</v>
      </c>
    </row>
    <row r="659" spans="1:34">
      <c r="A659" t="s">
        <v>2085</v>
      </c>
      <c r="B659">
        <f>COUNTIF($A:$A,A659)</f>
        <v>1</v>
      </c>
      <c r="C659" t="str">
        <f t="shared" si="123"/>
        <v>Unique</v>
      </c>
      <c r="D659" s="4">
        <v>45876</v>
      </c>
      <c r="E659">
        <f t="shared" si="124"/>
        <v>62</v>
      </c>
      <c r="F659" s="4">
        <v>45938</v>
      </c>
      <c r="G659" t="s">
        <v>2086</v>
      </c>
      <c r="H659" t="s">
        <v>87</v>
      </c>
      <c r="I659" t="str">
        <f t="shared" si="125"/>
        <v>Aditi Sen</v>
      </c>
      <c r="J659" t="s">
        <v>93</v>
      </c>
      <c r="K659" t="str">
        <f t="shared" si="126"/>
        <v>Home Office</v>
      </c>
      <c r="L659" t="s">
        <v>36</v>
      </c>
      <c r="M659" t="str">
        <f t="shared" si="122"/>
        <v>East</v>
      </c>
      <c r="N659" t="s">
        <v>143</v>
      </c>
      <c r="O659" t="str">
        <f t="shared" si="127"/>
        <v>Bihar</v>
      </c>
      <c r="P659" t="s">
        <v>144</v>
      </c>
      <c r="Q659" t="str">
        <f t="shared" si="128"/>
        <v>Patna</v>
      </c>
      <c r="R659" t="s">
        <v>26</v>
      </c>
      <c r="S659" t="str">
        <f t="shared" si="129"/>
        <v>Office Supplies</v>
      </c>
      <c r="T659" t="s">
        <v>122</v>
      </c>
      <c r="U659" t="str">
        <f t="shared" si="130"/>
        <v>Storage</v>
      </c>
      <c r="V659" t="s">
        <v>2087</v>
      </c>
      <c r="X659" t="s">
        <v>29</v>
      </c>
      <c r="Y659" t="str">
        <f t="shared" si="131"/>
        <v>Second Class</v>
      </c>
      <c r="Z659">
        <v>1</v>
      </c>
      <c r="AA659">
        <v>2541.25</v>
      </c>
      <c r="AB659">
        <v>0.2</v>
      </c>
      <c r="AC659">
        <v>2033</v>
      </c>
      <c r="AD659">
        <v>1291.4100000000001</v>
      </c>
      <c r="AE659">
        <v>741.59</v>
      </c>
      <c r="AF659" t="s">
        <v>30</v>
      </c>
      <c r="AG659" t="str">
        <f t="shared" si="132"/>
        <v>Paid</v>
      </c>
      <c r="AH659" t="s">
        <v>31</v>
      </c>
    </row>
    <row r="660" spans="1:34">
      <c r="A660" t="s">
        <v>2088</v>
      </c>
      <c r="B660">
        <f>COUNTIF($A:$A,A660)</f>
        <v>1</v>
      </c>
      <c r="C660" t="str">
        <f t="shared" si="123"/>
        <v>Unique</v>
      </c>
      <c r="D660" s="4">
        <v>45906</v>
      </c>
      <c r="E660">
        <f t="shared" si="124"/>
        <v>-86</v>
      </c>
      <c r="F660" s="4">
        <v>45820</v>
      </c>
      <c r="G660" t="s">
        <v>2089</v>
      </c>
      <c r="H660" t="s">
        <v>130</v>
      </c>
      <c r="I660" t="str">
        <f t="shared" si="125"/>
        <v>Sneha Kapoor</v>
      </c>
      <c r="J660" t="s">
        <v>22</v>
      </c>
      <c r="K660" t="str">
        <f t="shared" si="126"/>
        <v>Consumer</v>
      </c>
      <c r="M660" t="s">
        <v>2828</v>
      </c>
      <c r="N660" t="s">
        <v>143</v>
      </c>
      <c r="O660" t="str">
        <f t="shared" si="127"/>
        <v>Bihar</v>
      </c>
      <c r="P660" t="s">
        <v>144</v>
      </c>
      <c r="Q660" t="str">
        <f t="shared" si="128"/>
        <v>Patna</v>
      </c>
      <c r="R660" t="s">
        <v>26</v>
      </c>
      <c r="S660" t="str">
        <f t="shared" si="129"/>
        <v>Office Supplies</v>
      </c>
      <c r="T660" t="s">
        <v>46</v>
      </c>
      <c r="U660" t="str">
        <f t="shared" si="130"/>
        <v>Art</v>
      </c>
      <c r="V660" t="s">
        <v>2090</v>
      </c>
      <c r="X660" t="s">
        <v>48</v>
      </c>
      <c r="Y660" t="str">
        <f t="shared" si="131"/>
        <v>First Class</v>
      </c>
      <c r="Z660">
        <v>7</v>
      </c>
      <c r="AA660">
        <v>2852.42</v>
      </c>
      <c r="AB660">
        <v>0</v>
      </c>
      <c r="AC660">
        <v>19966.939999999999</v>
      </c>
      <c r="AD660">
        <v>12690.83</v>
      </c>
      <c r="AE660">
        <v>7276.11</v>
      </c>
      <c r="AF660" t="s">
        <v>100</v>
      </c>
      <c r="AG660" t="str">
        <f t="shared" si="132"/>
        <v>Refunded</v>
      </c>
      <c r="AH660" t="s">
        <v>66</v>
      </c>
    </row>
    <row r="661" spans="1:34">
      <c r="A661" t="s">
        <v>2091</v>
      </c>
      <c r="B661">
        <f>COUNTIF($A:$A,A661)</f>
        <v>1</v>
      </c>
      <c r="C661" t="str">
        <f t="shared" si="123"/>
        <v>Unique</v>
      </c>
      <c r="D661" s="4">
        <v>45678</v>
      </c>
      <c r="E661">
        <f t="shared" si="124"/>
        <v>1</v>
      </c>
      <c r="F661" s="4">
        <v>45679</v>
      </c>
      <c r="G661" t="s">
        <v>2092</v>
      </c>
      <c r="H661" t="s">
        <v>160</v>
      </c>
      <c r="I661" t="str">
        <f t="shared" si="125"/>
        <v>Diya Patel</v>
      </c>
      <c r="J661" t="s">
        <v>88</v>
      </c>
      <c r="K661" t="str">
        <f t="shared" si="126"/>
        <v>Corporate</v>
      </c>
      <c r="L661" t="s">
        <v>52</v>
      </c>
      <c r="M661" t="str">
        <f t="shared" ref="M661:M692" si="133">PROPER(TRIM(L661))</f>
        <v>South</v>
      </c>
      <c r="N661" t="s">
        <v>173</v>
      </c>
      <c r="O661" t="str">
        <f t="shared" si="127"/>
        <v>Karnataka</v>
      </c>
      <c r="P661" t="s">
        <v>174</v>
      </c>
      <c r="Q661" t="str">
        <f t="shared" si="128"/>
        <v>Bengaluru</v>
      </c>
      <c r="R661" t="s">
        <v>72</v>
      </c>
      <c r="S661" t="str">
        <f t="shared" si="129"/>
        <v>Technology</v>
      </c>
      <c r="T661" t="s">
        <v>169</v>
      </c>
      <c r="U661" t="str">
        <f t="shared" si="130"/>
        <v>Phones</v>
      </c>
      <c r="V661" t="s">
        <v>2093</v>
      </c>
      <c r="X661" t="s">
        <v>29</v>
      </c>
      <c r="Y661" t="str">
        <f t="shared" si="131"/>
        <v>Second Class</v>
      </c>
      <c r="Z661">
        <v>2</v>
      </c>
      <c r="AA661">
        <v>444.31</v>
      </c>
      <c r="AB661">
        <v>0.2</v>
      </c>
      <c r="AC661">
        <v>710.9</v>
      </c>
      <c r="AD661">
        <v>513.88</v>
      </c>
      <c r="AE661">
        <v>197.02</v>
      </c>
      <c r="AF661" t="s">
        <v>100</v>
      </c>
      <c r="AG661" t="str">
        <f t="shared" si="132"/>
        <v>Refunded</v>
      </c>
      <c r="AH661" t="s">
        <v>66</v>
      </c>
    </row>
    <row r="662" spans="1:34">
      <c r="A662" t="s">
        <v>2094</v>
      </c>
      <c r="B662">
        <f>COUNTIF($A:$A,A662)</f>
        <v>1</v>
      </c>
      <c r="C662" t="str">
        <f t="shared" si="123"/>
        <v>Unique</v>
      </c>
      <c r="D662" s="4">
        <v>45853</v>
      </c>
      <c r="E662">
        <f t="shared" si="124"/>
        <v>0</v>
      </c>
      <c r="F662" s="4">
        <v>45853</v>
      </c>
      <c r="G662" t="s">
        <v>2095</v>
      </c>
      <c r="H662" t="s">
        <v>51</v>
      </c>
      <c r="I662" t="str">
        <f t="shared" si="125"/>
        <v>Arjun Bose</v>
      </c>
      <c r="J662" t="s">
        <v>35</v>
      </c>
      <c r="K662" t="str">
        <f t="shared" si="126"/>
        <v>Small Business</v>
      </c>
      <c r="L662" t="s">
        <v>36</v>
      </c>
      <c r="M662" t="str">
        <f t="shared" si="133"/>
        <v>East</v>
      </c>
      <c r="N662" t="s">
        <v>227</v>
      </c>
      <c r="O662" t="str">
        <f t="shared" si="127"/>
        <v>Jharkhand</v>
      </c>
      <c r="P662" t="s">
        <v>228</v>
      </c>
      <c r="Q662" t="str">
        <f t="shared" si="128"/>
        <v>Ranchi</v>
      </c>
      <c r="R662" t="s">
        <v>72</v>
      </c>
      <c r="S662" t="str">
        <f t="shared" si="129"/>
        <v>Technology</v>
      </c>
      <c r="T662" t="s">
        <v>169</v>
      </c>
      <c r="U662" t="str">
        <f t="shared" si="130"/>
        <v>Phones</v>
      </c>
      <c r="V662" t="s">
        <v>2096</v>
      </c>
      <c r="X662" t="s">
        <v>42</v>
      </c>
      <c r="Y662" t="str">
        <f t="shared" si="131"/>
        <v>Same Day</v>
      </c>
      <c r="Z662">
        <v>4</v>
      </c>
      <c r="AA662">
        <v>4442.91</v>
      </c>
      <c r="AB662">
        <v>0.1</v>
      </c>
      <c r="AC662">
        <v>15994.48</v>
      </c>
      <c r="AD662">
        <v>9224.2800000000007</v>
      </c>
      <c r="AE662">
        <v>6770.2</v>
      </c>
      <c r="AF662" t="s">
        <v>30</v>
      </c>
      <c r="AG662" t="str">
        <f t="shared" si="132"/>
        <v>Paid</v>
      </c>
      <c r="AH662" t="s">
        <v>31</v>
      </c>
    </row>
    <row r="663" spans="1:34">
      <c r="A663" t="s">
        <v>2097</v>
      </c>
      <c r="B663">
        <f>COUNTIF($A:$A,A663)</f>
        <v>1</v>
      </c>
      <c r="C663" t="str">
        <f t="shared" si="123"/>
        <v>Unique</v>
      </c>
      <c r="D663" s="4">
        <v>45429</v>
      </c>
      <c r="E663">
        <f t="shared" si="124"/>
        <v>5</v>
      </c>
      <c r="F663" s="4">
        <v>45434</v>
      </c>
      <c r="G663" t="s">
        <v>2098</v>
      </c>
      <c r="H663" t="s">
        <v>130</v>
      </c>
      <c r="I663" t="str">
        <f t="shared" si="125"/>
        <v>Sneha Kapoor</v>
      </c>
      <c r="J663" t="s">
        <v>22</v>
      </c>
      <c r="K663" t="str">
        <f t="shared" si="126"/>
        <v>Consumer</v>
      </c>
      <c r="L663" t="s">
        <v>52</v>
      </c>
      <c r="M663" t="str">
        <f t="shared" si="133"/>
        <v>South</v>
      </c>
      <c r="N663" t="s">
        <v>82</v>
      </c>
      <c r="O663" t="str">
        <f t="shared" si="127"/>
        <v>Andhra Pradesh</v>
      </c>
      <c r="P663" t="s">
        <v>83</v>
      </c>
      <c r="Q663" t="str">
        <f t="shared" si="128"/>
        <v>Vijayawada</v>
      </c>
      <c r="R663" t="s">
        <v>72</v>
      </c>
      <c r="S663" t="str">
        <f t="shared" si="129"/>
        <v>Technology</v>
      </c>
      <c r="T663" t="s">
        <v>273</v>
      </c>
      <c r="U663" t="str">
        <f t="shared" si="130"/>
        <v>Machines</v>
      </c>
      <c r="V663" t="s">
        <v>2099</v>
      </c>
      <c r="X663" t="s">
        <v>29</v>
      </c>
      <c r="Y663" t="str">
        <f t="shared" si="131"/>
        <v>Second Class</v>
      </c>
      <c r="Z663">
        <v>7</v>
      </c>
      <c r="AA663">
        <v>232.5</v>
      </c>
      <c r="AB663">
        <v>0</v>
      </c>
      <c r="AC663">
        <v>1627.5</v>
      </c>
      <c r="AD663">
        <v>939.9</v>
      </c>
      <c r="AE663">
        <v>687.6</v>
      </c>
      <c r="AF663" t="s">
        <v>30</v>
      </c>
      <c r="AG663" t="str">
        <f t="shared" si="132"/>
        <v>Paid</v>
      </c>
      <c r="AH663" t="s">
        <v>31</v>
      </c>
    </row>
    <row r="664" spans="1:34">
      <c r="A664" t="s">
        <v>2100</v>
      </c>
      <c r="B664">
        <f>COUNTIF($A:$A,A664)</f>
        <v>1</v>
      </c>
      <c r="C664" t="str">
        <f t="shared" si="123"/>
        <v>Unique</v>
      </c>
      <c r="D664" s="4">
        <v>45305</v>
      </c>
      <c r="E664">
        <f t="shared" si="124"/>
        <v>4</v>
      </c>
      <c r="F664" s="4">
        <v>45309</v>
      </c>
      <c r="G664" t="s">
        <v>2101</v>
      </c>
      <c r="H664" t="s">
        <v>34</v>
      </c>
      <c r="I664" t="str">
        <f t="shared" si="125"/>
        <v>Mira Das</v>
      </c>
      <c r="J664" t="s">
        <v>93</v>
      </c>
      <c r="K664" t="str">
        <f t="shared" si="126"/>
        <v>Home Office</v>
      </c>
      <c r="L664" t="s">
        <v>61</v>
      </c>
      <c r="M664" t="str">
        <f t="shared" si="133"/>
        <v>West</v>
      </c>
      <c r="N664" t="s">
        <v>24</v>
      </c>
      <c r="O664" t="str">
        <f t="shared" si="127"/>
        <v>Rajasthan</v>
      </c>
      <c r="P664" t="s">
        <v>107</v>
      </c>
      <c r="Q664" t="str">
        <f t="shared" si="128"/>
        <v>Udaipur</v>
      </c>
      <c r="R664" t="s">
        <v>72</v>
      </c>
      <c r="S664" t="str">
        <f t="shared" si="129"/>
        <v>Technology</v>
      </c>
      <c r="T664" t="s">
        <v>273</v>
      </c>
      <c r="U664" t="str">
        <f t="shared" si="130"/>
        <v>Machines</v>
      </c>
      <c r="V664" t="s">
        <v>2102</v>
      </c>
      <c r="X664" t="s">
        <v>42</v>
      </c>
      <c r="Y664" t="str">
        <f t="shared" si="131"/>
        <v>Same Day</v>
      </c>
      <c r="Z664">
        <v>6</v>
      </c>
      <c r="AA664">
        <v>1784.8</v>
      </c>
      <c r="AB664">
        <v>0.1</v>
      </c>
      <c r="AC664">
        <v>9637.92</v>
      </c>
      <c r="AD664">
        <v>7329.29</v>
      </c>
      <c r="AE664">
        <v>2308.63</v>
      </c>
      <c r="AF664" t="s">
        <v>30</v>
      </c>
      <c r="AG664" t="str">
        <f t="shared" si="132"/>
        <v>Paid</v>
      </c>
      <c r="AH664" t="s">
        <v>31</v>
      </c>
    </row>
    <row r="665" spans="1:34">
      <c r="A665" t="s">
        <v>2103</v>
      </c>
      <c r="B665">
        <f>COUNTIF($A:$A,A665)</f>
        <v>1</v>
      </c>
      <c r="C665" t="str">
        <f t="shared" si="123"/>
        <v>Unique</v>
      </c>
      <c r="D665" s="4">
        <v>45414</v>
      </c>
      <c r="E665">
        <f t="shared" si="124"/>
        <v>95</v>
      </c>
      <c r="F665" s="4">
        <v>45509</v>
      </c>
      <c r="G665" t="s">
        <v>2104</v>
      </c>
      <c r="H665" t="s">
        <v>116</v>
      </c>
      <c r="I665" t="str">
        <f t="shared" si="125"/>
        <v>Rahul Verma</v>
      </c>
      <c r="J665" t="s">
        <v>93</v>
      </c>
      <c r="K665" t="str">
        <f t="shared" si="126"/>
        <v>Home Office</v>
      </c>
      <c r="L665" t="s">
        <v>36</v>
      </c>
      <c r="M665" t="str">
        <f t="shared" si="133"/>
        <v>East</v>
      </c>
      <c r="N665" t="s">
        <v>227</v>
      </c>
      <c r="O665" t="str">
        <f t="shared" si="127"/>
        <v>Jharkhand</v>
      </c>
      <c r="P665" t="s">
        <v>228</v>
      </c>
      <c r="Q665" t="str">
        <f t="shared" si="128"/>
        <v>Ranchi</v>
      </c>
      <c r="R665" t="s">
        <v>72</v>
      </c>
      <c r="S665" t="str">
        <f t="shared" si="129"/>
        <v>Technology</v>
      </c>
      <c r="T665" t="s">
        <v>78</v>
      </c>
      <c r="U665" t="str">
        <f t="shared" si="130"/>
        <v>Copiers</v>
      </c>
      <c r="V665" t="s">
        <v>2105</v>
      </c>
      <c r="X665" t="s">
        <v>29</v>
      </c>
      <c r="Y665" t="str">
        <f t="shared" si="131"/>
        <v>Second Class</v>
      </c>
      <c r="Z665">
        <v>2</v>
      </c>
      <c r="AA665">
        <v>3185.01</v>
      </c>
      <c r="AB665">
        <v>-0.24</v>
      </c>
      <c r="AC665">
        <v>4777.5200000000004</v>
      </c>
      <c r="AD665">
        <v>3152.98</v>
      </c>
      <c r="AE665">
        <v>1624.54</v>
      </c>
      <c r="AF665" t="s">
        <v>30</v>
      </c>
      <c r="AG665" t="str">
        <f t="shared" si="132"/>
        <v>Paid</v>
      </c>
      <c r="AH665" t="s">
        <v>31</v>
      </c>
    </row>
    <row r="666" spans="1:34">
      <c r="A666" t="s">
        <v>2106</v>
      </c>
      <c r="B666">
        <f>COUNTIF($A:$A,A666)</f>
        <v>1</v>
      </c>
      <c r="C666" t="str">
        <f t="shared" si="123"/>
        <v>Unique</v>
      </c>
      <c r="D666" s="4">
        <v>45485</v>
      </c>
      <c r="E666">
        <f t="shared" si="124"/>
        <v>92</v>
      </c>
      <c r="F666" s="4">
        <v>45577</v>
      </c>
      <c r="G666" t="s">
        <v>2107</v>
      </c>
      <c r="H666" t="s">
        <v>34</v>
      </c>
      <c r="I666" t="str">
        <f t="shared" si="125"/>
        <v>Mira Das</v>
      </c>
      <c r="J666" t="s">
        <v>93</v>
      </c>
      <c r="K666" t="str">
        <f t="shared" si="126"/>
        <v>Home Office</v>
      </c>
      <c r="L666" t="s">
        <v>52</v>
      </c>
      <c r="M666" t="str">
        <f t="shared" si="133"/>
        <v>South</v>
      </c>
      <c r="N666" t="s">
        <v>53</v>
      </c>
      <c r="O666" t="str">
        <f t="shared" si="127"/>
        <v>Telangana</v>
      </c>
      <c r="P666" t="s">
        <v>54</v>
      </c>
      <c r="Q666" t="str">
        <f t="shared" si="128"/>
        <v>Hyderabad</v>
      </c>
      <c r="R666" t="s">
        <v>72</v>
      </c>
      <c r="S666" t="str">
        <f t="shared" si="129"/>
        <v>Technology</v>
      </c>
      <c r="T666" t="s">
        <v>73</v>
      </c>
      <c r="U666" t="str">
        <f t="shared" si="130"/>
        <v>Accessories</v>
      </c>
      <c r="V666" t="s">
        <v>2108</v>
      </c>
      <c r="X666" t="s">
        <v>57</v>
      </c>
      <c r="Y666" t="str">
        <f t="shared" si="131"/>
        <v>Standard Class</v>
      </c>
      <c r="Z666">
        <v>1</v>
      </c>
      <c r="AA666">
        <v>1908.83</v>
      </c>
      <c r="AB666">
        <v>0.2</v>
      </c>
      <c r="AC666">
        <v>1527.06</v>
      </c>
      <c r="AD666">
        <v>1055.8900000000001</v>
      </c>
      <c r="AE666">
        <v>471.17</v>
      </c>
      <c r="AF666" t="s">
        <v>30</v>
      </c>
      <c r="AG666" t="str">
        <f t="shared" si="132"/>
        <v>Paid</v>
      </c>
      <c r="AH666" t="s">
        <v>31</v>
      </c>
    </row>
    <row r="667" spans="1:34">
      <c r="A667" t="s">
        <v>2109</v>
      </c>
      <c r="B667">
        <f>COUNTIF($A:$A,A667)</f>
        <v>1</v>
      </c>
      <c r="C667" t="str">
        <f t="shared" si="123"/>
        <v>Unique</v>
      </c>
      <c r="D667" s="4">
        <v>45670</v>
      </c>
      <c r="E667">
        <f t="shared" si="124"/>
        <v>0</v>
      </c>
      <c r="F667" s="4">
        <v>45670</v>
      </c>
      <c r="G667" t="s">
        <v>2110</v>
      </c>
      <c r="H667" t="s">
        <v>116</v>
      </c>
      <c r="I667" t="str">
        <f t="shared" si="125"/>
        <v>Rahul Verma</v>
      </c>
      <c r="J667" t="s">
        <v>93</v>
      </c>
      <c r="K667" t="str">
        <f t="shared" si="126"/>
        <v>Home Office</v>
      </c>
      <c r="L667" t="s">
        <v>61</v>
      </c>
      <c r="M667" t="str">
        <f t="shared" si="133"/>
        <v>West</v>
      </c>
      <c r="N667" t="s">
        <v>178</v>
      </c>
      <c r="O667" t="str">
        <f t="shared" si="127"/>
        <v>Gujarat</v>
      </c>
      <c r="P667" t="s">
        <v>179</v>
      </c>
      <c r="Q667" t="str">
        <f t="shared" si="128"/>
        <v>Ahmedabad</v>
      </c>
      <c r="R667" t="s">
        <v>26</v>
      </c>
      <c r="S667" t="str">
        <f t="shared" si="129"/>
        <v>Office Supplies</v>
      </c>
      <c r="T667" t="s">
        <v>46</v>
      </c>
      <c r="U667" t="str">
        <f t="shared" si="130"/>
        <v>Art</v>
      </c>
      <c r="V667" t="s">
        <v>2111</v>
      </c>
      <c r="X667" t="s">
        <v>57</v>
      </c>
      <c r="Y667" t="str">
        <f t="shared" si="131"/>
        <v>Standard Class</v>
      </c>
      <c r="Z667">
        <v>3</v>
      </c>
      <c r="AA667">
        <v>2110.52</v>
      </c>
      <c r="AB667">
        <v>0.1</v>
      </c>
      <c r="AC667">
        <v>5698.4</v>
      </c>
      <c r="AD667">
        <v>3640.89</v>
      </c>
      <c r="AE667">
        <v>2057.5100000000002</v>
      </c>
      <c r="AF667" t="s">
        <v>153</v>
      </c>
      <c r="AG667" t="str">
        <f t="shared" si="132"/>
        <v>Failed</v>
      </c>
      <c r="AH667" t="s">
        <v>66</v>
      </c>
    </row>
    <row r="668" spans="1:34">
      <c r="A668" t="s">
        <v>2112</v>
      </c>
      <c r="B668">
        <f>COUNTIF($A:$A,A668)</f>
        <v>1</v>
      </c>
      <c r="C668" t="str">
        <f t="shared" si="123"/>
        <v>Unique</v>
      </c>
      <c r="D668" s="4">
        <v>45464</v>
      </c>
      <c r="E668">
        <f t="shared" si="124"/>
        <v>5</v>
      </c>
      <c r="F668" s="4">
        <v>45469</v>
      </c>
      <c r="G668" t="s">
        <v>2113</v>
      </c>
      <c r="H668" t="s">
        <v>139</v>
      </c>
      <c r="I668" t="str">
        <f t="shared" si="125"/>
        <v>Rohan Mehta</v>
      </c>
      <c r="J668" t="s">
        <v>35</v>
      </c>
      <c r="K668" t="str">
        <f t="shared" si="126"/>
        <v>Small Business</v>
      </c>
      <c r="L668" t="s">
        <v>23</v>
      </c>
      <c r="M668" t="str">
        <f t="shared" si="133"/>
        <v>North</v>
      </c>
      <c r="N668" t="s">
        <v>120</v>
      </c>
      <c r="O668" t="str">
        <f t="shared" si="127"/>
        <v>Punjab</v>
      </c>
      <c r="P668" t="s">
        <v>121</v>
      </c>
      <c r="Q668" t="str">
        <f t="shared" si="128"/>
        <v>Ludhiana</v>
      </c>
      <c r="R668" t="s">
        <v>72</v>
      </c>
      <c r="S668" t="str">
        <f t="shared" si="129"/>
        <v>Technology</v>
      </c>
      <c r="T668" t="s">
        <v>78</v>
      </c>
      <c r="U668" t="str">
        <f t="shared" si="130"/>
        <v>Copiers</v>
      </c>
      <c r="V668" t="s">
        <v>2114</v>
      </c>
      <c r="X668" t="s">
        <v>42</v>
      </c>
      <c r="Y668" t="str">
        <f t="shared" si="131"/>
        <v>Same Day</v>
      </c>
      <c r="Z668">
        <v>1</v>
      </c>
      <c r="AA668">
        <v>279.83</v>
      </c>
      <c r="AB668">
        <v>0.05</v>
      </c>
      <c r="AC668">
        <v>265.83999999999997</v>
      </c>
      <c r="AD668">
        <v>223.49</v>
      </c>
      <c r="AE668">
        <v>42.35</v>
      </c>
      <c r="AF668" t="s">
        <v>30</v>
      </c>
      <c r="AG668" t="str">
        <f t="shared" si="132"/>
        <v>Paid</v>
      </c>
      <c r="AH668" t="s">
        <v>31</v>
      </c>
    </row>
    <row r="669" spans="1:34">
      <c r="A669" t="s">
        <v>2115</v>
      </c>
      <c r="B669">
        <f>COUNTIF($A:$A,A669)</f>
        <v>1</v>
      </c>
      <c r="C669" t="str">
        <f t="shared" si="123"/>
        <v>Unique</v>
      </c>
      <c r="D669" s="4">
        <v>45797</v>
      </c>
      <c r="E669">
        <f t="shared" si="124"/>
        <v>7</v>
      </c>
      <c r="F669" s="4">
        <v>45804</v>
      </c>
      <c r="G669" t="s">
        <v>2116</v>
      </c>
      <c r="H669" t="s">
        <v>160</v>
      </c>
      <c r="I669" t="str">
        <f t="shared" si="125"/>
        <v>Diya Patel</v>
      </c>
      <c r="J669" t="s">
        <v>35</v>
      </c>
      <c r="K669" t="str">
        <f t="shared" si="126"/>
        <v>Small Business</v>
      </c>
      <c r="L669" t="s">
        <v>36</v>
      </c>
      <c r="M669" t="str">
        <f t="shared" si="133"/>
        <v>East</v>
      </c>
      <c r="N669" t="s">
        <v>143</v>
      </c>
      <c r="O669" t="str">
        <f t="shared" si="127"/>
        <v>Bihar</v>
      </c>
      <c r="P669" t="s">
        <v>144</v>
      </c>
      <c r="Q669" t="str">
        <f t="shared" si="128"/>
        <v>Patna</v>
      </c>
      <c r="R669" t="s">
        <v>72</v>
      </c>
      <c r="S669" t="str">
        <f t="shared" si="129"/>
        <v>Technology</v>
      </c>
      <c r="T669" t="s">
        <v>273</v>
      </c>
      <c r="U669" t="str">
        <f t="shared" si="130"/>
        <v>Machines</v>
      </c>
      <c r="V669" t="s">
        <v>2117</v>
      </c>
      <c r="X669" t="s">
        <v>57</v>
      </c>
      <c r="Y669" t="str">
        <f t="shared" si="131"/>
        <v>Standard Class</v>
      </c>
      <c r="Z669">
        <v>1</v>
      </c>
      <c r="AA669">
        <v>3959.14</v>
      </c>
      <c r="AB669">
        <v>0</v>
      </c>
      <c r="AC669">
        <v>3959.14</v>
      </c>
      <c r="AD669">
        <v>3239.53</v>
      </c>
      <c r="AE669">
        <v>719.61</v>
      </c>
      <c r="AF669" t="s">
        <v>109</v>
      </c>
      <c r="AG669" t="str">
        <f t="shared" si="132"/>
        <v>Pending</v>
      </c>
      <c r="AH669" t="s">
        <v>101</v>
      </c>
    </row>
    <row r="670" spans="1:34">
      <c r="A670" t="s">
        <v>2118</v>
      </c>
      <c r="B670">
        <f>COUNTIF($A:$A,A670)</f>
        <v>1</v>
      </c>
      <c r="C670" t="str">
        <f t="shared" si="123"/>
        <v>Unique</v>
      </c>
      <c r="D670" s="4">
        <v>45617</v>
      </c>
      <c r="E670">
        <f t="shared" si="124"/>
        <v>2</v>
      </c>
      <c r="F670" s="4">
        <v>45619</v>
      </c>
      <c r="G670" t="s">
        <v>2119</v>
      </c>
      <c r="H670" t="s">
        <v>34</v>
      </c>
      <c r="I670" t="str">
        <f t="shared" si="125"/>
        <v>Mira Das</v>
      </c>
      <c r="J670" t="s">
        <v>88</v>
      </c>
      <c r="K670" t="str">
        <f t="shared" si="126"/>
        <v>Corporate</v>
      </c>
      <c r="L670" t="s">
        <v>61</v>
      </c>
      <c r="M670" t="str">
        <f t="shared" si="133"/>
        <v>West</v>
      </c>
      <c r="N670" t="s">
        <v>178</v>
      </c>
      <c r="O670" t="str">
        <f t="shared" si="127"/>
        <v>Gujarat</v>
      </c>
      <c r="P670" t="s">
        <v>179</v>
      </c>
      <c r="Q670" t="str">
        <f t="shared" si="128"/>
        <v>Ahmedabad</v>
      </c>
      <c r="R670" t="s">
        <v>26</v>
      </c>
      <c r="S670" t="str">
        <f t="shared" si="129"/>
        <v>Office Supplies</v>
      </c>
      <c r="T670" t="s">
        <v>27</v>
      </c>
      <c r="U670" t="str">
        <f t="shared" si="130"/>
        <v>Paper</v>
      </c>
      <c r="V670" t="s">
        <v>2120</v>
      </c>
      <c r="X670" t="s">
        <v>29</v>
      </c>
      <c r="Y670" t="str">
        <f t="shared" si="131"/>
        <v>Second Class</v>
      </c>
      <c r="Z670">
        <v>5</v>
      </c>
      <c r="AA670">
        <v>600.46</v>
      </c>
      <c r="AB670">
        <v>0.2</v>
      </c>
      <c r="AC670">
        <v>2401.84</v>
      </c>
      <c r="AD670">
        <v>1873.11</v>
      </c>
      <c r="AE670">
        <v>528.73</v>
      </c>
      <c r="AF670" t="s">
        <v>30</v>
      </c>
      <c r="AG670" t="str">
        <f t="shared" si="132"/>
        <v>Paid</v>
      </c>
      <c r="AH670" t="s">
        <v>31</v>
      </c>
    </row>
    <row r="671" spans="1:34">
      <c r="A671" t="s">
        <v>2121</v>
      </c>
      <c r="B671">
        <f>COUNTIF($A:$A,A671)</f>
        <v>1</v>
      </c>
      <c r="C671" t="str">
        <f t="shared" si="123"/>
        <v>Unique</v>
      </c>
      <c r="D671" s="4">
        <v>45375</v>
      </c>
      <c r="E671">
        <f t="shared" si="124"/>
        <v>-80</v>
      </c>
      <c r="F671" s="4">
        <v>45295</v>
      </c>
      <c r="G671" t="s">
        <v>2122</v>
      </c>
      <c r="H671" t="s">
        <v>60</v>
      </c>
      <c r="I671" t="str">
        <f t="shared" si="125"/>
        <v>Ananya Rao</v>
      </c>
      <c r="J671" t="s">
        <v>93</v>
      </c>
      <c r="K671" t="str">
        <f t="shared" si="126"/>
        <v>Home Office</v>
      </c>
      <c r="L671" t="s">
        <v>61</v>
      </c>
      <c r="M671" t="str">
        <f t="shared" si="133"/>
        <v>West</v>
      </c>
      <c r="N671" t="s">
        <v>62</v>
      </c>
      <c r="O671" t="str">
        <f t="shared" si="127"/>
        <v>Maharashtra</v>
      </c>
      <c r="P671" t="s">
        <v>63</v>
      </c>
      <c r="Q671" t="str">
        <f t="shared" si="128"/>
        <v>Mumbai</v>
      </c>
      <c r="R671" t="s">
        <v>39</v>
      </c>
      <c r="S671" t="str">
        <f t="shared" si="129"/>
        <v>Furniture</v>
      </c>
      <c r="T671" t="s">
        <v>40</v>
      </c>
      <c r="U671" t="str">
        <f t="shared" si="130"/>
        <v>Tables</v>
      </c>
      <c r="V671" t="s">
        <v>2123</v>
      </c>
      <c r="X671" t="s">
        <v>29</v>
      </c>
      <c r="Y671" t="str">
        <f t="shared" si="131"/>
        <v>Second Class</v>
      </c>
      <c r="Z671">
        <v>4</v>
      </c>
      <c r="AA671">
        <v>1700.72</v>
      </c>
      <c r="AB671">
        <v>0.25</v>
      </c>
      <c r="AC671">
        <v>5102.16</v>
      </c>
      <c r="AD671">
        <v>3226.45</v>
      </c>
      <c r="AE671">
        <v>1875.71</v>
      </c>
      <c r="AF671" t="s">
        <v>30</v>
      </c>
      <c r="AG671" t="str">
        <f t="shared" si="132"/>
        <v>Paid</v>
      </c>
      <c r="AH671" t="s">
        <v>31</v>
      </c>
    </row>
    <row r="672" spans="1:34">
      <c r="A672" t="s">
        <v>2124</v>
      </c>
      <c r="B672">
        <f>COUNTIF($A:$A,A672)</f>
        <v>1</v>
      </c>
      <c r="C672" t="str">
        <f t="shared" si="123"/>
        <v>Unique</v>
      </c>
      <c r="D672" s="4">
        <v>45690</v>
      </c>
      <c r="E672">
        <f t="shared" si="124"/>
        <v>120</v>
      </c>
      <c r="F672" s="4">
        <v>45810</v>
      </c>
      <c r="G672" t="s">
        <v>1621</v>
      </c>
      <c r="H672" t="s">
        <v>130</v>
      </c>
      <c r="I672" t="str">
        <f t="shared" si="125"/>
        <v>Sneha Kapoor</v>
      </c>
      <c r="J672" t="s">
        <v>88</v>
      </c>
      <c r="K672" t="str">
        <f t="shared" si="126"/>
        <v>Corporate</v>
      </c>
      <c r="L672" t="s">
        <v>23</v>
      </c>
      <c r="M672" t="str">
        <f t="shared" si="133"/>
        <v>North</v>
      </c>
      <c r="N672" t="s">
        <v>134</v>
      </c>
      <c r="O672" t="str">
        <f t="shared" si="127"/>
        <v>Uttar Pradesh</v>
      </c>
      <c r="P672" t="s">
        <v>135</v>
      </c>
      <c r="Q672" t="str">
        <f t="shared" si="128"/>
        <v>Noida</v>
      </c>
      <c r="R672" t="s">
        <v>39</v>
      </c>
      <c r="S672" t="str">
        <f t="shared" si="129"/>
        <v>Furniture</v>
      </c>
      <c r="T672" t="s">
        <v>40</v>
      </c>
      <c r="U672" t="str">
        <f t="shared" si="130"/>
        <v>Tables</v>
      </c>
      <c r="V672" t="s">
        <v>2125</v>
      </c>
      <c r="X672" t="s">
        <v>57</v>
      </c>
      <c r="Y672" t="str">
        <f t="shared" si="131"/>
        <v>Standard Class</v>
      </c>
      <c r="Z672">
        <v>8</v>
      </c>
      <c r="AA672">
        <v>857.86</v>
      </c>
      <c r="AB672">
        <v>0.1</v>
      </c>
      <c r="AC672">
        <v>6176.59</v>
      </c>
      <c r="AD672">
        <v>3560.96</v>
      </c>
      <c r="AE672">
        <v>2615.63</v>
      </c>
      <c r="AF672" t="s">
        <v>30</v>
      </c>
      <c r="AG672" t="str">
        <f t="shared" si="132"/>
        <v>Paid</v>
      </c>
      <c r="AH672" t="s">
        <v>31</v>
      </c>
    </row>
    <row r="673" spans="1:34">
      <c r="A673" t="s">
        <v>2126</v>
      </c>
      <c r="B673">
        <f>COUNTIF($A:$A,A673)</f>
        <v>1</v>
      </c>
      <c r="C673" t="str">
        <f t="shared" si="123"/>
        <v>Unique</v>
      </c>
      <c r="D673" s="4">
        <v>45373</v>
      </c>
      <c r="E673">
        <f t="shared" si="124"/>
        <v>5</v>
      </c>
      <c r="F673" s="4">
        <v>45378</v>
      </c>
      <c r="G673" t="s">
        <v>2127</v>
      </c>
      <c r="H673" t="s">
        <v>87</v>
      </c>
      <c r="I673" t="str">
        <f t="shared" si="125"/>
        <v>Aditi Sen</v>
      </c>
      <c r="J673" t="s">
        <v>93</v>
      </c>
      <c r="K673" t="str">
        <f t="shared" si="126"/>
        <v>Home Office</v>
      </c>
      <c r="L673" t="s">
        <v>61</v>
      </c>
      <c r="M673" t="str">
        <f t="shared" si="133"/>
        <v>West</v>
      </c>
      <c r="N673" t="s">
        <v>188</v>
      </c>
      <c r="O673" t="str">
        <f t="shared" si="127"/>
        <v>Goa</v>
      </c>
      <c r="P673" t="s">
        <v>189</v>
      </c>
      <c r="Q673" t="str">
        <f t="shared" si="128"/>
        <v>Panaji</v>
      </c>
      <c r="R673" t="s">
        <v>72</v>
      </c>
      <c r="S673" t="str">
        <f t="shared" si="129"/>
        <v>Technology</v>
      </c>
      <c r="T673" t="s">
        <v>2128</v>
      </c>
      <c r="U673" t="str">
        <f t="shared" si="130"/>
        <v>Copiers</v>
      </c>
      <c r="V673" t="s">
        <v>2129</v>
      </c>
      <c r="X673" t="s">
        <v>29</v>
      </c>
      <c r="Y673" t="str">
        <f t="shared" si="131"/>
        <v>Second Class</v>
      </c>
      <c r="Z673">
        <v>9</v>
      </c>
      <c r="AA673">
        <v>3649.51</v>
      </c>
      <c r="AB673">
        <v>0.05</v>
      </c>
      <c r="AC673">
        <v>31203.31</v>
      </c>
      <c r="AD673">
        <v>17738.13</v>
      </c>
      <c r="AE673">
        <v>13465.18</v>
      </c>
      <c r="AF673" t="s">
        <v>30</v>
      </c>
      <c r="AG673" t="str">
        <f t="shared" si="132"/>
        <v>Paid</v>
      </c>
      <c r="AH673" t="s">
        <v>31</v>
      </c>
    </row>
    <row r="674" spans="1:34">
      <c r="A674" t="s">
        <v>2130</v>
      </c>
      <c r="B674">
        <f>COUNTIF($A:$A,A674)</f>
        <v>1</v>
      </c>
      <c r="C674" t="str">
        <f t="shared" si="123"/>
        <v>Unique</v>
      </c>
      <c r="D674" s="4">
        <v>45391</v>
      </c>
      <c r="E674">
        <f t="shared" si="124"/>
        <v>30</v>
      </c>
      <c r="F674" s="4">
        <v>45421</v>
      </c>
      <c r="G674" t="s">
        <v>2131</v>
      </c>
      <c r="H674" t="s">
        <v>87</v>
      </c>
      <c r="I674" t="str">
        <f t="shared" si="125"/>
        <v>Aditi Sen</v>
      </c>
      <c r="J674" t="s">
        <v>88</v>
      </c>
      <c r="K674" t="str">
        <f t="shared" si="126"/>
        <v>Corporate</v>
      </c>
      <c r="L674" t="s">
        <v>61</v>
      </c>
      <c r="M674" t="str">
        <f t="shared" si="133"/>
        <v>West</v>
      </c>
      <c r="N674" t="s">
        <v>70</v>
      </c>
      <c r="O674" t="str">
        <f t="shared" si="127"/>
        <v>Madhya Pradesh</v>
      </c>
      <c r="P674" t="s">
        <v>71</v>
      </c>
      <c r="Q674" t="str">
        <f t="shared" si="128"/>
        <v>Indore</v>
      </c>
      <c r="R674" t="s">
        <v>39</v>
      </c>
      <c r="S674" t="str">
        <f t="shared" si="129"/>
        <v>Furniture</v>
      </c>
      <c r="T674" t="s">
        <v>64</v>
      </c>
      <c r="U674" t="str">
        <f t="shared" si="130"/>
        <v>Chairs</v>
      </c>
      <c r="V674" t="s">
        <v>2132</v>
      </c>
      <c r="X674" t="s">
        <v>57</v>
      </c>
      <c r="Y674" t="str">
        <f t="shared" si="131"/>
        <v>Standard Class</v>
      </c>
      <c r="Z674">
        <v>5</v>
      </c>
      <c r="AA674">
        <v>2528.5300000000002</v>
      </c>
      <c r="AB674">
        <v>0.05</v>
      </c>
      <c r="AC674">
        <v>12010.52</v>
      </c>
      <c r="AD674">
        <v>7864.61</v>
      </c>
      <c r="AE674">
        <v>4145.91</v>
      </c>
      <c r="AF674" t="s">
        <v>30</v>
      </c>
      <c r="AG674" t="str">
        <f t="shared" si="132"/>
        <v>Paid</v>
      </c>
      <c r="AH674" t="s">
        <v>101</v>
      </c>
    </row>
    <row r="675" spans="1:34">
      <c r="A675" t="s">
        <v>2133</v>
      </c>
      <c r="B675">
        <f>COUNTIF($A:$A,A675)</f>
        <v>1</v>
      </c>
      <c r="C675" t="str">
        <f t="shared" si="123"/>
        <v>Unique</v>
      </c>
      <c r="D675" s="4">
        <v>45701</v>
      </c>
      <c r="E675">
        <f t="shared" si="124"/>
        <v>3</v>
      </c>
      <c r="F675" s="4">
        <v>45704</v>
      </c>
      <c r="G675" t="s">
        <v>2134</v>
      </c>
      <c r="H675" t="s">
        <v>51</v>
      </c>
      <c r="I675" t="str">
        <f t="shared" si="125"/>
        <v>Arjun Bose</v>
      </c>
      <c r="J675" t="s">
        <v>35</v>
      </c>
      <c r="K675" t="str">
        <f t="shared" si="126"/>
        <v>Small Business</v>
      </c>
      <c r="L675" t="s">
        <v>61</v>
      </c>
      <c r="M675" t="str">
        <f t="shared" si="133"/>
        <v>West</v>
      </c>
      <c r="N675" t="s">
        <v>24</v>
      </c>
      <c r="O675" t="str">
        <f t="shared" si="127"/>
        <v>Rajasthan</v>
      </c>
      <c r="P675" t="s">
        <v>107</v>
      </c>
      <c r="Q675" t="str">
        <f t="shared" si="128"/>
        <v>Udaipur</v>
      </c>
      <c r="R675" t="s">
        <v>39</v>
      </c>
      <c r="S675" t="str">
        <f t="shared" si="129"/>
        <v>Furniture</v>
      </c>
      <c r="T675" t="s">
        <v>156</v>
      </c>
      <c r="U675" t="str">
        <f t="shared" si="130"/>
        <v>Bookcases</v>
      </c>
      <c r="V675" t="s">
        <v>2135</v>
      </c>
      <c r="X675" t="s">
        <v>29</v>
      </c>
      <c r="Y675" t="str">
        <f t="shared" si="131"/>
        <v>Second Class</v>
      </c>
      <c r="Z675">
        <v>4</v>
      </c>
      <c r="AA675">
        <v>4072.9</v>
      </c>
      <c r="AB675">
        <v>0.15</v>
      </c>
      <c r="AC675">
        <v>13847.86</v>
      </c>
      <c r="AD675">
        <v>8471.7800000000007</v>
      </c>
      <c r="AE675">
        <v>5376.08</v>
      </c>
      <c r="AF675" t="s">
        <v>30</v>
      </c>
      <c r="AG675" t="str">
        <f t="shared" si="132"/>
        <v>Paid</v>
      </c>
      <c r="AH675" t="s">
        <v>31</v>
      </c>
    </row>
    <row r="676" spans="1:34">
      <c r="A676" t="s">
        <v>2136</v>
      </c>
      <c r="B676">
        <f>COUNTIF($A:$A,A676)</f>
        <v>1</v>
      </c>
      <c r="C676" t="str">
        <f t="shared" si="123"/>
        <v>Unique</v>
      </c>
      <c r="D676" s="4">
        <v>45430</v>
      </c>
      <c r="E676">
        <f t="shared" si="124"/>
        <v>3</v>
      </c>
      <c r="F676" s="4">
        <v>45433</v>
      </c>
      <c r="G676" t="s">
        <v>2137</v>
      </c>
      <c r="H676" t="s">
        <v>69</v>
      </c>
      <c r="I676" t="str">
        <f t="shared" si="125"/>
        <v>Vikram Iyer</v>
      </c>
      <c r="J676" t="s">
        <v>88</v>
      </c>
      <c r="K676" t="str">
        <f t="shared" si="126"/>
        <v>Corporate</v>
      </c>
      <c r="L676" t="s">
        <v>36</v>
      </c>
      <c r="M676" t="str">
        <f t="shared" si="133"/>
        <v>East</v>
      </c>
      <c r="N676" t="s">
        <v>227</v>
      </c>
      <c r="O676" t="str">
        <f t="shared" si="127"/>
        <v>Jharkhand</v>
      </c>
      <c r="P676" t="s">
        <v>228</v>
      </c>
      <c r="Q676" t="str">
        <f t="shared" si="128"/>
        <v>Ranchi</v>
      </c>
      <c r="R676" t="s">
        <v>72</v>
      </c>
      <c r="S676" t="str">
        <f t="shared" si="129"/>
        <v>Technology</v>
      </c>
      <c r="T676" t="s">
        <v>73</v>
      </c>
      <c r="U676" t="str">
        <f t="shared" si="130"/>
        <v>Accessories</v>
      </c>
      <c r="V676" t="s">
        <v>2138</v>
      </c>
      <c r="X676" t="s">
        <v>29</v>
      </c>
      <c r="Y676" t="str">
        <f t="shared" si="131"/>
        <v>Second Class</v>
      </c>
      <c r="Z676">
        <v>1</v>
      </c>
      <c r="AA676">
        <v>1033.71</v>
      </c>
      <c r="AB676">
        <v>0</v>
      </c>
      <c r="AC676">
        <v>1033.71</v>
      </c>
      <c r="AD676">
        <v>630.82000000000005</v>
      </c>
      <c r="AE676">
        <v>402.89</v>
      </c>
      <c r="AF676" t="s">
        <v>109</v>
      </c>
      <c r="AG676" t="str">
        <f t="shared" si="132"/>
        <v>Pending</v>
      </c>
      <c r="AH676" t="s">
        <v>101</v>
      </c>
    </row>
    <row r="677" spans="1:34">
      <c r="A677" t="s">
        <v>2139</v>
      </c>
      <c r="B677">
        <f>COUNTIF($A:$A,A677)</f>
        <v>1</v>
      </c>
      <c r="C677" t="str">
        <f t="shared" si="123"/>
        <v>Unique</v>
      </c>
      <c r="D677" s="4">
        <v>45844</v>
      </c>
      <c r="E677">
        <f t="shared" si="124"/>
        <v>-26</v>
      </c>
      <c r="F677" s="4">
        <v>45818</v>
      </c>
      <c r="G677" t="s">
        <v>2037</v>
      </c>
      <c r="H677" t="s">
        <v>126</v>
      </c>
      <c r="I677" t="str">
        <f t="shared" si="125"/>
        <v>Aarav Sharma</v>
      </c>
      <c r="J677" t="s">
        <v>22</v>
      </c>
      <c r="K677" t="str">
        <f t="shared" si="126"/>
        <v>Consumer</v>
      </c>
      <c r="L677" t="s">
        <v>23</v>
      </c>
      <c r="M677" t="str">
        <f t="shared" si="133"/>
        <v>North</v>
      </c>
      <c r="N677" t="s">
        <v>24</v>
      </c>
      <c r="O677" t="str">
        <f t="shared" si="127"/>
        <v>Rajasthan</v>
      </c>
      <c r="P677" t="s">
        <v>25</v>
      </c>
      <c r="Q677" t="str">
        <f t="shared" si="128"/>
        <v>Jaipur</v>
      </c>
      <c r="R677" t="s">
        <v>39</v>
      </c>
      <c r="S677" t="str">
        <f t="shared" si="129"/>
        <v>Furniture</v>
      </c>
      <c r="T677" t="s">
        <v>55</v>
      </c>
      <c r="U677" t="str">
        <f t="shared" si="130"/>
        <v>Furnishings</v>
      </c>
      <c r="V677" t="s">
        <v>2140</v>
      </c>
      <c r="X677" t="s">
        <v>42</v>
      </c>
      <c r="Y677" t="str">
        <f t="shared" si="131"/>
        <v>Same Day</v>
      </c>
      <c r="Z677">
        <v>3</v>
      </c>
      <c r="AA677">
        <v>963.26</v>
      </c>
      <c r="AB677">
        <v>0</v>
      </c>
      <c r="AC677">
        <v>2889.78</v>
      </c>
      <c r="AD677">
        <v>1811.23</v>
      </c>
      <c r="AE677">
        <v>1078.55</v>
      </c>
      <c r="AF677" t="s">
        <v>30</v>
      </c>
      <c r="AG677" t="str">
        <f t="shared" si="132"/>
        <v>Paid</v>
      </c>
      <c r="AH677" t="s">
        <v>31</v>
      </c>
    </row>
    <row r="678" spans="1:34">
      <c r="A678" t="s">
        <v>2141</v>
      </c>
      <c r="B678">
        <f>COUNTIF($A:$A,A678)</f>
        <v>1</v>
      </c>
      <c r="C678" t="str">
        <f t="shared" si="123"/>
        <v>Unique</v>
      </c>
      <c r="D678" s="4">
        <v>45911</v>
      </c>
      <c r="E678">
        <f t="shared" si="124"/>
        <v>7</v>
      </c>
      <c r="F678" s="4">
        <v>45918</v>
      </c>
      <c r="G678" t="s">
        <v>2142</v>
      </c>
      <c r="H678" t="s">
        <v>116</v>
      </c>
      <c r="I678" t="str">
        <f t="shared" si="125"/>
        <v>Rahul Verma</v>
      </c>
      <c r="J678" t="s">
        <v>35</v>
      </c>
      <c r="K678" t="str">
        <f t="shared" si="126"/>
        <v>Small Business</v>
      </c>
      <c r="L678" t="s">
        <v>23</v>
      </c>
      <c r="M678" t="str">
        <f t="shared" si="133"/>
        <v>North</v>
      </c>
      <c r="N678" t="s">
        <v>349</v>
      </c>
      <c r="O678" t="str">
        <f t="shared" si="127"/>
        <v>Delhi</v>
      </c>
      <c r="P678" t="s">
        <v>350</v>
      </c>
      <c r="Q678" t="str">
        <f t="shared" si="128"/>
        <v>New Delhi</v>
      </c>
      <c r="R678" t="s">
        <v>72</v>
      </c>
      <c r="S678" t="str">
        <f t="shared" si="129"/>
        <v>Technology</v>
      </c>
      <c r="T678" t="s">
        <v>169</v>
      </c>
      <c r="U678" t="str">
        <f t="shared" si="130"/>
        <v>Phones</v>
      </c>
      <c r="V678" t="s">
        <v>2143</v>
      </c>
      <c r="X678" t="s">
        <v>42</v>
      </c>
      <c r="Y678" t="str">
        <f t="shared" si="131"/>
        <v>Same Day</v>
      </c>
      <c r="Z678">
        <v>7</v>
      </c>
      <c r="AA678">
        <v>3411.21</v>
      </c>
      <c r="AB678">
        <v>0.15</v>
      </c>
      <c r="AC678">
        <v>20296.7</v>
      </c>
      <c r="AD678">
        <v>14920.87</v>
      </c>
      <c r="AE678">
        <v>5375.83</v>
      </c>
      <c r="AF678" t="s">
        <v>30</v>
      </c>
      <c r="AG678" t="str">
        <f t="shared" si="132"/>
        <v>Paid</v>
      </c>
      <c r="AH678" t="s">
        <v>31</v>
      </c>
    </row>
    <row r="679" spans="1:34">
      <c r="A679" t="s">
        <v>2144</v>
      </c>
      <c r="B679">
        <f>COUNTIF($A:$A,A679)</f>
        <v>1</v>
      </c>
      <c r="C679" t="str">
        <f t="shared" si="123"/>
        <v>Unique</v>
      </c>
      <c r="D679" s="4">
        <v>45465</v>
      </c>
      <c r="E679">
        <f t="shared" si="124"/>
        <v>5</v>
      </c>
      <c r="F679" s="4">
        <v>45470</v>
      </c>
      <c r="G679" t="s">
        <v>20</v>
      </c>
      <c r="H679" t="s">
        <v>45</v>
      </c>
      <c r="I679" t="str">
        <f t="shared" si="125"/>
        <v>Isha Nair</v>
      </c>
      <c r="J679" t="s">
        <v>93</v>
      </c>
      <c r="K679" t="str">
        <f t="shared" si="126"/>
        <v>Home Office</v>
      </c>
      <c r="L679" t="s">
        <v>52</v>
      </c>
      <c r="M679" t="str">
        <f t="shared" si="133"/>
        <v>South</v>
      </c>
      <c r="N679" t="s">
        <v>173</v>
      </c>
      <c r="O679" t="str">
        <f t="shared" si="127"/>
        <v>Karnataka</v>
      </c>
      <c r="P679" t="s">
        <v>174</v>
      </c>
      <c r="Q679" t="str">
        <f t="shared" si="128"/>
        <v>Bengaluru</v>
      </c>
      <c r="R679" t="s">
        <v>39</v>
      </c>
      <c r="S679" t="str">
        <f t="shared" si="129"/>
        <v>Furniture</v>
      </c>
      <c r="T679" t="s">
        <v>64</v>
      </c>
      <c r="U679" t="str">
        <f t="shared" si="130"/>
        <v>Chairs</v>
      </c>
      <c r="V679" t="s">
        <v>2145</v>
      </c>
      <c r="X679" t="s">
        <v>42</v>
      </c>
      <c r="Y679" t="str">
        <f t="shared" si="131"/>
        <v>Same Day</v>
      </c>
      <c r="Z679">
        <v>7</v>
      </c>
      <c r="AA679">
        <v>2623.48</v>
      </c>
      <c r="AB679">
        <v>0</v>
      </c>
      <c r="AC679">
        <v>18364.36</v>
      </c>
      <c r="AD679">
        <v>15445.81</v>
      </c>
      <c r="AE679">
        <v>2918.55</v>
      </c>
      <c r="AF679" t="s">
        <v>30</v>
      </c>
      <c r="AG679" t="str">
        <f t="shared" si="132"/>
        <v>Paid</v>
      </c>
      <c r="AH679" t="s">
        <v>31</v>
      </c>
    </row>
    <row r="680" spans="1:34">
      <c r="A680" t="s">
        <v>2146</v>
      </c>
      <c r="B680">
        <f>COUNTIF($A:$A,A680)</f>
        <v>1</v>
      </c>
      <c r="C680" t="str">
        <f t="shared" si="123"/>
        <v>Unique</v>
      </c>
      <c r="D680" s="4">
        <v>45620</v>
      </c>
      <c r="E680">
        <f t="shared" si="124"/>
        <v>7</v>
      </c>
      <c r="F680" s="4">
        <v>45627</v>
      </c>
      <c r="G680" t="s">
        <v>2147</v>
      </c>
      <c r="H680" t="s">
        <v>263</v>
      </c>
      <c r="I680" t="str">
        <f t="shared" si="125"/>
        <v>Kabir Singh</v>
      </c>
      <c r="J680" t="s">
        <v>88</v>
      </c>
      <c r="K680" t="str">
        <f t="shared" si="126"/>
        <v>Corporate</v>
      </c>
      <c r="L680" t="s">
        <v>52</v>
      </c>
      <c r="M680" t="str">
        <f t="shared" si="133"/>
        <v>South</v>
      </c>
      <c r="N680" t="s">
        <v>173</v>
      </c>
      <c r="O680" t="str">
        <f t="shared" si="127"/>
        <v>Karnataka</v>
      </c>
      <c r="P680" t="s">
        <v>174</v>
      </c>
      <c r="Q680" t="str">
        <f t="shared" si="128"/>
        <v>Bengaluru</v>
      </c>
      <c r="R680" t="s">
        <v>39</v>
      </c>
      <c r="S680" t="str">
        <f t="shared" si="129"/>
        <v>Furniture</v>
      </c>
      <c r="T680" t="s">
        <v>40</v>
      </c>
      <c r="U680" t="str">
        <f t="shared" si="130"/>
        <v>Tables</v>
      </c>
      <c r="V680" t="s">
        <v>2148</v>
      </c>
      <c r="X680" t="s">
        <v>29</v>
      </c>
      <c r="Y680" t="str">
        <f t="shared" si="131"/>
        <v>Second Class</v>
      </c>
      <c r="Z680">
        <v>9</v>
      </c>
      <c r="AA680">
        <v>2763.61</v>
      </c>
      <c r="AB680">
        <v>0.15</v>
      </c>
      <c r="AC680">
        <v>21141.62</v>
      </c>
      <c r="AD680">
        <v>11676.33</v>
      </c>
      <c r="AE680">
        <v>9465.2900000000009</v>
      </c>
      <c r="AF680" t="s">
        <v>30</v>
      </c>
      <c r="AG680" t="str">
        <f t="shared" si="132"/>
        <v>Paid</v>
      </c>
      <c r="AH680" t="s">
        <v>31</v>
      </c>
    </row>
    <row r="681" spans="1:34">
      <c r="A681" t="s">
        <v>2149</v>
      </c>
      <c r="B681">
        <f>COUNTIF($A:$A,A681)</f>
        <v>1</v>
      </c>
      <c r="C681" t="str">
        <f t="shared" si="123"/>
        <v>Unique</v>
      </c>
      <c r="D681" s="4">
        <v>45885</v>
      </c>
      <c r="E681">
        <f t="shared" si="124"/>
        <v>7</v>
      </c>
      <c r="F681" s="4">
        <v>45892</v>
      </c>
      <c r="G681" t="s">
        <v>2150</v>
      </c>
      <c r="H681" t="s">
        <v>139</v>
      </c>
      <c r="I681" t="str">
        <f t="shared" si="125"/>
        <v>Rohan Mehta</v>
      </c>
      <c r="J681" t="s">
        <v>88</v>
      </c>
      <c r="K681" t="str">
        <f t="shared" si="126"/>
        <v>Corporate</v>
      </c>
      <c r="L681" t="s">
        <v>23</v>
      </c>
      <c r="M681" t="str">
        <f t="shared" si="133"/>
        <v>North</v>
      </c>
      <c r="N681" t="s">
        <v>120</v>
      </c>
      <c r="O681" t="str">
        <f t="shared" si="127"/>
        <v>Punjab</v>
      </c>
      <c r="P681" t="s">
        <v>121</v>
      </c>
      <c r="Q681" t="str">
        <f t="shared" si="128"/>
        <v>Ludhiana</v>
      </c>
      <c r="R681" t="s">
        <v>72</v>
      </c>
      <c r="S681" t="str">
        <f t="shared" si="129"/>
        <v>Technology</v>
      </c>
      <c r="T681" t="s">
        <v>78</v>
      </c>
      <c r="U681" t="str">
        <f t="shared" si="130"/>
        <v>Copiers</v>
      </c>
      <c r="V681" t="s">
        <v>2151</v>
      </c>
      <c r="X681" t="s">
        <v>42</v>
      </c>
      <c r="Y681" t="str">
        <f t="shared" si="131"/>
        <v>Same Day</v>
      </c>
      <c r="Z681">
        <v>4</v>
      </c>
      <c r="AA681">
        <v>1410.57</v>
      </c>
      <c r="AB681" t="s">
        <v>462</v>
      </c>
      <c r="AC681">
        <v>5360.17</v>
      </c>
      <c r="AD681">
        <v>3881.51</v>
      </c>
      <c r="AE681">
        <v>1478.66</v>
      </c>
      <c r="AF681" t="s">
        <v>100</v>
      </c>
      <c r="AG681" t="str">
        <f t="shared" si="132"/>
        <v>Refunded</v>
      </c>
      <c r="AH681" t="s">
        <v>66</v>
      </c>
    </row>
    <row r="682" spans="1:34">
      <c r="A682" t="s">
        <v>2152</v>
      </c>
      <c r="B682">
        <f>COUNTIF($A:$A,A682)</f>
        <v>1</v>
      </c>
      <c r="C682" t="str">
        <f t="shared" si="123"/>
        <v>Unique</v>
      </c>
      <c r="D682" s="4">
        <v>45441</v>
      </c>
      <c r="E682">
        <f t="shared" si="124"/>
        <v>-23</v>
      </c>
      <c r="F682" s="4">
        <v>45418</v>
      </c>
      <c r="G682" t="s">
        <v>2153</v>
      </c>
      <c r="H682" t="s">
        <v>263</v>
      </c>
      <c r="I682" t="str">
        <f t="shared" si="125"/>
        <v>Kabir Singh</v>
      </c>
      <c r="J682" t="s">
        <v>88</v>
      </c>
      <c r="K682" t="str">
        <f t="shared" si="126"/>
        <v>Corporate</v>
      </c>
      <c r="L682" t="s">
        <v>52</v>
      </c>
      <c r="M682" t="str">
        <f t="shared" si="133"/>
        <v>South</v>
      </c>
      <c r="N682" t="s">
        <v>246</v>
      </c>
      <c r="O682" t="str">
        <f t="shared" si="127"/>
        <v>Tamil Nadu</v>
      </c>
      <c r="P682" t="s">
        <v>247</v>
      </c>
      <c r="Q682" t="str">
        <f t="shared" si="128"/>
        <v>Chennai</v>
      </c>
      <c r="R682" t="s">
        <v>72</v>
      </c>
      <c r="S682" t="str">
        <f t="shared" si="129"/>
        <v>Technology</v>
      </c>
      <c r="T682" t="s">
        <v>73</v>
      </c>
      <c r="U682" t="str">
        <f t="shared" si="130"/>
        <v>Accessories</v>
      </c>
      <c r="V682" t="s">
        <v>2154</v>
      </c>
      <c r="X682" t="s">
        <v>48</v>
      </c>
      <c r="Y682" t="str">
        <f t="shared" si="131"/>
        <v>First Class</v>
      </c>
      <c r="Z682">
        <v>4</v>
      </c>
      <c r="AA682">
        <v>3700.24</v>
      </c>
      <c r="AB682">
        <v>0</v>
      </c>
      <c r="AC682">
        <v>14800.96</v>
      </c>
      <c r="AD682">
        <v>12048.39</v>
      </c>
      <c r="AE682">
        <v>2752.57</v>
      </c>
      <c r="AF682" t="s">
        <v>30</v>
      </c>
      <c r="AG682" t="str">
        <f t="shared" si="132"/>
        <v>Paid</v>
      </c>
      <c r="AH682" t="s">
        <v>31</v>
      </c>
    </row>
    <row r="683" spans="1:34">
      <c r="A683" t="s">
        <v>2155</v>
      </c>
      <c r="B683">
        <f>COUNTIF($A:$A,A683)</f>
        <v>1</v>
      </c>
      <c r="C683" t="str">
        <f t="shared" si="123"/>
        <v>Unique</v>
      </c>
      <c r="D683" s="4">
        <v>45477</v>
      </c>
      <c r="E683">
        <f t="shared" si="124"/>
        <v>95</v>
      </c>
      <c r="F683" s="4">
        <v>45572</v>
      </c>
      <c r="G683" t="s">
        <v>2156</v>
      </c>
      <c r="H683" t="s">
        <v>69</v>
      </c>
      <c r="I683" t="str">
        <f t="shared" si="125"/>
        <v>Vikram Iyer</v>
      </c>
      <c r="J683" t="s">
        <v>88</v>
      </c>
      <c r="K683" t="str">
        <f t="shared" si="126"/>
        <v>Corporate</v>
      </c>
      <c r="L683" t="s">
        <v>23</v>
      </c>
      <c r="M683" t="str">
        <f t="shared" si="133"/>
        <v>North</v>
      </c>
      <c r="N683" t="s">
        <v>349</v>
      </c>
      <c r="O683" t="str">
        <f t="shared" si="127"/>
        <v>Delhi</v>
      </c>
      <c r="P683" t="s">
        <v>350</v>
      </c>
      <c r="Q683" t="str">
        <f t="shared" si="128"/>
        <v>New Delhi</v>
      </c>
      <c r="R683" t="s">
        <v>39</v>
      </c>
      <c r="S683" t="str">
        <f t="shared" si="129"/>
        <v>Furniture</v>
      </c>
      <c r="T683" t="s">
        <v>40</v>
      </c>
      <c r="U683" t="str">
        <f t="shared" si="130"/>
        <v>Tables</v>
      </c>
      <c r="V683" t="s">
        <v>2157</v>
      </c>
      <c r="X683" t="s">
        <v>29</v>
      </c>
      <c r="Y683" t="str">
        <f t="shared" si="131"/>
        <v>Second Class</v>
      </c>
      <c r="Z683">
        <v>5</v>
      </c>
      <c r="AA683">
        <v>1200.27</v>
      </c>
      <c r="AB683">
        <v>0</v>
      </c>
      <c r="AC683">
        <v>6001.35</v>
      </c>
      <c r="AD683">
        <v>4182.99</v>
      </c>
      <c r="AE683">
        <v>1818.36</v>
      </c>
      <c r="AF683" t="s">
        <v>30</v>
      </c>
      <c r="AG683" t="str">
        <f t="shared" si="132"/>
        <v>Paid</v>
      </c>
      <c r="AH683" t="s">
        <v>66</v>
      </c>
    </row>
    <row r="684" spans="1:34">
      <c r="A684" t="s">
        <v>2158</v>
      </c>
      <c r="B684">
        <f>COUNTIF($A:$A,A684)</f>
        <v>1</v>
      </c>
      <c r="C684" t="str">
        <f t="shared" si="123"/>
        <v>Unique</v>
      </c>
      <c r="D684" s="4">
        <v>45779</v>
      </c>
      <c r="E684">
        <f t="shared" si="124"/>
        <v>0</v>
      </c>
      <c r="F684" s="4">
        <v>45779</v>
      </c>
      <c r="G684" t="s">
        <v>2159</v>
      </c>
      <c r="H684" t="s">
        <v>2160</v>
      </c>
      <c r="I684" t="str">
        <f t="shared" si="125"/>
        <v>Ananya Rao</v>
      </c>
      <c r="J684" t="s">
        <v>88</v>
      </c>
      <c r="K684" t="str">
        <f t="shared" si="126"/>
        <v>Corporate</v>
      </c>
      <c r="L684" t="s">
        <v>23</v>
      </c>
      <c r="M684" t="str">
        <f t="shared" si="133"/>
        <v>North</v>
      </c>
      <c r="N684" t="s">
        <v>235</v>
      </c>
      <c r="O684" t="str">
        <f t="shared" si="127"/>
        <v>Haryana</v>
      </c>
      <c r="P684" t="s">
        <v>236</v>
      </c>
      <c r="Q684" t="str">
        <f t="shared" si="128"/>
        <v>Gurugram</v>
      </c>
      <c r="R684" t="s">
        <v>26</v>
      </c>
      <c r="S684" t="str">
        <f t="shared" si="129"/>
        <v>Office Supplies</v>
      </c>
      <c r="T684" t="s">
        <v>122</v>
      </c>
      <c r="U684" t="str">
        <f t="shared" si="130"/>
        <v>Storage</v>
      </c>
      <c r="V684" t="s">
        <v>2161</v>
      </c>
      <c r="X684" t="s">
        <v>42</v>
      </c>
      <c r="Y684" t="str">
        <f t="shared" si="131"/>
        <v>Same Day</v>
      </c>
      <c r="Z684">
        <v>3</v>
      </c>
      <c r="AA684">
        <v>2590.7800000000002</v>
      </c>
      <c r="AC684">
        <v>7383.72</v>
      </c>
      <c r="AD684">
        <v>4113.66</v>
      </c>
      <c r="AE684">
        <v>3270.06</v>
      </c>
      <c r="AF684" t="s">
        <v>30</v>
      </c>
      <c r="AG684" t="str">
        <f t="shared" si="132"/>
        <v>Paid</v>
      </c>
      <c r="AH684" t="s">
        <v>31</v>
      </c>
    </row>
    <row r="685" spans="1:34">
      <c r="A685" t="s">
        <v>2162</v>
      </c>
      <c r="B685">
        <f>COUNTIF($A:$A,A685)</f>
        <v>1</v>
      </c>
      <c r="C685" t="str">
        <f t="shared" si="123"/>
        <v>Unique</v>
      </c>
      <c r="D685" s="4">
        <v>45858</v>
      </c>
      <c r="E685">
        <f t="shared" si="124"/>
        <v>4</v>
      </c>
      <c r="F685" s="4">
        <v>45862</v>
      </c>
      <c r="G685" t="s">
        <v>2163</v>
      </c>
      <c r="H685" t="s">
        <v>51</v>
      </c>
      <c r="I685" t="str">
        <f t="shared" si="125"/>
        <v>Arjun Bose</v>
      </c>
      <c r="J685" t="s">
        <v>35</v>
      </c>
      <c r="K685" t="str">
        <f t="shared" si="126"/>
        <v>Small Business</v>
      </c>
      <c r="L685" t="s">
        <v>52</v>
      </c>
      <c r="M685" t="str">
        <f t="shared" si="133"/>
        <v>South</v>
      </c>
      <c r="N685" t="s">
        <v>53</v>
      </c>
      <c r="O685" t="str">
        <f t="shared" si="127"/>
        <v>Telangana</v>
      </c>
      <c r="P685" t="s">
        <v>54</v>
      </c>
      <c r="Q685" t="str">
        <f t="shared" si="128"/>
        <v>Hyderabad</v>
      </c>
      <c r="R685" t="s">
        <v>39</v>
      </c>
      <c r="S685" t="str">
        <f t="shared" si="129"/>
        <v>Furniture</v>
      </c>
      <c r="T685" t="s">
        <v>55</v>
      </c>
      <c r="U685" t="str">
        <f t="shared" si="130"/>
        <v>Furnishings</v>
      </c>
      <c r="V685" t="s">
        <v>2164</v>
      </c>
      <c r="X685" t="s">
        <v>29</v>
      </c>
      <c r="Y685" t="str">
        <f t="shared" si="131"/>
        <v>Second Class</v>
      </c>
      <c r="Z685">
        <v>6</v>
      </c>
      <c r="AA685">
        <v>1646.45</v>
      </c>
      <c r="AB685">
        <v>0.2</v>
      </c>
      <c r="AC685">
        <v>7902.96</v>
      </c>
      <c r="AD685">
        <v>5512.03</v>
      </c>
      <c r="AE685">
        <v>2390.9299999999998</v>
      </c>
      <c r="AF685" t="s">
        <v>100</v>
      </c>
      <c r="AG685" t="str">
        <f t="shared" si="132"/>
        <v>Refunded</v>
      </c>
      <c r="AH685" t="s">
        <v>66</v>
      </c>
    </row>
    <row r="686" spans="1:34">
      <c r="A686" t="s">
        <v>2165</v>
      </c>
      <c r="B686">
        <f>COUNTIF($A:$A,A686)</f>
        <v>1</v>
      </c>
      <c r="C686" t="str">
        <f t="shared" si="123"/>
        <v>Unique</v>
      </c>
      <c r="D686" s="4">
        <v>45859</v>
      </c>
      <c r="E686">
        <f t="shared" si="124"/>
        <v>0</v>
      </c>
      <c r="F686" s="4">
        <v>45859</v>
      </c>
      <c r="G686" t="s">
        <v>2166</v>
      </c>
      <c r="H686" t="s">
        <v>45</v>
      </c>
      <c r="I686" t="str">
        <f t="shared" si="125"/>
        <v>Isha Nair</v>
      </c>
      <c r="J686" t="s">
        <v>93</v>
      </c>
      <c r="K686" t="str">
        <f t="shared" si="126"/>
        <v>Home Office</v>
      </c>
      <c r="L686" t="s">
        <v>52</v>
      </c>
      <c r="M686" t="str">
        <f t="shared" si="133"/>
        <v>South</v>
      </c>
      <c r="N686" t="s">
        <v>246</v>
      </c>
      <c r="O686" t="str">
        <f t="shared" si="127"/>
        <v>Tamil Nadu</v>
      </c>
      <c r="P686" t="s">
        <v>247</v>
      </c>
      <c r="Q686" t="str">
        <f t="shared" si="128"/>
        <v>Chennai</v>
      </c>
      <c r="R686" t="s">
        <v>39</v>
      </c>
      <c r="S686" t="str">
        <f t="shared" si="129"/>
        <v>Furniture</v>
      </c>
      <c r="T686" t="s">
        <v>156</v>
      </c>
      <c r="U686" t="str">
        <f t="shared" si="130"/>
        <v>Bookcases</v>
      </c>
      <c r="V686" t="s">
        <v>2167</v>
      </c>
      <c r="X686" t="s">
        <v>48</v>
      </c>
      <c r="Y686" t="str">
        <f t="shared" si="131"/>
        <v>First Class</v>
      </c>
      <c r="Z686">
        <v>7</v>
      </c>
      <c r="AA686">
        <v>4396.6499999999996</v>
      </c>
      <c r="AB686">
        <v>0.2</v>
      </c>
      <c r="AC686">
        <v>24621.24</v>
      </c>
      <c r="AD686">
        <v>17155.48</v>
      </c>
      <c r="AE686">
        <v>7465.76</v>
      </c>
      <c r="AF686" t="s">
        <v>100</v>
      </c>
      <c r="AG686" t="str">
        <f t="shared" si="132"/>
        <v>Refunded</v>
      </c>
      <c r="AH686" t="s">
        <v>66</v>
      </c>
    </row>
    <row r="687" spans="1:34">
      <c r="A687" t="s">
        <v>2168</v>
      </c>
      <c r="B687">
        <f>COUNTIF($A:$A,A687)</f>
        <v>1</v>
      </c>
      <c r="C687" t="str">
        <f t="shared" si="123"/>
        <v>Unique</v>
      </c>
      <c r="D687" s="4">
        <v>45667</v>
      </c>
      <c r="E687">
        <f t="shared" si="124"/>
        <v>59</v>
      </c>
      <c r="F687" s="4">
        <v>45726</v>
      </c>
      <c r="G687" t="s">
        <v>1830</v>
      </c>
      <c r="H687" t="s">
        <v>77</v>
      </c>
      <c r="I687" t="str">
        <f t="shared" si="125"/>
        <v>Neha Gupta</v>
      </c>
      <c r="J687" t="s">
        <v>88</v>
      </c>
      <c r="K687" t="str">
        <f t="shared" si="126"/>
        <v>Corporate</v>
      </c>
      <c r="L687" t="s">
        <v>61</v>
      </c>
      <c r="M687" t="str">
        <f t="shared" si="133"/>
        <v>West</v>
      </c>
      <c r="N687" t="s">
        <v>188</v>
      </c>
      <c r="O687" t="str">
        <f t="shared" si="127"/>
        <v>Goa</v>
      </c>
      <c r="P687" t="s">
        <v>189</v>
      </c>
      <c r="Q687" t="str">
        <f t="shared" si="128"/>
        <v>Panaji</v>
      </c>
      <c r="R687" t="s">
        <v>26</v>
      </c>
      <c r="S687" t="str">
        <f t="shared" si="129"/>
        <v>Office Supplies</v>
      </c>
      <c r="T687" t="s">
        <v>46</v>
      </c>
      <c r="U687" t="str">
        <f t="shared" si="130"/>
        <v>Art</v>
      </c>
      <c r="V687" t="s">
        <v>2169</v>
      </c>
      <c r="X687" t="s">
        <v>57</v>
      </c>
      <c r="Y687" t="str">
        <f t="shared" si="131"/>
        <v>Standard Class</v>
      </c>
      <c r="Z687">
        <v>9</v>
      </c>
      <c r="AA687">
        <v>818.15</v>
      </c>
      <c r="AB687">
        <v>0.55000000000000004</v>
      </c>
      <c r="AC687">
        <v>6627.01</v>
      </c>
      <c r="AD687">
        <v>5606.79</v>
      </c>
      <c r="AE687">
        <v>1020.22</v>
      </c>
      <c r="AF687" t="s">
        <v>153</v>
      </c>
      <c r="AG687" t="str">
        <f t="shared" si="132"/>
        <v>Failed</v>
      </c>
      <c r="AH687" t="s">
        <v>66</v>
      </c>
    </row>
    <row r="688" spans="1:34">
      <c r="A688" t="s">
        <v>2170</v>
      </c>
      <c r="B688">
        <f>COUNTIF($A:$A,A688)</f>
        <v>1</v>
      </c>
      <c r="C688" t="str">
        <f t="shared" si="123"/>
        <v>Unique</v>
      </c>
      <c r="D688" s="4">
        <v>45376</v>
      </c>
      <c r="E688">
        <f t="shared" si="124"/>
        <v>8</v>
      </c>
      <c r="F688" s="4">
        <v>45384</v>
      </c>
      <c r="G688" t="s">
        <v>2171</v>
      </c>
      <c r="H688" t="s">
        <v>130</v>
      </c>
      <c r="I688" t="str">
        <f t="shared" si="125"/>
        <v>Sneha Kapoor</v>
      </c>
      <c r="J688" t="s">
        <v>93</v>
      </c>
      <c r="K688" t="str">
        <f t="shared" si="126"/>
        <v>Home Office</v>
      </c>
      <c r="L688" t="s">
        <v>52</v>
      </c>
      <c r="M688" t="str">
        <f t="shared" si="133"/>
        <v>South</v>
      </c>
      <c r="N688" t="s">
        <v>246</v>
      </c>
      <c r="O688" t="str">
        <f t="shared" si="127"/>
        <v>Tamil Nadu</v>
      </c>
      <c r="P688" t="s">
        <v>247</v>
      </c>
      <c r="Q688" t="str">
        <f t="shared" si="128"/>
        <v>Chennai</v>
      </c>
      <c r="R688" t="s">
        <v>72</v>
      </c>
      <c r="S688" t="str">
        <f t="shared" si="129"/>
        <v>Technology</v>
      </c>
      <c r="T688" t="s">
        <v>78</v>
      </c>
      <c r="U688" t="str">
        <f t="shared" si="130"/>
        <v>Copiers</v>
      </c>
      <c r="V688" t="s">
        <v>2172</v>
      </c>
      <c r="X688" t="s">
        <v>57</v>
      </c>
      <c r="Y688" t="str">
        <f t="shared" si="131"/>
        <v>Standard Class</v>
      </c>
      <c r="Z688">
        <v>2</v>
      </c>
      <c r="AA688">
        <v>2349.13</v>
      </c>
      <c r="AB688">
        <v>0</v>
      </c>
      <c r="AC688">
        <v>4698.26</v>
      </c>
      <c r="AD688">
        <v>2654.92</v>
      </c>
      <c r="AE688">
        <v>2043.34</v>
      </c>
      <c r="AF688" t="s">
        <v>30</v>
      </c>
      <c r="AG688" t="str">
        <f t="shared" si="132"/>
        <v>Paid</v>
      </c>
      <c r="AH688" t="s">
        <v>31</v>
      </c>
    </row>
    <row r="689" spans="1:34">
      <c r="A689" t="s">
        <v>2173</v>
      </c>
      <c r="B689">
        <f>COUNTIF($A:$A,A689)</f>
        <v>1</v>
      </c>
      <c r="C689" t="str">
        <f t="shared" si="123"/>
        <v>Unique</v>
      </c>
      <c r="D689" s="4">
        <v>45879</v>
      </c>
      <c r="E689">
        <f t="shared" si="124"/>
        <v>64</v>
      </c>
      <c r="F689" s="4">
        <v>45943</v>
      </c>
      <c r="G689" t="s">
        <v>2174</v>
      </c>
      <c r="H689" t="s">
        <v>34</v>
      </c>
      <c r="I689" t="str">
        <f t="shared" si="125"/>
        <v>Mira Das</v>
      </c>
      <c r="J689" t="s">
        <v>93</v>
      </c>
      <c r="K689" t="str">
        <f t="shared" si="126"/>
        <v>Home Office</v>
      </c>
      <c r="L689" t="s">
        <v>23</v>
      </c>
      <c r="M689" t="str">
        <f t="shared" si="133"/>
        <v>North</v>
      </c>
      <c r="N689" t="s">
        <v>120</v>
      </c>
      <c r="O689" t="str">
        <f t="shared" si="127"/>
        <v>Punjab</v>
      </c>
      <c r="P689" t="s">
        <v>121</v>
      </c>
      <c r="Q689" t="str">
        <f t="shared" si="128"/>
        <v>Ludhiana</v>
      </c>
      <c r="R689" t="s">
        <v>39</v>
      </c>
      <c r="S689" t="str">
        <f t="shared" si="129"/>
        <v>Furniture</v>
      </c>
      <c r="T689" t="s">
        <v>40</v>
      </c>
      <c r="U689" t="str">
        <f t="shared" si="130"/>
        <v>Tables</v>
      </c>
      <c r="V689" t="s">
        <v>2175</v>
      </c>
      <c r="X689" t="s">
        <v>48</v>
      </c>
      <c r="Y689" t="str">
        <f t="shared" si="131"/>
        <v>First Class</v>
      </c>
      <c r="Z689">
        <v>4</v>
      </c>
      <c r="AA689">
        <v>172.05</v>
      </c>
      <c r="AB689">
        <v>0</v>
      </c>
      <c r="AC689">
        <v>688.2</v>
      </c>
      <c r="AD689">
        <v>497.68</v>
      </c>
      <c r="AE689">
        <v>190.52</v>
      </c>
      <c r="AF689" t="s">
        <v>153</v>
      </c>
      <c r="AG689" t="str">
        <f t="shared" si="132"/>
        <v>Failed</v>
      </c>
      <c r="AH689" t="s">
        <v>66</v>
      </c>
    </row>
    <row r="690" spans="1:34">
      <c r="A690" t="s">
        <v>2176</v>
      </c>
      <c r="B690">
        <f>COUNTIF($A:$A,A690)</f>
        <v>1</v>
      </c>
      <c r="C690" t="str">
        <f t="shared" si="123"/>
        <v>Unique</v>
      </c>
      <c r="D690" s="4">
        <v>45714</v>
      </c>
      <c r="E690">
        <f t="shared" si="124"/>
        <v>1</v>
      </c>
      <c r="F690" s="4">
        <v>45715</v>
      </c>
      <c r="G690" t="s">
        <v>2177</v>
      </c>
      <c r="H690" t="s">
        <v>77</v>
      </c>
      <c r="I690" t="str">
        <f t="shared" si="125"/>
        <v>Neha Gupta</v>
      </c>
      <c r="J690" t="s">
        <v>93</v>
      </c>
      <c r="K690" t="str">
        <f t="shared" si="126"/>
        <v>Home Office</v>
      </c>
      <c r="L690" t="s">
        <v>23</v>
      </c>
      <c r="M690" t="str">
        <f t="shared" si="133"/>
        <v>North</v>
      </c>
      <c r="N690" t="s">
        <v>235</v>
      </c>
      <c r="O690" t="str">
        <f t="shared" si="127"/>
        <v>Haryana</v>
      </c>
      <c r="P690" t="s">
        <v>236</v>
      </c>
      <c r="Q690" t="str">
        <f t="shared" si="128"/>
        <v>Gurugram</v>
      </c>
      <c r="R690" t="s">
        <v>26</v>
      </c>
      <c r="S690" t="str">
        <f t="shared" si="129"/>
        <v>Office Supplies</v>
      </c>
      <c r="T690" t="s">
        <v>46</v>
      </c>
      <c r="U690" t="str">
        <f t="shared" si="130"/>
        <v>Art</v>
      </c>
      <c r="V690" t="s">
        <v>2178</v>
      </c>
      <c r="X690" t="s">
        <v>29</v>
      </c>
      <c r="Y690" t="str">
        <f t="shared" si="131"/>
        <v>Second Class</v>
      </c>
      <c r="Z690">
        <v>6</v>
      </c>
      <c r="AA690">
        <v>3037.66</v>
      </c>
      <c r="AB690">
        <v>0.15</v>
      </c>
      <c r="AC690">
        <v>15492.07</v>
      </c>
      <c r="AD690">
        <v>12581.23</v>
      </c>
      <c r="AE690">
        <v>2910.84</v>
      </c>
      <c r="AF690" t="s">
        <v>30</v>
      </c>
      <c r="AG690" t="str">
        <f t="shared" si="132"/>
        <v>Paid</v>
      </c>
      <c r="AH690" t="s">
        <v>31</v>
      </c>
    </row>
    <row r="691" spans="1:34">
      <c r="A691" t="s">
        <v>2179</v>
      </c>
      <c r="B691">
        <f>COUNTIF($A:$A,A691)</f>
        <v>1</v>
      </c>
      <c r="C691" t="str">
        <f t="shared" si="123"/>
        <v>Unique</v>
      </c>
      <c r="D691" s="4">
        <v>45422</v>
      </c>
      <c r="E691">
        <f t="shared" si="124"/>
        <v>31</v>
      </c>
      <c r="F691" s="4">
        <v>45453</v>
      </c>
      <c r="G691" t="s">
        <v>2180</v>
      </c>
      <c r="H691" t="s">
        <v>139</v>
      </c>
      <c r="I691" t="str">
        <f t="shared" si="125"/>
        <v>Rohan Mehta</v>
      </c>
      <c r="J691" t="s">
        <v>35</v>
      </c>
      <c r="K691" t="str">
        <f t="shared" si="126"/>
        <v>Small Business</v>
      </c>
      <c r="L691" t="s">
        <v>23</v>
      </c>
      <c r="M691" t="str">
        <f t="shared" si="133"/>
        <v>North</v>
      </c>
      <c r="N691" t="s">
        <v>120</v>
      </c>
      <c r="O691" t="str">
        <f t="shared" si="127"/>
        <v>Punjab</v>
      </c>
      <c r="P691" t="s">
        <v>121</v>
      </c>
      <c r="Q691" t="str">
        <f t="shared" si="128"/>
        <v>Ludhiana</v>
      </c>
      <c r="R691" t="s">
        <v>39</v>
      </c>
      <c r="S691" t="str">
        <f t="shared" si="129"/>
        <v>Furniture</v>
      </c>
      <c r="T691" t="s">
        <v>40</v>
      </c>
      <c r="U691" t="str">
        <f t="shared" si="130"/>
        <v>Tables</v>
      </c>
      <c r="V691" t="s">
        <v>2181</v>
      </c>
      <c r="X691" t="s">
        <v>57</v>
      </c>
      <c r="Y691" t="str">
        <f t="shared" si="131"/>
        <v>Standard Class</v>
      </c>
      <c r="Z691">
        <v>9</v>
      </c>
      <c r="AA691">
        <v>489.58</v>
      </c>
      <c r="AB691">
        <v>0.15</v>
      </c>
      <c r="AC691">
        <v>3745.29</v>
      </c>
      <c r="AD691">
        <v>2302.65</v>
      </c>
      <c r="AE691">
        <v>1442.64</v>
      </c>
      <c r="AF691" t="s">
        <v>153</v>
      </c>
      <c r="AG691" t="str">
        <f t="shared" si="132"/>
        <v>Failed</v>
      </c>
      <c r="AH691" t="s">
        <v>66</v>
      </c>
    </row>
    <row r="692" spans="1:34">
      <c r="A692" t="s">
        <v>2182</v>
      </c>
      <c r="B692">
        <f>COUNTIF($A:$A,A692)</f>
        <v>1</v>
      </c>
      <c r="C692" t="str">
        <f t="shared" si="123"/>
        <v>Unique</v>
      </c>
      <c r="D692" s="4">
        <v>45546</v>
      </c>
      <c r="E692">
        <f t="shared" si="124"/>
        <v>4</v>
      </c>
      <c r="F692" s="4">
        <v>45550</v>
      </c>
      <c r="G692" t="s">
        <v>2183</v>
      </c>
      <c r="H692" t="s">
        <v>130</v>
      </c>
      <c r="I692" t="str">
        <f t="shared" si="125"/>
        <v>Sneha Kapoor</v>
      </c>
      <c r="J692" t="s">
        <v>88</v>
      </c>
      <c r="K692" t="str">
        <f t="shared" si="126"/>
        <v>Corporate</v>
      </c>
      <c r="L692" t="s">
        <v>52</v>
      </c>
      <c r="M692" t="str">
        <f t="shared" si="133"/>
        <v>South</v>
      </c>
      <c r="N692" t="s">
        <v>246</v>
      </c>
      <c r="O692" t="str">
        <f t="shared" si="127"/>
        <v>Tamil Nadu</v>
      </c>
      <c r="P692" t="s">
        <v>247</v>
      </c>
      <c r="Q692" t="str">
        <f t="shared" si="128"/>
        <v>Chennai</v>
      </c>
      <c r="R692" t="s">
        <v>26</v>
      </c>
      <c r="S692" t="str">
        <f t="shared" si="129"/>
        <v>Office Supplies</v>
      </c>
      <c r="T692" t="s">
        <v>46</v>
      </c>
      <c r="U692" t="str">
        <f t="shared" si="130"/>
        <v>Art</v>
      </c>
      <c r="V692" t="s">
        <v>2184</v>
      </c>
      <c r="X692" t="s">
        <v>57</v>
      </c>
      <c r="Y692" t="str">
        <f t="shared" si="131"/>
        <v>Standard Class</v>
      </c>
      <c r="Z692">
        <v>4</v>
      </c>
      <c r="AA692">
        <v>865.63</v>
      </c>
      <c r="AB692">
        <v>0</v>
      </c>
      <c r="AC692">
        <v>3462.52</v>
      </c>
      <c r="AD692">
        <v>2797.29</v>
      </c>
      <c r="AE692">
        <v>665.23</v>
      </c>
      <c r="AF692" t="s">
        <v>153</v>
      </c>
      <c r="AG692" t="str">
        <f t="shared" si="132"/>
        <v>Failed</v>
      </c>
      <c r="AH692" t="s">
        <v>101</v>
      </c>
    </row>
    <row r="693" spans="1:34">
      <c r="A693" t="s">
        <v>2185</v>
      </c>
      <c r="B693">
        <f>COUNTIF($A:$A,A693)</f>
        <v>1</v>
      </c>
      <c r="C693" t="str">
        <f t="shared" si="123"/>
        <v>Unique</v>
      </c>
      <c r="D693" s="4">
        <v>45641</v>
      </c>
      <c r="E693">
        <f t="shared" si="124"/>
        <v>1</v>
      </c>
      <c r="F693" s="4">
        <v>45642</v>
      </c>
      <c r="G693" t="s">
        <v>2186</v>
      </c>
      <c r="H693" t="s">
        <v>139</v>
      </c>
      <c r="I693" t="str">
        <f t="shared" si="125"/>
        <v>Rohan Mehta</v>
      </c>
      <c r="J693" t="s">
        <v>22</v>
      </c>
      <c r="K693" t="str">
        <f t="shared" si="126"/>
        <v>Consumer</v>
      </c>
      <c r="L693" t="s">
        <v>36</v>
      </c>
      <c r="M693" t="str">
        <f t="shared" ref="M693:M724" si="134">PROPER(TRIM(L693))</f>
        <v>East</v>
      </c>
      <c r="N693" t="s">
        <v>37</v>
      </c>
      <c r="O693" t="str">
        <f t="shared" si="127"/>
        <v>Odisha</v>
      </c>
      <c r="P693" t="s">
        <v>38</v>
      </c>
      <c r="Q693" t="str">
        <f t="shared" si="128"/>
        <v>Bhubaneswar</v>
      </c>
      <c r="R693" t="s">
        <v>72</v>
      </c>
      <c r="S693" t="str">
        <f t="shared" si="129"/>
        <v>Technology</v>
      </c>
      <c r="T693" t="s">
        <v>78</v>
      </c>
      <c r="U693" t="str">
        <f t="shared" si="130"/>
        <v>Copiers</v>
      </c>
      <c r="V693" t="s">
        <v>2187</v>
      </c>
      <c r="X693" t="s">
        <v>29</v>
      </c>
      <c r="Y693" t="str">
        <f t="shared" si="131"/>
        <v>Second Class</v>
      </c>
      <c r="Z693">
        <v>6</v>
      </c>
      <c r="AA693">
        <v>1538.1</v>
      </c>
      <c r="AB693">
        <v>0.05</v>
      </c>
      <c r="AC693">
        <v>8767.17</v>
      </c>
      <c r="AD693">
        <v>5098.2</v>
      </c>
      <c r="AE693">
        <v>3668.97</v>
      </c>
      <c r="AF693" t="s">
        <v>30</v>
      </c>
      <c r="AG693" t="str">
        <f t="shared" si="132"/>
        <v>Paid</v>
      </c>
      <c r="AH693" t="s">
        <v>31</v>
      </c>
    </row>
    <row r="694" spans="1:34">
      <c r="A694" t="s">
        <v>2188</v>
      </c>
      <c r="B694">
        <f>COUNTIF($A:$A,A694)</f>
        <v>1</v>
      </c>
      <c r="C694" t="str">
        <f t="shared" si="123"/>
        <v>Unique</v>
      </c>
      <c r="D694" s="4">
        <v>45787</v>
      </c>
      <c r="E694">
        <f t="shared" si="124"/>
        <v>153</v>
      </c>
      <c r="F694" s="4">
        <v>45940</v>
      </c>
      <c r="G694" t="s">
        <v>2189</v>
      </c>
      <c r="H694" t="s">
        <v>45</v>
      </c>
      <c r="I694" t="str">
        <f t="shared" si="125"/>
        <v>Isha Nair</v>
      </c>
      <c r="J694" t="s">
        <v>1183</v>
      </c>
      <c r="K694" t="str">
        <f t="shared" si="126"/>
        <v>Corporate</v>
      </c>
      <c r="L694" t="s">
        <v>52</v>
      </c>
      <c r="M694" t="str">
        <f t="shared" si="134"/>
        <v>South</v>
      </c>
      <c r="N694" t="s">
        <v>173</v>
      </c>
      <c r="O694" t="str">
        <f t="shared" si="127"/>
        <v>Karnataka</v>
      </c>
      <c r="P694" t="s">
        <v>174</v>
      </c>
      <c r="Q694" t="str">
        <f t="shared" si="128"/>
        <v>Bengaluru</v>
      </c>
      <c r="R694" t="s">
        <v>39</v>
      </c>
      <c r="S694" t="str">
        <f t="shared" si="129"/>
        <v>Furniture</v>
      </c>
      <c r="T694" t="s">
        <v>55</v>
      </c>
      <c r="U694" t="str">
        <f t="shared" si="130"/>
        <v>Furnishings</v>
      </c>
      <c r="V694" t="s">
        <v>2190</v>
      </c>
      <c r="X694" t="s">
        <v>29</v>
      </c>
      <c r="Y694" t="str">
        <f t="shared" si="131"/>
        <v>Second Class</v>
      </c>
      <c r="Z694">
        <v>4</v>
      </c>
      <c r="AA694">
        <v>2365.6799999999998</v>
      </c>
      <c r="AB694">
        <v>0.1</v>
      </c>
      <c r="AC694">
        <v>8516.4500000000007</v>
      </c>
      <c r="AD694">
        <v>5903.81</v>
      </c>
      <c r="AE694">
        <v>2612.64</v>
      </c>
      <c r="AF694" t="s">
        <v>30</v>
      </c>
      <c r="AG694" t="str">
        <f t="shared" si="132"/>
        <v>Paid</v>
      </c>
      <c r="AH694" t="s">
        <v>31</v>
      </c>
    </row>
    <row r="695" spans="1:34">
      <c r="A695" t="s">
        <v>2191</v>
      </c>
      <c r="B695">
        <f>COUNTIF($A:$A,A695)</f>
        <v>1</v>
      </c>
      <c r="C695" t="str">
        <f t="shared" si="123"/>
        <v>Unique</v>
      </c>
      <c r="D695" s="4">
        <v>45720</v>
      </c>
      <c r="E695">
        <f t="shared" si="124"/>
        <v>245</v>
      </c>
      <c r="F695" s="4">
        <v>45965</v>
      </c>
      <c r="G695" t="s">
        <v>2192</v>
      </c>
      <c r="H695" t="s">
        <v>51</v>
      </c>
      <c r="I695" t="str">
        <f t="shared" si="125"/>
        <v>Arjun Bose</v>
      </c>
      <c r="J695" t="s">
        <v>22</v>
      </c>
      <c r="K695" t="str">
        <f t="shared" si="126"/>
        <v>Consumer</v>
      </c>
      <c r="L695" t="s">
        <v>52</v>
      </c>
      <c r="M695" t="str">
        <f t="shared" si="134"/>
        <v>South</v>
      </c>
      <c r="N695" t="s">
        <v>246</v>
      </c>
      <c r="O695" t="str">
        <f t="shared" si="127"/>
        <v>Tamil Nadu</v>
      </c>
      <c r="P695" t="s">
        <v>247</v>
      </c>
      <c r="Q695" t="str">
        <f t="shared" si="128"/>
        <v>Chennai</v>
      </c>
      <c r="R695" t="s">
        <v>39</v>
      </c>
      <c r="S695" t="str">
        <f t="shared" si="129"/>
        <v>Furniture</v>
      </c>
      <c r="T695" t="s">
        <v>156</v>
      </c>
      <c r="U695" t="str">
        <f t="shared" si="130"/>
        <v>Bookcases</v>
      </c>
      <c r="V695" t="s">
        <v>2193</v>
      </c>
      <c r="X695" t="s">
        <v>29</v>
      </c>
      <c r="Y695" t="str">
        <f t="shared" si="131"/>
        <v>Second Class</v>
      </c>
      <c r="Z695">
        <v>3</v>
      </c>
      <c r="AA695">
        <v>4149.7700000000004</v>
      </c>
      <c r="AB695">
        <v>0.05</v>
      </c>
      <c r="AC695">
        <v>11826.84</v>
      </c>
      <c r="AD695">
        <v>8035.96</v>
      </c>
      <c r="AE695">
        <v>3790.88</v>
      </c>
      <c r="AF695" t="s">
        <v>30</v>
      </c>
      <c r="AG695" t="str">
        <f t="shared" si="132"/>
        <v>Paid</v>
      </c>
      <c r="AH695" t="s">
        <v>31</v>
      </c>
    </row>
    <row r="696" spans="1:34">
      <c r="A696" t="s">
        <v>2194</v>
      </c>
      <c r="B696">
        <f>COUNTIF($A:$A,A696)</f>
        <v>1</v>
      </c>
      <c r="C696" t="str">
        <f t="shared" si="123"/>
        <v>Unique</v>
      </c>
      <c r="D696" s="4">
        <v>45665</v>
      </c>
      <c r="E696">
        <f t="shared" si="124"/>
        <v>243</v>
      </c>
      <c r="F696" s="4">
        <v>45908</v>
      </c>
      <c r="G696" t="s">
        <v>1152</v>
      </c>
      <c r="H696" t="s">
        <v>45</v>
      </c>
      <c r="I696" t="str">
        <f t="shared" si="125"/>
        <v>Isha Nair</v>
      </c>
      <c r="J696" t="s">
        <v>22</v>
      </c>
      <c r="K696" t="str">
        <f t="shared" si="126"/>
        <v>Consumer</v>
      </c>
      <c r="L696" t="s">
        <v>52</v>
      </c>
      <c r="M696" t="str">
        <f t="shared" si="134"/>
        <v>South</v>
      </c>
      <c r="N696" t="s">
        <v>82</v>
      </c>
      <c r="O696" t="str">
        <f t="shared" si="127"/>
        <v>Andhra Pradesh</v>
      </c>
      <c r="P696" t="s">
        <v>83</v>
      </c>
      <c r="Q696" t="str">
        <f t="shared" si="128"/>
        <v>Vijayawada</v>
      </c>
      <c r="R696" t="s">
        <v>26</v>
      </c>
      <c r="S696" t="str">
        <f t="shared" si="129"/>
        <v>Office Supplies</v>
      </c>
      <c r="T696" t="s">
        <v>122</v>
      </c>
      <c r="U696" t="str">
        <f t="shared" si="130"/>
        <v>Storage</v>
      </c>
      <c r="V696" t="s">
        <v>2195</v>
      </c>
      <c r="X696" t="s">
        <v>48</v>
      </c>
      <c r="Y696" t="str">
        <f t="shared" si="131"/>
        <v>First Class</v>
      </c>
      <c r="Z696">
        <v>5</v>
      </c>
      <c r="AA696">
        <v>2736.24</v>
      </c>
      <c r="AB696">
        <v>0.15</v>
      </c>
      <c r="AC696">
        <v>11629.02</v>
      </c>
      <c r="AD696">
        <v>9627.2099999999991</v>
      </c>
      <c r="AE696">
        <v>2001.81</v>
      </c>
      <c r="AF696" t="s">
        <v>30</v>
      </c>
      <c r="AG696" t="str">
        <f t="shared" si="132"/>
        <v>Paid</v>
      </c>
      <c r="AH696" t="s">
        <v>31</v>
      </c>
    </row>
    <row r="697" spans="1:34">
      <c r="A697" t="s">
        <v>2196</v>
      </c>
      <c r="B697">
        <f>COUNTIF($A:$A,A697)</f>
        <v>1</v>
      </c>
      <c r="C697" t="str">
        <f t="shared" si="123"/>
        <v>Unique</v>
      </c>
      <c r="D697" s="4">
        <v>45298</v>
      </c>
      <c r="E697">
        <f t="shared" si="124"/>
        <v>0</v>
      </c>
      <c r="F697" s="4">
        <v>45298</v>
      </c>
      <c r="G697" t="s">
        <v>2197</v>
      </c>
      <c r="H697" t="s">
        <v>126</v>
      </c>
      <c r="I697" t="str">
        <f t="shared" si="125"/>
        <v>Aarav Sharma</v>
      </c>
      <c r="J697" t="s">
        <v>22</v>
      </c>
      <c r="K697" t="str">
        <f t="shared" si="126"/>
        <v>Consumer</v>
      </c>
      <c r="L697" t="s">
        <v>61</v>
      </c>
      <c r="M697" t="str">
        <f t="shared" si="134"/>
        <v>West</v>
      </c>
      <c r="N697" t="s">
        <v>70</v>
      </c>
      <c r="O697" t="str">
        <f t="shared" si="127"/>
        <v>Madhya Pradesh</v>
      </c>
      <c r="P697" t="s">
        <v>71</v>
      </c>
      <c r="Q697" t="str">
        <f t="shared" si="128"/>
        <v>Indore</v>
      </c>
      <c r="R697" t="s">
        <v>72</v>
      </c>
      <c r="S697" t="str">
        <f t="shared" si="129"/>
        <v>Technology</v>
      </c>
      <c r="T697" t="s">
        <v>273</v>
      </c>
      <c r="U697" t="str">
        <f t="shared" si="130"/>
        <v>Machines</v>
      </c>
      <c r="V697" t="s">
        <v>2198</v>
      </c>
      <c r="X697" t="s">
        <v>57</v>
      </c>
      <c r="Y697" t="str">
        <f t="shared" si="131"/>
        <v>Standard Class</v>
      </c>
      <c r="Z697">
        <v>4</v>
      </c>
      <c r="AA697">
        <v>257.39</v>
      </c>
      <c r="AB697">
        <v>0</v>
      </c>
      <c r="AC697">
        <v>1029.56</v>
      </c>
      <c r="AD697">
        <v>626.33000000000004</v>
      </c>
      <c r="AE697">
        <v>403.23</v>
      </c>
      <c r="AF697" t="s">
        <v>30</v>
      </c>
      <c r="AG697" t="str">
        <f t="shared" si="132"/>
        <v>Paid</v>
      </c>
      <c r="AH697" t="s">
        <v>31</v>
      </c>
    </row>
    <row r="698" spans="1:34">
      <c r="A698" t="s">
        <v>2199</v>
      </c>
      <c r="B698">
        <f>COUNTIF($A:$A,A698)</f>
        <v>1</v>
      </c>
      <c r="C698" t="str">
        <f t="shared" si="123"/>
        <v>Unique</v>
      </c>
      <c r="D698" s="4">
        <v>45922</v>
      </c>
      <c r="E698">
        <f t="shared" si="124"/>
        <v>3</v>
      </c>
      <c r="F698" s="4">
        <v>45925</v>
      </c>
      <c r="G698" t="s">
        <v>2200</v>
      </c>
      <c r="H698" t="s">
        <v>45</v>
      </c>
      <c r="I698" t="str">
        <f t="shared" si="125"/>
        <v>Isha Nair</v>
      </c>
      <c r="J698" t="s">
        <v>35</v>
      </c>
      <c r="K698" t="str">
        <f t="shared" si="126"/>
        <v>Small Business</v>
      </c>
      <c r="L698" t="s">
        <v>52</v>
      </c>
      <c r="M698" t="str">
        <f t="shared" si="134"/>
        <v>South</v>
      </c>
      <c r="N698" t="s">
        <v>183</v>
      </c>
      <c r="O698" t="str">
        <f t="shared" si="127"/>
        <v>Kerala</v>
      </c>
      <c r="P698" t="s">
        <v>184</v>
      </c>
      <c r="Q698" t="str">
        <f t="shared" si="128"/>
        <v>Kochi</v>
      </c>
      <c r="R698" t="s">
        <v>72</v>
      </c>
      <c r="S698" t="str">
        <f t="shared" si="129"/>
        <v>Technology</v>
      </c>
      <c r="T698" t="s">
        <v>169</v>
      </c>
      <c r="U698" t="str">
        <f t="shared" si="130"/>
        <v>Phones</v>
      </c>
      <c r="V698" t="s">
        <v>2201</v>
      </c>
      <c r="Y698" t="s">
        <v>2828</v>
      </c>
      <c r="Z698">
        <v>4</v>
      </c>
      <c r="AA698">
        <v>1178.8399999999999</v>
      </c>
      <c r="AB698">
        <v>0.25</v>
      </c>
      <c r="AC698">
        <v>3536.52</v>
      </c>
      <c r="AD698">
        <v>2102.41</v>
      </c>
      <c r="AE698">
        <v>1363.28</v>
      </c>
      <c r="AF698" t="s">
        <v>30</v>
      </c>
      <c r="AG698" t="str">
        <f t="shared" si="132"/>
        <v>Paid</v>
      </c>
      <c r="AH698" t="s">
        <v>31</v>
      </c>
    </row>
    <row r="699" spans="1:34">
      <c r="A699" t="s">
        <v>2202</v>
      </c>
      <c r="B699">
        <f>COUNTIF($A:$A,A699)</f>
        <v>1</v>
      </c>
      <c r="C699" t="str">
        <f t="shared" si="123"/>
        <v>Unique</v>
      </c>
      <c r="D699" s="4">
        <v>45717</v>
      </c>
      <c r="E699">
        <f t="shared" si="124"/>
        <v>124</v>
      </c>
      <c r="F699" s="4">
        <v>45841</v>
      </c>
      <c r="G699" t="s">
        <v>2203</v>
      </c>
      <c r="H699" t="s">
        <v>51</v>
      </c>
      <c r="I699" t="str">
        <f t="shared" si="125"/>
        <v>Arjun Bose</v>
      </c>
      <c r="J699" t="s">
        <v>88</v>
      </c>
      <c r="K699" t="str">
        <f t="shared" si="126"/>
        <v>Corporate</v>
      </c>
      <c r="L699" t="s">
        <v>52</v>
      </c>
      <c r="M699" t="str">
        <f t="shared" si="134"/>
        <v>South</v>
      </c>
      <c r="N699" t="s">
        <v>82</v>
      </c>
      <c r="O699" t="str">
        <f t="shared" si="127"/>
        <v>Andhra Pradesh</v>
      </c>
      <c r="P699" t="s">
        <v>83</v>
      </c>
      <c r="Q699" t="str">
        <f t="shared" si="128"/>
        <v>Vijayawada</v>
      </c>
      <c r="R699" t="s">
        <v>26</v>
      </c>
      <c r="S699" t="str">
        <f t="shared" si="129"/>
        <v>Office Supplies</v>
      </c>
      <c r="T699" t="s">
        <v>89</v>
      </c>
      <c r="U699" t="str">
        <f t="shared" si="130"/>
        <v>Labels</v>
      </c>
      <c r="V699" t="s">
        <v>2204</v>
      </c>
      <c r="X699" t="s">
        <v>48</v>
      </c>
      <c r="Y699" t="str">
        <f t="shared" si="131"/>
        <v>First Class</v>
      </c>
      <c r="Z699">
        <v>7</v>
      </c>
      <c r="AA699">
        <v>567.15</v>
      </c>
      <c r="AC699">
        <v>2977.54</v>
      </c>
      <c r="AD699">
        <v>1849.3</v>
      </c>
      <c r="AE699">
        <v>1128.24</v>
      </c>
      <c r="AF699" t="s">
        <v>100</v>
      </c>
      <c r="AG699" t="str">
        <f t="shared" si="132"/>
        <v>Refunded</v>
      </c>
      <c r="AH699" t="s">
        <v>101</v>
      </c>
    </row>
    <row r="700" spans="1:34">
      <c r="A700" t="s">
        <v>2205</v>
      </c>
      <c r="B700">
        <f>COUNTIF($A:$A,A700)</f>
        <v>1</v>
      </c>
      <c r="C700" t="str">
        <f t="shared" si="123"/>
        <v>Unique</v>
      </c>
      <c r="D700" s="4">
        <v>45549</v>
      </c>
      <c r="E700">
        <f t="shared" si="124"/>
        <v>0</v>
      </c>
      <c r="F700" s="4">
        <v>45549</v>
      </c>
      <c r="G700" t="s">
        <v>2206</v>
      </c>
      <c r="H700" t="s">
        <v>34</v>
      </c>
      <c r="I700" t="str">
        <f t="shared" si="125"/>
        <v>Mira Das</v>
      </c>
      <c r="J700" t="s">
        <v>88</v>
      </c>
      <c r="K700" t="str">
        <f t="shared" si="126"/>
        <v>Corporate</v>
      </c>
      <c r="L700" t="s">
        <v>23</v>
      </c>
      <c r="M700" t="str">
        <f t="shared" si="134"/>
        <v>North</v>
      </c>
      <c r="N700" t="s">
        <v>24</v>
      </c>
      <c r="O700" t="str">
        <f t="shared" si="127"/>
        <v>Rajasthan</v>
      </c>
      <c r="P700" t="s">
        <v>25</v>
      </c>
      <c r="Q700" t="str">
        <f t="shared" si="128"/>
        <v>Jaipur</v>
      </c>
      <c r="R700" t="s">
        <v>72</v>
      </c>
      <c r="S700" t="str">
        <f t="shared" si="129"/>
        <v>Technology</v>
      </c>
      <c r="T700" t="s">
        <v>273</v>
      </c>
      <c r="U700" t="str">
        <f t="shared" si="130"/>
        <v>Machines</v>
      </c>
      <c r="V700" t="s">
        <v>2207</v>
      </c>
      <c r="X700" t="s">
        <v>57</v>
      </c>
      <c r="Y700" t="str">
        <f t="shared" si="131"/>
        <v>Standard Class</v>
      </c>
      <c r="Z700">
        <v>8</v>
      </c>
      <c r="AA700">
        <v>4081.66</v>
      </c>
      <c r="AB700">
        <v>0.15</v>
      </c>
      <c r="AC700">
        <v>28208.1</v>
      </c>
      <c r="AD700">
        <v>23751.91</v>
      </c>
      <c r="AE700">
        <v>4003.38</v>
      </c>
      <c r="AF700" t="s">
        <v>30</v>
      </c>
      <c r="AG700" t="str">
        <f t="shared" si="132"/>
        <v>Paid</v>
      </c>
      <c r="AH700" t="s">
        <v>101</v>
      </c>
    </row>
    <row r="701" spans="1:34">
      <c r="A701" t="s">
        <v>2208</v>
      </c>
      <c r="B701">
        <f>COUNTIF($A:$A,A701)</f>
        <v>1</v>
      </c>
      <c r="C701" t="str">
        <f t="shared" si="123"/>
        <v>Unique</v>
      </c>
      <c r="D701" s="4">
        <v>45602</v>
      </c>
      <c r="E701">
        <f t="shared" si="124"/>
        <v>0</v>
      </c>
      <c r="F701" s="4">
        <v>45602</v>
      </c>
      <c r="G701" t="s">
        <v>2209</v>
      </c>
      <c r="H701" t="s">
        <v>51</v>
      </c>
      <c r="I701" t="str">
        <f t="shared" si="125"/>
        <v>Arjun Bose</v>
      </c>
      <c r="J701" t="s">
        <v>35</v>
      </c>
      <c r="K701" t="str">
        <f t="shared" si="126"/>
        <v>Small Business</v>
      </c>
      <c r="L701" t="s">
        <v>52</v>
      </c>
      <c r="M701" t="str">
        <f t="shared" si="134"/>
        <v>South</v>
      </c>
      <c r="N701" t="s">
        <v>173</v>
      </c>
      <c r="O701" t="str">
        <f t="shared" si="127"/>
        <v>Karnataka</v>
      </c>
      <c r="P701" t="s">
        <v>174</v>
      </c>
      <c r="Q701" t="str">
        <f t="shared" si="128"/>
        <v>Bengaluru</v>
      </c>
      <c r="R701" t="s">
        <v>39</v>
      </c>
      <c r="S701" t="str">
        <f t="shared" si="129"/>
        <v>Furniture</v>
      </c>
      <c r="T701" t="s">
        <v>156</v>
      </c>
      <c r="U701" t="str">
        <f t="shared" si="130"/>
        <v>Bookcases</v>
      </c>
      <c r="V701" t="s">
        <v>2210</v>
      </c>
      <c r="X701" t="s">
        <v>57</v>
      </c>
      <c r="Y701" t="str">
        <f t="shared" si="131"/>
        <v>Standard Class</v>
      </c>
      <c r="Z701">
        <v>9</v>
      </c>
      <c r="AA701">
        <v>1400.11</v>
      </c>
      <c r="AB701">
        <v>0.25</v>
      </c>
      <c r="AC701">
        <v>9450.74</v>
      </c>
      <c r="AD701">
        <v>7798.56</v>
      </c>
      <c r="AE701">
        <v>1652.18</v>
      </c>
      <c r="AF701" t="s">
        <v>30</v>
      </c>
      <c r="AG701" t="str">
        <f t="shared" si="132"/>
        <v>Paid</v>
      </c>
      <c r="AH701" t="s">
        <v>31</v>
      </c>
    </row>
    <row r="702" spans="1:34">
      <c r="A702" t="s">
        <v>2211</v>
      </c>
      <c r="B702">
        <f>COUNTIF($A:$A,A702)</f>
        <v>1</v>
      </c>
      <c r="C702" t="str">
        <f t="shared" si="123"/>
        <v>Unique</v>
      </c>
      <c r="D702" s="4">
        <v>45553</v>
      </c>
      <c r="E702">
        <f t="shared" si="124"/>
        <v>3</v>
      </c>
      <c r="F702" s="4">
        <v>45556</v>
      </c>
      <c r="G702" t="s">
        <v>2212</v>
      </c>
      <c r="H702" t="s">
        <v>77</v>
      </c>
      <c r="I702" t="str">
        <f t="shared" si="125"/>
        <v>Neha Gupta</v>
      </c>
      <c r="J702" t="s">
        <v>88</v>
      </c>
      <c r="K702" t="str">
        <f t="shared" si="126"/>
        <v>Corporate</v>
      </c>
      <c r="L702" t="s">
        <v>36</v>
      </c>
      <c r="M702" t="str">
        <f t="shared" si="134"/>
        <v>East</v>
      </c>
      <c r="N702" t="s">
        <v>97</v>
      </c>
      <c r="O702" t="str">
        <f t="shared" si="127"/>
        <v>West Bengal</v>
      </c>
      <c r="P702" t="s">
        <v>98</v>
      </c>
      <c r="Q702" t="str">
        <f t="shared" si="128"/>
        <v>Kolkata</v>
      </c>
      <c r="R702" t="s">
        <v>72</v>
      </c>
      <c r="S702" t="str">
        <f t="shared" si="129"/>
        <v>Technology</v>
      </c>
      <c r="T702" t="s">
        <v>273</v>
      </c>
      <c r="U702" t="str">
        <f t="shared" si="130"/>
        <v>Machines</v>
      </c>
      <c r="V702" t="s">
        <v>2213</v>
      </c>
      <c r="X702" t="s">
        <v>57</v>
      </c>
      <c r="Y702" t="str">
        <f t="shared" si="131"/>
        <v>Standard Class</v>
      </c>
      <c r="Z702">
        <v>3</v>
      </c>
      <c r="AA702">
        <v>3055.9</v>
      </c>
      <c r="AB702">
        <v>0.15</v>
      </c>
      <c r="AC702">
        <v>7792.55</v>
      </c>
      <c r="AD702">
        <v>4691.7299999999996</v>
      </c>
      <c r="AE702">
        <v>3100.82</v>
      </c>
      <c r="AF702" t="s">
        <v>30</v>
      </c>
      <c r="AG702" t="str">
        <f t="shared" si="132"/>
        <v>Paid</v>
      </c>
      <c r="AH702" t="s">
        <v>31</v>
      </c>
    </row>
    <row r="703" spans="1:34">
      <c r="A703" t="s">
        <v>2214</v>
      </c>
      <c r="B703">
        <f>COUNTIF($A:$A,A703)</f>
        <v>1</v>
      </c>
      <c r="C703" t="str">
        <f t="shared" si="123"/>
        <v>Unique</v>
      </c>
      <c r="D703" s="4">
        <v>45412</v>
      </c>
      <c r="E703">
        <f t="shared" si="124"/>
        <v>-25</v>
      </c>
      <c r="F703" s="4">
        <v>45387</v>
      </c>
      <c r="G703" t="s">
        <v>2215</v>
      </c>
      <c r="H703" t="s">
        <v>139</v>
      </c>
      <c r="I703" t="str">
        <f t="shared" si="125"/>
        <v>Rohan Mehta</v>
      </c>
      <c r="J703" t="s">
        <v>35</v>
      </c>
      <c r="K703" t="str">
        <f t="shared" si="126"/>
        <v>Small Business</v>
      </c>
      <c r="L703" t="s">
        <v>61</v>
      </c>
      <c r="M703" t="str">
        <f t="shared" si="134"/>
        <v>West</v>
      </c>
      <c r="N703" t="s">
        <v>178</v>
      </c>
      <c r="O703" t="str">
        <f t="shared" si="127"/>
        <v>Gujarat</v>
      </c>
      <c r="P703" t="s">
        <v>179</v>
      </c>
      <c r="Q703" t="str">
        <f t="shared" si="128"/>
        <v>Ahmedabad</v>
      </c>
      <c r="R703" t="s">
        <v>26</v>
      </c>
      <c r="S703" t="str">
        <f t="shared" si="129"/>
        <v>Office Supplies</v>
      </c>
      <c r="T703" t="s">
        <v>46</v>
      </c>
      <c r="U703" t="str">
        <f t="shared" si="130"/>
        <v>Art</v>
      </c>
      <c r="V703" t="s">
        <v>2216</v>
      </c>
      <c r="X703" t="s">
        <v>42</v>
      </c>
      <c r="Y703" t="str">
        <f t="shared" si="131"/>
        <v>Same Day</v>
      </c>
      <c r="Z703">
        <v>7</v>
      </c>
      <c r="AA703">
        <v>1224.94</v>
      </c>
      <c r="AB703">
        <v>0</v>
      </c>
      <c r="AC703">
        <v>8574.58</v>
      </c>
      <c r="AD703">
        <v>6685.81</v>
      </c>
      <c r="AE703">
        <v>1888.77</v>
      </c>
      <c r="AF703" t="s">
        <v>30</v>
      </c>
      <c r="AG703" t="str">
        <f t="shared" si="132"/>
        <v>Paid</v>
      </c>
      <c r="AH703" t="s">
        <v>101</v>
      </c>
    </row>
    <row r="704" spans="1:34">
      <c r="A704" t="s">
        <v>2217</v>
      </c>
      <c r="B704">
        <f>COUNTIF($A:$A,A704)</f>
        <v>1</v>
      </c>
      <c r="C704" t="str">
        <f t="shared" si="123"/>
        <v>Unique</v>
      </c>
      <c r="D704" s="4">
        <v>45690</v>
      </c>
      <c r="E704">
        <f t="shared" si="124"/>
        <v>4</v>
      </c>
      <c r="F704" s="4">
        <v>45694</v>
      </c>
      <c r="G704" t="s">
        <v>2218</v>
      </c>
      <c r="H704" t="s">
        <v>21</v>
      </c>
      <c r="I704" t="str">
        <f t="shared" si="125"/>
        <v>Karan Malhotra</v>
      </c>
      <c r="J704" t="s">
        <v>35</v>
      </c>
      <c r="K704" t="str">
        <f t="shared" si="126"/>
        <v>Small Business</v>
      </c>
      <c r="L704" t="s">
        <v>61</v>
      </c>
      <c r="M704" t="str">
        <f t="shared" si="134"/>
        <v>West</v>
      </c>
      <c r="N704" t="s">
        <v>24</v>
      </c>
      <c r="O704" t="str">
        <f t="shared" si="127"/>
        <v>Rajasthan</v>
      </c>
      <c r="P704" t="s">
        <v>107</v>
      </c>
      <c r="Q704" t="str">
        <f t="shared" si="128"/>
        <v>Udaipur</v>
      </c>
      <c r="R704" t="s">
        <v>39</v>
      </c>
      <c r="S704" t="str">
        <f t="shared" si="129"/>
        <v>Furniture</v>
      </c>
      <c r="T704" t="s">
        <v>40</v>
      </c>
      <c r="U704" t="str">
        <f t="shared" si="130"/>
        <v>Tables</v>
      </c>
      <c r="V704" t="s">
        <v>2219</v>
      </c>
      <c r="X704" t="s">
        <v>29</v>
      </c>
      <c r="Y704" t="str">
        <f t="shared" si="131"/>
        <v>Second Class</v>
      </c>
      <c r="Z704">
        <v>3</v>
      </c>
      <c r="AA704">
        <v>997.34</v>
      </c>
      <c r="AB704">
        <v>0.1</v>
      </c>
      <c r="AC704">
        <v>2692.82</v>
      </c>
      <c r="AD704">
        <v>1820.08</v>
      </c>
      <c r="AE704">
        <v>872.74</v>
      </c>
      <c r="AF704" t="s">
        <v>30</v>
      </c>
      <c r="AG704" t="str">
        <f t="shared" si="132"/>
        <v>Paid</v>
      </c>
      <c r="AH704" t="s">
        <v>31</v>
      </c>
    </row>
    <row r="705" spans="1:34">
      <c r="A705" t="s">
        <v>2220</v>
      </c>
      <c r="B705">
        <f>COUNTIF($A:$A,A705)</f>
        <v>1</v>
      </c>
      <c r="C705" t="str">
        <f t="shared" si="123"/>
        <v>Unique</v>
      </c>
      <c r="D705" s="4">
        <v>45584</v>
      </c>
      <c r="E705">
        <f t="shared" si="124"/>
        <v>1</v>
      </c>
      <c r="F705" s="4">
        <v>45585</v>
      </c>
      <c r="G705" t="s">
        <v>2221</v>
      </c>
      <c r="H705" t="s">
        <v>87</v>
      </c>
      <c r="I705" t="str">
        <f t="shared" si="125"/>
        <v>Aditi Sen</v>
      </c>
      <c r="J705" t="s">
        <v>88</v>
      </c>
      <c r="K705" t="str">
        <f t="shared" si="126"/>
        <v>Corporate</v>
      </c>
      <c r="L705" t="s">
        <v>23</v>
      </c>
      <c r="M705" t="str">
        <f t="shared" si="134"/>
        <v>North</v>
      </c>
      <c r="N705" t="s">
        <v>24</v>
      </c>
      <c r="O705" t="str">
        <f t="shared" si="127"/>
        <v>Rajasthan</v>
      </c>
      <c r="P705" t="s">
        <v>25</v>
      </c>
      <c r="Q705" t="str">
        <f t="shared" si="128"/>
        <v>Jaipur</v>
      </c>
      <c r="R705" t="s">
        <v>39</v>
      </c>
      <c r="S705" t="str">
        <f t="shared" si="129"/>
        <v>Furniture</v>
      </c>
      <c r="T705" t="s">
        <v>40</v>
      </c>
      <c r="U705" t="str">
        <f t="shared" si="130"/>
        <v>Tables</v>
      </c>
      <c r="V705" t="s">
        <v>2222</v>
      </c>
      <c r="X705" t="s">
        <v>48</v>
      </c>
      <c r="Y705" t="str">
        <f t="shared" si="131"/>
        <v>First Class</v>
      </c>
      <c r="Z705">
        <v>1</v>
      </c>
      <c r="AA705">
        <v>1150.03</v>
      </c>
      <c r="AB705">
        <v>0.1</v>
      </c>
      <c r="AC705">
        <v>1035.03</v>
      </c>
      <c r="AD705">
        <v>854.35</v>
      </c>
      <c r="AE705">
        <v>180.68</v>
      </c>
      <c r="AF705" t="s">
        <v>30</v>
      </c>
      <c r="AG705" t="str">
        <f t="shared" si="132"/>
        <v>Paid</v>
      </c>
      <c r="AH705" t="s">
        <v>31</v>
      </c>
    </row>
    <row r="706" spans="1:34">
      <c r="A706" t="s">
        <v>2223</v>
      </c>
      <c r="B706">
        <f>COUNTIF($A:$A,A706)</f>
        <v>1</v>
      </c>
      <c r="C706" t="str">
        <f t="shared" ref="C706:C769" si="135">IF(B706&gt;1,"Review Duplicate ID","Unique")</f>
        <v>Unique</v>
      </c>
      <c r="D706" s="4">
        <v>45364</v>
      </c>
      <c r="E706">
        <f t="shared" ref="E706:E769" si="136">F706-D706</f>
        <v>7</v>
      </c>
      <c r="F706" s="4">
        <v>45371</v>
      </c>
      <c r="G706" t="s">
        <v>2224</v>
      </c>
      <c r="H706" t="s">
        <v>112</v>
      </c>
      <c r="I706" t="str">
        <f t="shared" ref="I706:I769" si="137">PROPER(TRIM(H706))</f>
        <v>Priya Menon</v>
      </c>
      <c r="J706" t="s">
        <v>93</v>
      </c>
      <c r="K706" t="str">
        <f t="shared" ref="K706:K769" si="138">PROPER(TRIM(J706))</f>
        <v>Home Office</v>
      </c>
      <c r="L706" t="s">
        <v>52</v>
      </c>
      <c r="M706" t="str">
        <f t="shared" si="134"/>
        <v>South</v>
      </c>
      <c r="N706" t="s">
        <v>246</v>
      </c>
      <c r="O706" t="str">
        <f t="shared" ref="O706:O769" si="139">PROPER(TRIM(N706))</f>
        <v>Tamil Nadu</v>
      </c>
      <c r="P706" t="s">
        <v>247</v>
      </c>
      <c r="Q706" t="str">
        <f t="shared" ref="Q706:Q769" si="140">PROPER(TRIM(P706))</f>
        <v>Chennai</v>
      </c>
      <c r="R706" t="s">
        <v>39</v>
      </c>
      <c r="S706" t="str">
        <f t="shared" ref="S706:S769" si="141">PROPER(TRIM(R706))</f>
        <v>Furniture</v>
      </c>
      <c r="T706" t="s">
        <v>156</v>
      </c>
      <c r="U706" t="str">
        <f t="shared" ref="U706:U769" si="142">PROPER(TRIM(T706))</f>
        <v>Bookcases</v>
      </c>
      <c r="V706" t="s">
        <v>2225</v>
      </c>
      <c r="Y706" t="s">
        <v>2828</v>
      </c>
      <c r="Z706">
        <v>1</v>
      </c>
      <c r="AA706">
        <v>2825.63</v>
      </c>
      <c r="AB706">
        <v>0.15</v>
      </c>
      <c r="AC706">
        <v>2401.79</v>
      </c>
      <c r="AD706">
        <v>1820.34</v>
      </c>
      <c r="AE706">
        <v>581.45000000000005</v>
      </c>
      <c r="AF706" t="s">
        <v>30</v>
      </c>
      <c r="AG706" t="str">
        <f t="shared" si="132"/>
        <v>Paid</v>
      </c>
      <c r="AH706" t="s">
        <v>31</v>
      </c>
    </row>
    <row r="707" spans="1:34">
      <c r="A707" t="s">
        <v>2226</v>
      </c>
      <c r="B707">
        <f>COUNTIF($A:$A,A707)</f>
        <v>1</v>
      </c>
      <c r="C707" t="str">
        <f t="shared" si="135"/>
        <v>Unique</v>
      </c>
      <c r="D707" s="4">
        <v>45513</v>
      </c>
      <c r="E707">
        <f t="shared" si="136"/>
        <v>36</v>
      </c>
      <c r="F707" s="4">
        <v>45549</v>
      </c>
      <c r="G707" t="s">
        <v>2227</v>
      </c>
      <c r="H707" t="s">
        <v>139</v>
      </c>
      <c r="I707" t="str">
        <f t="shared" si="137"/>
        <v>Rohan Mehta</v>
      </c>
      <c r="J707" t="s">
        <v>22</v>
      </c>
      <c r="K707" t="str">
        <f t="shared" si="138"/>
        <v>Consumer</v>
      </c>
      <c r="L707" t="s">
        <v>23</v>
      </c>
      <c r="M707" t="str">
        <f t="shared" si="134"/>
        <v>North</v>
      </c>
      <c r="N707" t="s">
        <v>24</v>
      </c>
      <c r="O707" t="str">
        <f t="shared" si="139"/>
        <v>Rajasthan</v>
      </c>
      <c r="P707" t="s">
        <v>25</v>
      </c>
      <c r="Q707" t="str">
        <f t="shared" si="140"/>
        <v>Jaipur</v>
      </c>
      <c r="R707" t="s">
        <v>26</v>
      </c>
      <c r="S707" t="str">
        <f t="shared" si="141"/>
        <v>Office Supplies</v>
      </c>
      <c r="T707" t="s">
        <v>151</v>
      </c>
      <c r="U707" t="str">
        <f t="shared" si="142"/>
        <v>Binders</v>
      </c>
      <c r="V707" t="s">
        <v>2228</v>
      </c>
      <c r="X707" t="s">
        <v>57</v>
      </c>
      <c r="Y707" t="str">
        <f t="shared" ref="Y707:Y770" si="143">PROPER(TRIM(X707))</f>
        <v>Standard Class</v>
      </c>
      <c r="Z707">
        <v>5</v>
      </c>
      <c r="AA707">
        <v>3371.75</v>
      </c>
      <c r="AB707">
        <v>0.05</v>
      </c>
      <c r="AC707">
        <v>16015.81</v>
      </c>
      <c r="AD707">
        <v>11352.38</v>
      </c>
      <c r="AE707">
        <v>4663.43</v>
      </c>
      <c r="AF707" t="s">
        <v>30</v>
      </c>
      <c r="AG707" t="str">
        <f t="shared" ref="AG707:AG770" si="144">PROPER(TRIM(AF707))</f>
        <v>Paid</v>
      </c>
      <c r="AH707" t="s">
        <v>31</v>
      </c>
    </row>
    <row r="708" spans="1:34">
      <c r="A708" t="s">
        <v>2229</v>
      </c>
      <c r="B708">
        <f>COUNTIF($A:$A,A708)</f>
        <v>1</v>
      </c>
      <c r="C708" t="str">
        <f t="shared" si="135"/>
        <v>Unique</v>
      </c>
      <c r="D708" s="4">
        <v>45467</v>
      </c>
      <c r="E708">
        <f t="shared" si="136"/>
        <v>4</v>
      </c>
      <c r="F708" s="4">
        <v>45471</v>
      </c>
      <c r="G708" t="s">
        <v>2230</v>
      </c>
      <c r="H708" t="s">
        <v>45</v>
      </c>
      <c r="I708" t="str">
        <f t="shared" si="137"/>
        <v>Isha Nair</v>
      </c>
      <c r="J708" t="s">
        <v>35</v>
      </c>
      <c r="K708" t="str">
        <f t="shared" si="138"/>
        <v>Small Business</v>
      </c>
      <c r="L708" t="s">
        <v>36</v>
      </c>
      <c r="M708" t="str">
        <f t="shared" si="134"/>
        <v>East</v>
      </c>
      <c r="N708" t="s">
        <v>37</v>
      </c>
      <c r="O708" t="str">
        <f t="shared" si="139"/>
        <v>Odisha</v>
      </c>
      <c r="P708" t="s">
        <v>38</v>
      </c>
      <c r="Q708" t="str">
        <f t="shared" si="140"/>
        <v>Bhubaneswar</v>
      </c>
      <c r="R708" t="s">
        <v>26</v>
      </c>
      <c r="S708" t="str">
        <f t="shared" si="141"/>
        <v>Office Supplies</v>
      </c>
      <c r="T708" t="s">
        <v>27</v>
      </c>
      <c r="U708" t="str">
        <f t="shared" si="142"/>
        <v>Paper</v>
      </c>
      <c r="V708" t="s">
        <v>2231</v>
      </c>
      <c r="X708" t="s">
        <v>42</v>
      </c>
      <c r="Y708" t="str">
        <f t="shared" si="143"/>
        <v>Same Day</v>
      </c>
      <c r="Z708">
        <v>1</v>
      </c>
      <c r="AA708">
        <v>2112.75</v>
      </c>
      <c r="AB708">
        <v>0.1</v>
      </c>
      <c r="AC708">
        <v>1901.48</v>
      </c>
      <c r="AD708">
        <v>1354.28</v>
      </c>
      <c r="AE708">
        <v>547.20000000000005</v>
      </c>
      <c r="AF708" t="s">
        <v>30</v>
      </c>
      <c r="AG708" t="str">
        <f t="shared" si="144"/>
        <v>Paid</v>
      </c>
      <c r="AH708" t="s">
        <v>31</v>
      </c>
    </row>
    <row r="709" spans="1:34">
      <c r="A709" t="s">
        <v>2232</v>
      </c>
      <c r="B709">
        <f>COUNTIF($A:$A,A709)</f>
        <v>1</v>
      </c>
      <c r="C709" t="str">
        <f t="shared" si="135"/>
        <v>Unique</v>
      </c>
      <c r="D709" s="4">
        <v>45832</v>
      </c>
      <c r="E709">
        <f t="shared" si="136"/>
        <v>2</v>
      </c>
      <c r="F709" s="4">
        <v>45834</v>
      </c>
      <c r="G709" t="s">
        <v>2233</v>
      </c>
      <c r="H709" t="s">
        <v>69</v>
      </c>
      <c r="I709" t="str">
        <f t="shared" si="137"/>
        <v>Vikram Iyer</v>
      </c>
      <c r="J709" t="s">
        <v>22</v>
      </c>
      <c r="K709" t="str">
        <f t="shared" si="138"/>
        <v>Consumer</v>
      </c>
      <c r="L709" t="s">
        <v>23</v>
      </c>
      <c r="M709" t="str">
        <f t="shared" si="134"/>
        <v>North</v>
      </c>
      <c r="N709" t="s">
        <v>24</v>
      </c>
      <c r="O709" t="str">
        <f t="shared" si="139"/>
        <v>Rajasthan</v>
      </c>
      <c r="P709" t="s">
        <v>25</v>
      </c>
      <c r="Q709" t="str">
        <f t="shared" si="140"/>
        <v>Jaipur</v>
      </c>
      <c r="R709" t="s">
        <v>72</v>
      </c>
      <c r="S709" t="str">
        <f t="shared" si="141"/>
        <v>Technology</v>
      </c>
      <c r="T709" t="s">
        <v>73</v>
      </c>
      <c r="U709" t="str">
        <f t="shared" si="142"/>
        <v>Accessories</v>
      </c>
      <c r="V709" t="s">
        <v>2234</v>
      </c>
      <c r="X709" t="s">
        <v>42</v>
      </c>
      <c r="Y709" t="str">
        <f t="shared" si="143"/>
        <v>Same Day</v>
      </c>
      <c r="Z709">
        <v>5</v>
      </c>
      <c r="AA709">
        <v>3722.66</v>
      </c>
      <c r="AB709">
        <v>0.55000000000000004</v>
      </c>
      <c r="AC709">
        <v>16751.97</v>
      </c>
      <c r="AD709">
        <v>11678.32</v>
      </c>
      <c r="AE709">
        <v>5073.6499999999996</v>
      </c>
      <c r="AF709" t="s">
        <v>30</v>
      </c>
      <c r="AG709" t="str">
        <f t="shared" si="144"/>
        <v>Paid</v>
      </c>
      <c r="AH709" t="s">
        <v>31</v>
      </c>
    </row>
    <row r="710" spans="1:34">
      <c r="A710" t="s">
        <v>2235</v>
      </c>
      <c r="B710">
        <f>COUNTIF($A:$A,A710)</f>
        <v>1</v>
      </c>
      <c r="C710" t="str">
        <f t="shared" si="135"/>
        <v>Unique</v>
      </c>
      <c r="D710" s="4">
        <v>45736</v>
      </c>
      <c r="E710">
        <f t="shared" si="136"/>
        <v>6</v>
      </c>
      <c r="F710" s="4">
        <v>45742</v>
      </c>
      <c r="G710" t="s">
        <v>2236</v>
      </c>
      <c r="H710" t="s">
        <v>130</v>
      </c>
      <c r="I710" t="str">
        <f t="shared" si="137"/>
        <v>Sneha Kapoor</v>
      </c>
      <c r="J710" t="s">
        <v>22</v>
      </c>
      <c r="K710" t="str">
        <f t="shared" si="138"/>
        <v>Consumer</v>
      </c>
      <c r="L710" t="s">
        <v>36</v>
      </c>
      <c r="M710" t="str">
        <f t="shared" si="134"/>
        <v>East</v>
      </c>
      <c r="N710" t="s">
        <v>164</v>
      </c>
      <c r="O710" t="str">
        <f t="shared" si="139"/>
        <v>Assam</v>
      </c>
      <c r="P710" t="s">
        <v>165</v>
      </c>
      <c r="Q710" t="str">
        <f t="shared" si="140"/>
        <v>Guwahati</v>
      </c>
      <c r="R710" t="s">
        <v>39</v>
      </c>
      <c r="S710" t="str">
        <f t="shared" si="141"/>
        <v>Furniture</v>
      </c>
      <c r="T710" t="s">
        <v>156</v>
      </c>
      <c r="U710" t="str">
        <f t="shared" si="142"/>
        <v>Bookcases</v>
      </c>
      <c r="V710" t="s">
        <v>2237</v>
      </c>
      <c r="X710" t="s">
        <v>48</v>
      </c>
      <c r="Y710" t="str">
        <f t="shared" si="143"/>
        <v>First Class</v>
      </c>
      <c r="Z710">
        <v>4</v>
      </c>
      <c r="AA710">
        <v>4357.66</v>
      </c>
      <c r="AB710">
        <v>0.05</v>
      </c>
      <c r="AC710">
        <v>16559.11</v>
      </c>
      <c r="AD710">
        <v>13233.79</v>
      </c>
      <c r="AE710">
        <v>3325.32</v>
      </c>
      <c r="AF710" t="s">
        <v>30</v>
      </c>
      <c r="AG710" t="str">
        <f t="shared" si="144"/>
        <v>Paid</v>
      </c>
      <c r="AH710" t="s">
        <v>31</v>
      </c>
    </row>
    <row r="711" spans="1:34">
      <c r="A711" t="s">
        <v>2238</v>
      </c>
      <c r="B711">
        <f>COUNTIF($A:$A,A711)</f>
        <v>1</v>
      </c>
      <c r="C711" t="str">
        <f t="shared" si="135"/>
        <v>Unique</v>
      </c>
      <c r="D711" s="4">
        <v>45676</v>
      </c>
      <c r="E711">
        <f t="shared" si="136"/>
        <v>4</v>
      </c>
      <c r="F711" s="4">
        <v>45680</v>
      </c>
      <c r="G711" t="s">
        <v>2239</v>
      </c>
      <c r="H711" t="s">
        <v>263</v>
      </c>
      <c r="I711" t="str">
        <f t="shared" si="137"/>
        <v>Kabir Singh</v>
      </c>
      <c r="J711" t="s">
        <v>93</v>
      </c>
      <c r="K711" t="str">
        <f t="shared" si="138"/>
        <v>Home Office</v>
      </c>
      <c r="L711" t="s">
        <v>23</v>
      </c>
      <c r="M711" t="str">
        <f t="shared" si="134"/>
        <v>North</v>
      </c>
      <c r="N711" t="s">
        <v>120</v>
      </c>
      <c r="O711" t="str">
        <f t="shared" si="139"/>
        <v>Punjab</v>
      </c>
      <c r="P711" t="s">
        <v>121</v>
      </c>
      <c r="Q711" t="str">
        <f t="shared" si="140"/>
        <v>Ludhiana</v>
      </c>
      <c r="R711" t="s">
        <v>72</v>
      </c>
      <c r="S711" t="str">
        <f t="shared" si="141"/>
        <v>Technology</v>
      </c>
      <c r="T711" t="s">
        <v>169</v>
      </c>
      <c r="U711" t="str">
        <f t="shared" si="142"/>
        <v>Phones</v>
      </c>
      <c r="V711" t="s">
        <v>2240</v>
      </c>
      <c r="X711" t="s">
        <v>42</v>
      </c>
      <c r="Y711" t="str">
        <f t="shared" si="143"/>
        <v>Same Day</v>
      </c>
      <c r="Z711">
        <v>7</v>
      </c>
      <c r="AA711">
        <v>1363.04</v>
      </c>
      <c r="AB711">
        <v>0.15</v>
      </c>
      <c r="AC711">
        <v>8110.09</v>
      </c>
      <c r="AD711">
        <v>6417.32</v>
      </c>
      <c r="AE711">
        <v>1692.77</v>
      </c>
      <c r="AF711" t="s">
        <v>30</v>
      </c>
      <c r="AG711" t="str">
        <f t="shared" si="144"/>
        <v>Paid</v>
      </c>
      <c r="AH711" t="s">
        <v>66</v>
      </c>
    </row>
    <row r="712" spans="1:34">
      <c r="A712" t="s">
        <v>2241</v>
      </c>
      <c r="B712">
        <f>COUNTIF($A:$A,A712)</f>
        <v>1</v>
      </c>
      <c r="C712" t="str">
        <f t="shared" si="135"/>
        <v>Unique</v>
      </c>
      <c r="D712" s="4">
        <v>45485</v>
      </c>
      <c r="E712">
        <f t="shared" si="136"/>
        <v>7</v>
      </c>
      <c r="F712" s="4">
        <v>45492</v>
      </c>
      <c r="G712" t="s">
        <v>2242</v>
      </c>
      <c r="H712" t="s">
        <v>69</v>
      </c>
      <c r="I712" t="str">
        <f t="shared" si="137"/>
        <v>Vikram Iyer</v>
      </c>
      <c r="J712" t="s">
        <v>88</v>
      </c>
      <c r="K712" t="str">
        <f t="shared" si="138"/>
        <v>Corporate</v>
      </c>
      <c r="L712" t="s">
        <v>23</v>
      </c>
      <c r="M712" t="str">
        <f t="shared" si="134"/>
        <v>North</v>
      </c>
      <c r="N712" t="s">
        <v>120</v>
      </c>
      <c r="O712" t="str">
        <f t="shared" si="139"/>
        <v>Punjab</v>
      </c>
      <c r="P712" t="s">
        <v>121</v>
      </c>
      <c r="Q712" t="str">
        <f t="shared" si="140"/>
        <v>Ludhiana</v>
      </c>
      <c r="R712" t="s">
        <v>26</v>
      </c>
      <c r="S712" t="str">
        <f t="shared" si="141"/>
        <v>Office Supplies</v>
      </c>
      <c r="T712" t="s">
        <v>46</v>
      </c>
      <c r="U712" t="str">
        <f t="shared" si="142"/>
        <v>Art</v>
      </c>
      <c r="V712" t="s">
        <v>2243</v>
      </c>
      <c r="X712" t="s">
        <v>29</v>
      </c>
      <c r="Y712" t="str">
        <f t="shared" si="143"/>
        <v>Second Class</v>
      </c>
      <c r="Z712">
        <v>5</v>
      </c>
      <c r="AA712">
        <v>1559.16</v>
      </c>
      <c r="AB712">
        <v>0.05</v>
      </c>
      <c r="AC712">
        <v>7406.01</v>
      </c>
      <c r="AD712">
        <v>5941.74</v>
      </c>
      <c r="AE712">
        <v>1464.27</v>
      </c>
      <c r="AF712" t="s">
        <v>30</v>
      </c>
      <c r="AG712" t="str">
        <f t="shared" si="144"/>
        <v>Paid</v>
      </c>
      <c r="AH712" t="s">
        <v>31</v>
      </c>
    </row>
    <row r="713" spans="1:34">
      <c r="A713" t="s">
        <v>2244</v>
      </c>
      <c r="B713">
        <f>COUNTIF($A:$A,A713)</f>
        <v>1</v>
      </c>
      <c r="C713" t="str">
        <f t="shared" si="135"/>
        <v>Unique</v>
      </c>
      <c r="D713" s="4">
        <v>45690</v>
      </c>
      <c r="E713">
        <f t="shared" si="136"/>
        <v>0</v>
      </c>
      <c r="F713" s="4">
        <v>45690</v>
      </c>
      <c r="G713" t="s">
        <v>2245</v>
      </c>
      <c r="H713" t="s">
        <v>263</v>
      </c>
      <c r="I713" t="str">
        <f t="shared" si="137"/>
        <v>Kabir Singh</v>
      </c>
      <c r="J713" t="s">
        <v>88</v>
      </c>
      <c r="K713" t="str">
        <f t="shared" si="138"/>
        <v>Corporate</v>
      </c>
      <c r="L713" t="s">
        <v>36</v>
      </c>
      <c r="M713" t="str">
        <f t="shared" si="134"/>
        <v>East</v>
      </c>
      <c r="N713" t="s">
        <v>97</v>
      </c>
      <c r="O713" t="str">
        <f t="shared" si="139"/>
        <v>West Bengal</v>
      </c>
      <c r="P713" t="s">
        <v>98</v>
      </c>
      <c r="Q713" t="str">
        <f t="shared" si="140"/>
        <v>Kolkata</v>
      </c>
      <c r="R713" t="s">
        <v>72</v>
      </c>
      <c r="S713" t="str">
        <f t="shared" si="141"/>
        <v>Technology</v>
      </c>
      <c r="T713" t="s">
        <v>273</v>
      </c>
      <c r="U713" t="str">
        <f t="shared" si="142"/>
        <v>Machines</v>
      </c>
      <c r="V713" t="s">
        <v>2246</v>
      </c>
      <c r="X713" t="s">
        <v>48</v>
      </c>
      <c r="Y713" t="str">
        <f t="shared" si="143"/>
        <v>First Class</v>
      </c>
      <c r="Z713">
        <v>1</v>
      </c>
      <c r="AA713">
        <v>4326.75</v>
      </c>
      <c r="AB713">
        <v>0.05</v>
      </c>
      <c r="AC713">
        <v>4110.41</v>
      </c>
      <c r="AD713">
        <v>2394.14</v>
      </c>
      <c r="AE713">
        <v>1716.27</v>
      </c>
      <c r="AF713" t="s">
        <v>109</v>
      </c>
      <c r="AG713" t="str">
        <f t="shared" si="144"/>
        <v>Pending</v>
      </c>
      <c r="AH713" t="s">
        <v>101</v>
      </c>
    </row>
    <row r="714" spans="1:34">
      <c r="A714" t="s">
        <v>2247</v>
      </c>
      <c r="B714">
        <f>COUNTIF($A:$A,A714)</f>
        <v>1</v>
      </c>
      <c r="C714" t="str">
        <f t="shared" si="135"/>
        <v>Unique</v>
      </c>
      <c r="D714" s="4">
        <v>45567</v>
      </c>
      <c r="E714">
        <f t="shared" si="136"/>
        <v>-227</v>
      </c>
      <c r="F714" s="4">
        <v>45340</v>
      </c>
      <c r="G714" t="s">
        <v>2248</v>
      </c>
      <c r="H714" t="s">
        <v>45</v>
      </c>
      <c r="I714" t="str">
        <f t="shared" si="137"/>
        <v>Isha Nair</v>
      </c>
      <c r="J714" t="s">
        <v>93</v>
      </c>
      <c r="K714" t="str">
        <f t="shared" si="138"/>
        <v>Home Office</v>
      </c>
      <c r="L714" t="s">
        <v>61</v>
      </c>
      <c r="M714" t="str">
        <f t="shared" si="134"/>
        <v>West</v>
      </c>
      <c r="N714" t="s">
        <v>70</v>
      </c>
      <c r="O714" t="str">
        <f t="shared" si="139"/>
        <v>Madhya Pradesh</v>
      </c>
      <c r="P714" t="s">
        <v>71</v>
      </c>
      <c r="Q714" t="str">
        <f t="shared" si="140"/>
        <v>Indore</v>
      </c>
      <c r="R714" t="s">
        <v>39</v>
      </c>
      <c r="S714" t="str">
        <f t="shared" si="141"/>
        <v>Furniture</v>
      </c>
      <c r="T714" t="s">
        <v>64</v>
      </c>
      <c r="U714" t="str">
        <f t="shared" si="142"/>
        <v>Chairs</v>
      </c>
      <c r="V714" t="s">
        <v>2249</v>
      </c>
      <c r="X714" t="s">
        <v>48</v>
      </c>
      <c r="Y714" t="str">
        <f t="shared" si="143"/>
        <v>First Class</v>
      </c>
      <c r="Z714">
        <v>7</v>
      </c>
      <c r="AA714">
        <v>1382.86</v>
      </c>
      <c r="AB714">
        <v>0</v>
      </c>
      <c r="AC714">
        <v>9680.02</v>
      </c>
      <c r="AD714">
        <v>6876.66</v>
      </c>
      <c r="AE714">
        <v>2803.36</v>
      </c>
      <c r="AF714" t="s">
        <v>30</v>
      </c>
      <c r="AG714" t="str">
        <f t="shared" si="144"/>
        <v>Paid</v>
      </c>
      <c r="AH714" t="s">
        <v>31</v>
      </c>
    </row>
    <row r="715" spans="1:34">
      <c r="A715" t="s">
        <v>2250</v>
      </c>
      <c r="B715">
        <f>COUNTIF($A:$A,A715)</f>
        <v>1</v>
      </c>
      <c r="C715" t="str">
        <f t="shared" si="135"/>
        <v>Unique</v>
      </c>
      <c r="D715" s="4">
        <v>45814</v>
      </c>
      <c r="E715">
        <f t="shared" si="136"/>
        <v>4</v>
      </c>
      <c r="F715" s="4">
        <v>45818</v>
      </c>
      <c r="G715" t="s">
        <v>604</v>
      </c>
      <c r="H715" t="s">
        <v>34</v>
      </c>
      <c r="I715" t="str">
        <f t="shared" si="137"/>
        <v>Mira Das</v>
      </c>
      <c r="J715" t="s">
        <v>22</v>
      </c>
      <c r="K715" t="str">
        <f t="shared" si="138"/>
        <v>Consumer</v>
      </c>
      <c r="L715" t="s">
        <v>61</v>
      </c>
      <c r="M715" t="str">
        <f t="shared" si="134"/>
        <v>West</v>
      </c>
      <c r="N715" t="s">
        <v>24</v>
      </c>
      <c r="O715" t="str">
        <f t="shared" si="139"/>
        <v>Rajasthan</v>
      </c>
      <c r="P715" t="s">
        <v>107</v>
      </c>
      <c r="Q715" t="str">
        <f t="shared" si="140"/>
        <v>Udaipur</v>
      </c>
      <c r="R715" t="s">
        <v>72</v>
      </c>
      <c r="S715" t="str">
        <f t="shared" si="141"/>
        <v>Technology</v>
      </c>
      <c r="T715" t="s">
        <v>273</v>
      </c>
      <c r="U715" t="str">
        <f t="shared" si="142"/>
        <v>Machines</v>
      </c>
      <c r="V715" t="s">
        <v>2251</v>
      </c>
      <c r="X715" t="s">
        <v>29</v>
      </c>
      <c r="Y715" t="str">
        <f t="shared" si="143"/>
        <v>Second Class</v>
      </c>
      <c r="Z715">
        <v>1</v>
      </c>
      <c r="AA715">
        <v>289.97000000000003</v>
      </c>
      <c r="AB715">
        <v>0.25</v>
      </c>
      <c r="AC715">
        <v>217.48</v>
      </c>
      <c r="AD715">
        <v>132.13</v>
      </c>
      <c r="AE715">
        <v>85.35</v>
      </c>
      <c r="AF715" t="s">
        <v>30</v>
      </c>
      <c r="AG715" t="str">
        <f t="shared" si="144"/>
        <v>Paid</v>
      </c>
      <c r="AH715" t="s">
        <v>31</v>
      </c>
    </row>
    <row r="716" spans="1:34">
      <c r="A716" t="s">
        <v>2252</v>
      </c>
      <c r="B716">
        <f>COUNTIF($A:$A,A716)</f>
        <v>1</v>
      </c>
      <c r="C716" t="str">
        <f t="shared" si="135"/>
        <v>Unique</v>
      </c>
      <c r="D716" s="4">
        <v>45738</v>
      </c>
      <c r="E716">
        <f t="shared" si="136"/>
        <v>1</v>
      </c>
      <c r="F716" s="4">
        <v>45739</v>
      </c>
      <c r="G716" t="s">
        <v>2253</v>
      </c>
      <c r="H716" t="s">
        <v>21</v>
      </c>
      <c r="I716" t="str">
        <f t="shared" si="137"/>
        <v>Karan Malhotra</v>
      </c>
      <c r="J716" t="s">
        <v>93</v>
      </c>
      <c r="K716" t="str">
        <f t="shared" si="138"/>
        <v>Home Office</v>
      </c>
      <c r="L716" t="s">
        <v>23</v>
      </c>
      <c r="M716" t="str">
        <f t="shared" si="134"/>
        <v>North</v>
      </c>
      <c r="N716" t="s">
        <v>349</v>
      </c>
      <c r="O716" t="str">
        <f t="shared" si="139"/>
        <v>Delhi</v>
      </c>
      <c r="P716" t="s">
        <v>350</v>
      </c>
      <c r="Q716" t="str">
        <f t="shared" si="140"/>
        <v>New Delhi</v>
      </c>
      <c r="R716" t="s">
        <v>72</v>
      </c>
      <c r="S716" t="str">
        <f t="shared" si="141"/>
        <v>Technology</v>
      </c>
      <c r="T716" t="s">
        <v>78</v>
      </c>
      <c r="U716" t="str">
        <f t="shared" si="142"/>
        <v>Copiers</v>
      </c>
      <c r="V716" t="s">
        <v>2254</v>
      </c>
      <c r="X716" t="s">
        <v>57</v>
      </c>
      <c r="Y716" t="str">
        <f t="shared" si="143"/>
        <v>Standard Class</v>
      </c>
      <c r="Z716">
        <v>9</v>
      </c>
      <c r="AA716">
        <v>2075.02</v>
      </c>
      <c r="AB716">
        <v>0</v>
      </c>
      <c r="AC716">
        <v>18675.18</v>
      </c>
      <c r="AD716">
        <v>13974.7</v>
      </c>
      <c r="AE716">
        <v>4700.4799999999996</v>
      </c>
      <c r="AF716" t="s">
        <v>30</v>
      </c>
      <c r="AG716" t="str">
        <f t="shared" si="144"/>
        <v>Paid</v>
      </c>
      <c r="AH716" t="s">
        <v>31</v>
      </c>
    </row>
    <row r="717" spans="1:34">
      <c r="A717" t="s">
        <v>2255</v>
      </c>
      <c r="B717">
        <f>COUNTIF($A:$A,A717)</f>
        <v>1</v>
      </c>
      <c r="C717" t="str">
        <f t="shared" si="135"/>
        <v>Unique</v>
      </c>
      <c r="D717" s="4">
        <v>45891</v>
      </c>
      <c r="E717">
        <f t="shared" si="136"/>
        <v>5</v>
      </c>
      <c r="F717" s="4">
        <v>45896</v>
      </c>
      <c r="G717" t="s">
        <v>2256</v>
      </c>
      <c r="H717" t="s">
        <v>112</v>
      </c>
      <c r="I717" t="str">
        <f t="shared" si="137"/>
        <v>Priya Menon</v>
      </c>
      <c r="J717" t="s">
        <v>22</v>
      </c>
      <c r="K717" t="str">
        <f t="shared" si="138"/>
        <v>Consumer</v>
      </c>
      <c r="L717" t="s">
        <v>23</v>
      </c>
      <c r="M717" t="str">
        <f t="shared" si="134"/>
        <v>North</v>
      </c>
      <c r="N717" t="s">
        <v>235</v>
      </c>
      <c r="O717" t="str">
        <f t="shared" si="139"/>
        <v>Haryana</v>
      </c>
      <c r="P717" t="s">
        <v>236</v>
      </c>
      <c r="Q717" t="str">
        <f t="shared" si="140"/>
        <v>Gurugram</v>
      </c>
      <c r="R717" t="s">
        <v>39</v>
      </c>
      <c r="S717" t="str">
        <f t="shared" si="141"/>
        <v>Furniture</v>
      </c>
      <c r="T717" t="s">
        <v>64</v>
      </c>
      <c r="U717" t="str">
        <f t="shared" si="142"/>
        <v>Chairs</v>
      </c>
      <c r="V717" t="s">
        <v>2257</v>
      </c>
      <c r="X717" t="s">
        <v>29</v>
      </c>
      <c r="Y717" t="str">
        <f t="shared" si="143"/>
        <v>Second Class</v>
      </c>
      <c r="Z717">
        <v>7</v>
      </c>
      <c r="AA717">
        <v>2843.09</v>
      </c>
      <c r="AB717">
        <v>0</v>
      </c>
      <c r="AC717">
        <v>19901.63</v>
      </c>
      <c r="AD717">
        <v>15492.03</v>
      </c>
      <c r="AE717">
        <v>4409.6000000000004</v>
      </c>
      <c r="AF717" t="s">
        <v>100</v>
      </c>
      <c r="AG717" t="str">
        <f t="shared" si="144"/>
        <v>Refunded</v>
      </c>
      <c r="AH717" t="s">
        <v>66</v>
      </c>
    </row>
    <row r="718" spans="1:34">
      <c r="A718" t="s">
        <v>2258</v>
      </c>
      <c r="B718">
        <f>COUNTIF($A:$A,A718)</f>
        <v>1</v>
      </c>
      <c r="C718" t="str">
        <f t="shared" si="135"/>
        <v>Unique</v>
      </c>
      <c r="D718" s="4">
        <v>45895</v>
      </c>
      <c r="E718">
        <f t="shared" si="136"/>
        <v>5</v>
      </c>
      <c r="F718" s="4">
        <v>45900</v>
      </c>
      <c r="G718" t="s">
        <v>2259</v>
      </c>
      <c r="H718" t="s">
        <v>160</v>
      </c>
      <c r="I718" t="str">
        <f t="shared" si="137"/>
        <v>Diya Patel</v>
      </c>
      <c r="J718" t="s">
        <v>35</v>
      </c>
      <c r="K718" t="str">
        <f t="shared" si="138"/>
        <v>Small Business</v>
      </c>
      <c r="L718" t="s">
        <v>23</v>
      </c>
      <c r="M718" t="str">
        <f t="shared" si="134"/>
        <v>North</v>
      </c>
      <c r="N718" t="s">
        <v>235</v>
      </c>
      <c r="O718" t="str">
        <f t="shared" si="139"/>
        <v>Haryana</v>
      </c>
      <c r="P718" t="s">
        <v>236</v>
      </c>
      <c r="Q718" t="str">
        <f t="shared" si="140"/>
        <v>Gurugram</v>
      </c>
      <c r="R718" t="s">
        <v>72</v>
      </c>
      <c r="S718" t="str">
        <f t="shared" si="141"/>
        <v>Technology</v>
      </c>
      <c r="T718" t="s">
        <v>169</v>
      </c>
      <c r="U718" t="str">
        <f t="shared" si="142"/>
        <v>Phones</v>
      </c>
      <c r="V718" t="s">
        <v>2260</v>
      </c>
      <c r="X718" t="s">
        <v>48</v>
      </c>
      <c r="Y718" t="str">
        <f t="shared" si="143"/>
        <v>First Class</v>
      </c>
      <c r="Z718">
        <v>1</v>
      </c>
      <c r="AA718">
        <v>3388.02</v>
      </c>
      <c r="AB718">
        <v>0.15</v>
      </c>
      <c r="AC718">
        <v>2879.82</v>
      </c>
      <c r="AD718">
        <v>1824.88</v>
      </c>
      <c r="AE718">
        <v>1054.94</v>
      </c>
      <c r="AF718" t="s">
        <v>30</v>
      </c>
      <c r="AG718" t="str">
        <f t="shared" si="144"/>
        <v>Paid</v>
      </c>
      <c r="AH718" t="s">
        <v>31</v>
      </c>
    </row>
    <row r="719" spans="1:34">
      <c r="A719" t="s">
        <v>2261</v>
      </c>
      <c r="B719">
        <f>COUNTIF($A:$A,A719)</f>
        <v>1</v>
      </c>
      <c r="C719" t="str">
        <f t="shared" si="135"/>
        <v>Unique</v>
      </c>
      <c r="D719" s="4">
        <v>46001</v>
      </c>
      <c r="E719">
        <f t="shared" si="136"/>
        <v>-56</v>
      </c>
      <c r="F719" s="4">
        <v>45945</v>
      </c>
      <c r="G719" t="s">
        <v>2262</v>
      </c>
      <c r="H719" t="s">
        <v>263</v>
      </c>
      <c r="I719" t="str">
        <f t="shared" si="137"/>
        <v>Kabir Singh</v>
      </c>
      <c r="J719" t="s">
        <v>35</v>
      </c>
      <c r="K719" t="str">
        <f t="shared" si="138"/>
        <v>Small Business</v>
      </c>
      <c r="L719" t="s">
        <v>23</v>
      </c>
      <c r="M719" t="str">
        <f t="shared" si="134"/>
        <v>North</v>
      </c>
      <c r="N719" t="s">
        <v>235</v>
      </c>
      <c r="O719" t="str">
        <f t="shared" si="139"/>
        <v>Haryana</v>
      </c>
      <c r="P719" t="s">
        <v>236</v>
      </c>
      <c r="Q719" t="str">
        <f t="shared" si="140"/>
        <v>Gurugram</v>
      </c>
      <c r="R719" t="s">
        <v>72</v>
      </c>
      <c r="S719" t="str">
        <f t="shared" si="141"/>
        <v>Technology</v>
      </c>
      <c r="T719" t="s">
        <v>273</v>
      </c>
      <c r="U719" t="str">
        <f t="shared" si="142"/>
        <v>Machines</v>
      </c>
      <c r="V719" t="s">
        <v>2263</v>
      </c>
      <c r="X719" t="s">
        <v>57</v>
      </c>
      <c r="Y719" t="str">
        <f t="shared" si="143"/>
        <v>Standard Class</v>
      </c>
      <c r="Z719">
        <v>9</v>
      </c>
      <c r="AA719">
        <v>2598.92</v>
      </c>
      <c r="AB719">
        <v>0.2</v>
      </c>
      <c r="AC719">
        <v>18712.22</v>
      </c>
      <c r="AD719">
        <v>11852.22</v>
      </c>
      <c r="AE719">
        <v>6860</v>
      </c>
      <c r="AF719" t="s">
        <v>109</v>
      </c>
      <c r="AG719" t="str">
        <f t="shared" si="144"/>
        <v>Pending</v>
      </c>
      <c r="AH719" t="s">
        <v>66</v>
      </c>
    </row>
    <row r="720" spans="1:34">
      <c r="A720" t="s">
        <v>2264</v>
      </c>
      <c r="B720">
        <f>COUNTIF($A:$A,A720)</f>
        <v>1</v>
      </c>
      <c r="C720" t="str">
        <f t="shared" si="135"/>
        <v>Unique</v>
      </c>
      <c r="D720" s="4">
        <v>45452</v>
      </c>
      <c r="E720">
        <f t="shared" si="136"/>
        <v>92</v>
      </c>
      <c r="F720" s="4">
        <v>45544</v>
      </c>
      <c r="G720" t="s">
        <v>2265</v>
      </c>
      <c r="H720" t="s">
        <v>34</v>
      </c>
      <c r="I720" t="str">
        <f t="shared" si="137"/>
        <v>Mira Das</v>
      </c>
      <c r="J720" t="s">
        <v>22</v>
      </c>
      <c r="K720" t="str">
        <f t="shared" si="138"/>
        <v>Consumer</v>
      </c>
      <c r="L720" t="s">
        <v>61</v>
      </c>
      <c r="M720" t="str">
        <f t="shared" si="134"/>
        <v>West</v>
      </c>
      <c r="N720" t="s">
        <v>62</v>
      </c>
      <c r="O720" t="str">
        <f t="shared" si="139"/>
        <v>Maharashtra</v>
      </c>
      <c r="P720" t="s">
        <v>63</v>
      </c>
      <c r="Q720" t="str">
        <f t="shared" si="140"/>
        <v>Mumbai</v>
      </c>
      <c r="R720" t="s">
        <v>26</v>
      </c>
      <c r="S720" t="str">
        <f t="shared" si="141"/>
        <v>Office Supplies</v>
      </c>
      <c r="T720" t="s">
        <v>46</v>
      </c>
      <c r="U720" t="str">
        <f t="shared" si="142"/>
        <v>Art</v>
      </c>
      <c r="V720" t="s">
        <v>2266</v>
      </c>
      <c r="X720" t="s">
        <v>42</v>
      </c>
      <c r="Y720" t="str">
        <f t="shared" si="143"/>
        <v>Same Day</v>
      </c>
      <c r="Z720">
        <v>3</v>
      </c>
      <c r="AA720">
        <v>1972.27</v>
      </c>
      <c r="AB720">
        <v>0.2</v>
      </c>
      <c r="AC720">
        <v>4733.45</v>
      </c>
      <c r="AD720">
        <v>3672.32</v>
      </c>
      <c r="AE720">
        <v>1061.1300000000001</v>
      </c>
      <c r="AF720" t="s">
        <v>30</v>
      </c>
      <c r="AG720" t="str">
        <f t="shared" si="144"/>
        <v>Paid</v>
      </c>
      <c r="AH720" t="s">
        <v>31</v>
      </c>
    </row>
    <row r="721" spans="1:34">
      <c r="A721" t="s">
        <v>2267</v>
      </c>
      <c r="B721">
        <f>COUNTIF($A:$A,A721)</f>
        <v>1</v>
      </c>
      <c r="C721" t="str">
        <f t="shared" si="135"/>
        <v>Unique</v>
      </c>
      <c r="D721" s="4">
        <v>45878</v>
      </c>
      <c r="E721">
        <f t="shared" si="136"/>
        <v>31</v>
      </c>
      <c r="F721" s="4">
        <v>45909</v>
      </c>
      <c r="G721" t="s">
        <v>142</v>
      </c>
      <c r="H721" t="s">
        <v>263</v>
      </c>
      <c r="I721" t="str">
        <f t="shared" si="137"/>
        <v>Kabir Singh</v>
      </c>
      <c r="J721" t="s">
        <v>88</v>
      </c>
      <c r="K721" t="str">
        <f t="shared" si="138"/>
        <v>Corporate</v>
      </c>
      <c r="L721" t="s">
        <v>61</v>
      </c>
      <c r="M721" t="str">
        <f t="shared" si="134"/>
        <v>West</v>
      </c>
      <c r="N721" t="s">
        <v>178</v>
      </c>
      <c r="O721" t="str">
        <f t="shared" si="139"/>
        <v>Gujarat</v>
      </c>
      <c r="P721" t="s">
        <v>179</v>
      </c>
      <c r="Q721" t="str">
        <f t="shared" si="140"/>
        <v>Ahmedabad</v>
      </c>
      <c r="R721" t="s">
        <v>26</v>
      </c>
      <c r="S721" t="str">
        <f t="shared" si="141"/>
        <v>Office Supplies</v>
      </c>
      <c r="T721" t="s">
        <v>46</v>
      </c>
      <c r="U721" t="str">
        <f t="shared" si="142"/>
        <v>Art</v>
      </c>
      <c r="V721" t="s">
        <v>2268</v>
      </c>
      <c r="X721" t="s">
        <v>42</v>
      </c>
      <c r="Y721" t="str">
        <f t="shared" si="143"/>
        <v>Same Day</v>
      </c>
      <c r="Z721">
        <v>2</v>
      </c>
      <c r="AA721">
        <v>2372.41</v>
      </c>
      <c r="AB721">
        <v>0.2</v>
      </c>
      <c r="AC721">
        <v>3795.86</v>
      </c>
      <c r="AD721">
        <v>2264.92</v>
      </c>
      <c r="AE721">
        <v>1530.94</v>
      </c>
      <c r="AF721" t="s">
        <v>30</v>
      </c>
      <c r="AG721" t="str">
        <f t="shared" si="144"/>
        <v>Paid</v>
      </c>
      <c r="AH721" t="s">
        <v>31</v>
      </c>
    </row>
    <row r="722" spans="1:34">
      <c r="A722" t="s">
        <v>2269</v>
      </c>
      <c r="B722">
        <f>COUNTIF($A:$A,A722)</f>
        <v>1</v>
      </c>
      <c r="C722" t="str">
        <f t="shared" si="135"/>
        <v>Unique</v>
      </c>
      <c r="D722" s="4">
        <v>45489</v>
      </c>
      <c r="E722">
        <f t="shared" si="136"/>
        <v>0</v>
      </c>
      <c r="F722" s="4">
        <v>45489</v>
      </c>
      <c r="G722" t="s">
        <v>2270</v>
      </c>
      <c r="H722" t="s">
        <v>87</v>
      </c>
      <c r="I722" t="str">
        <f t="shared" si="137"/>
        <v>Aditi Sen</v>
      </c>
      <c r="J722" t="s">
        <v>93</v>
      </c>
      <c r="K722" t="str">
        <f t="shared" si="138"/>
        <v>Home Office</v>
      </c>
      <c r="L722" t="s">
        <v>61</v>
      </c>
      <c r="M722" t="str">
        <f t="shared" si="134"/>
        <v>West</v>
      </c>
      <c r="N722" t="s">
        <v>70</v>
      </c>
      <c r="O722" t="str">
        <f t="shared" si="139"/>
        <v>Madhya Pradesh</v>
      </c>
      <c r="P722" t="s">
        <v>71</v>
      </c>
      <c r="Q722" t="str">
        <f t="shared" si="140"/>
        <v>Indore</v>
      </c>
      <c r="R722" t="s">
        <v>72</v>
      </c>
      <c r="S722" t="str">
        <f t="shared" si="141"/>
        <v>Technology</v>
      </c>
      <c r="T722" t="s">
        <v>78</v>
      </c>
      <c r="U722" t="str">
        <f t="shared" si="142"/>
        <v>Copiers</v>
      </c>
      <c r="V722" t="s">
        <v>2271</v>
      </c>
      <c r="X722" t="s">
        <v>42</v>
      </c>
      <c r="Y722" t="str">
        <f t="shared" si="143"/>
        <v>Same Day</v>
      </c>
      <c r="Z722">
        <v>4</v>
      </c>
      <c r="AA722">
        <v>4479.92</v>
      </c>
      <c r="AB722">
        <v>0.15</v>
      </c>
      <c r="AC722">
        <v>15231.73</v>
      </c>
      <c r="AD722">
        <v>12451.46</v>
      </c>
      <c r="AE722">
        <v>2780.27</v>
      </c>
      <c r="AF722" t="s">
        <v>30</v>
      </c>
      <c r="AG722" t="str">
        <f t="shared" si="144"/>
        <v>Paid</v>
      </c>
      <c r="AH722" t="s">
        <v>31</v>
      </c>
    </row>
    <row r="723" spans="1:34">
      <c r="A723" t="s">
        <v>2272</v>
      </c>
      <c r="B723">
        <f>COUNTIF($A:$A,A723)</f>
        <v>1</v>
      </c>
      <c r="C723" t="str">
        <f t="shared" si="135"/>
        <v>Unique</v>
      </c>
      <c r="D723" s="4">
        <v>45827</v>
      </c>
      <c r="E723">
        <f t="shared" si="136"/>
        <v>4</v>
      </c>
      <c r="F723" s="4">
        <v>45831</v>
      </c>
      <c r="G723" t="s">
        <v>2273</v>
      </c>
      <c r="H723" t="s">
        <v>130</v>
      </c>
      <c r="I723" t="str">
        <f t="shared" si="137"/>
        <v>Sneha Kapoor</v>
      </c>
      <c r="J723" t="s">
        <v>22</v>
      </c>
      <c r="K723" t="str">
        <f t="shared" si="138"/>
        <v>Consumer</v>
      </c>
      <c r="L723" t="s">
        <v>52</v>
      </c>
      <c r="M723" t="str">
        <f t="shared" si="134"/>
        <v>South</v>
      </c>
      <c r="N723" t="s">
        <v>173</v>
      </c>
      <c r="O723" t="str">
        <f t="shared" si="139"/>
        <v>Karnataka</v>
      </c>
      <c r="P723" t="s">
        <v>174</v>
      </c>
      <c r="Q723" t="str">
        <f t="shared" si="140"/>
        <v>Bengaluru</v>
      </c>
      <c r="R723" t="s">
        <v>72</v>
      </c>
      <c r="S723" t="str">
        <f t="shared" si="141"/>
        <v>Technology</v>
      </c>
      <c r="T723" t="s">
        <v>78</v>
      </c>
      <c r="U723" t="str">
        <f t="shared" si="142"/>
        <v>Copiers</v>
      </c>
      <c r="V723" t="s">
        <v>2274</v>
      </c>
      <c r="X723" t="s">
        <v>48</v>
      </c>
      <c r="Y723" t="str">
        <f t="shared" si="143"/>
        <v>First Class</v>
      </c>
      <c r="Z723">
        <v>5</v>
      </c>
      <c r="AA723">
        <v>2729.95</v>
      </c>
      <c r="AB723">
        <v>0</v>
      </c>
      <c r="AC723">
        <v>13649.75</v>
      </c>
      <c r="AD723">
        <v>10288.030000000001</v>
      </c>
      <c r="AE723">
        <v>3361.72</v>
      </c>
      <c r="AF723" t="s">
        <v>30</v>
      </c>
      <c r="AG723" t="str">
        <f t="shared" si="144"/>
        <v>Paid</v>
      </c>
      <c r="AH723" t="s">
        <v>31</v>
      </c>
    </row>
    <row r="724" spans="1:34">
      <c r="A724" t="s">
        <v>2275</v>
      </c>
      <c r="B724">
        <f>COUNTIF($A:$A,A724)</f>
        <v>1</v>
      </c>
      <c r="C724" t="str">
        <f t="shared" si="135"/>
        <v>Unique</v>
      </c>
      <c r="D724" s="4">
        <v>45483</v>
      </c>
      <c r="E724">
        <f t="shared" si="136"/>
        <v>92</v>
      </c>
      <c r="F724" s="4">
        <v>45575</v>
      </c>
      <c r="G724" t="s">
        <v>2276</v>
      </c>
      <c r="H724" t="s">
        <v>69</v>
      </c>
      <c r="I724" t="str">
        <f t="shared" si="137"/>
        <v>Vikram Iyer</v>
      </c>
      <c r="J724" t="s">
        <v>22</v>
      </c>
      <c r="K724" t="str">
        <f t="shared" si="138"/>
        <v>Consumer</v>
      </c>
      <c r="L724" t="s">
        <v>36</v>
      </c>
      <c r="M724" t="str">
        <f t="shared" si="134"/>
        <v>East</v>
      </c>
      <c r="N724" t="s">
        <v>97</v>
      </c>
      <c r="O724" t="str">
        <f t="shared" si="139"/>
        <v>West Bengal</v>
      </c>
      <c r="P724" t="s">
        <v>98</v>
      </c>
      <c r="Q724" t="str">
        <f t="shared" si="140"/>
        <v>Kolkata</v>
      </c>
      <c r="R724" t="s">
        <v>39</v>
      </c>
      <c r="S724" t="str">
        <f t="shared" si="141"/>
        <v>Furniture</v>
      </c>
      <c r="T724" t="s">
        <v>64</v>
      </c>
      <c r="U724" t="str">
        <f t="shared" si="142"/>
        <v>Chairs</v>
      </c>
      <c r="V724" t="s">
        <v>2277</v>
      </c>
      <c r="X724" t="s">
        <v>29</v>
      </c>
      <c r="Y724" t="str">
        <f t="shared" si="143"/>
        <v>Second Class</v>
      </c>
      <c r="Z724">
        <v>9</v>
      </c>
      <c r="AA724">
        <v>481.51</v>
      </c>
      <c r="AC724">
        <v>4333.59</v>
      </c>
      <c r="AD724">
        <v>2533.59</v>
      </c>
      <c r="AE724">
        <v>1800</v>
      </c>
      <c r="AF724" t="s">
        <v>100</v>
      </c>
      <c r="AG724" t="str">
        <f t="shared" si="144"/>
        <v>Refunded</v>
      </c>
      <c r="AH724" t="s">
        <v>66</v>
      </c>
    </row>
    <row r="725" spans="1:34">
      <c r="A725" t="s">
        <v>2278</v>
      </c>
      <c r="B725">
        <f>COUNTIF($A:$A,A725)</f>
        <v>1</v>
      </c>
      <c r="C725" t="str">
        <f t="shared" si="135"/>
        <v>Unique</v>
      </c>
      <c r="D725" s="4">
        <v>45936</v>
      </c>
      <c r="E725">
        <f t="shared" si="136"/>
        <v>7</v>
      </c>
      <c r="F725" s="4">
        <v>45943</v>
      </c>
      <c r="G725" t="s">
        <v>2279</v>
      </c>
      <c r="H725" t="s">
        <v>263</v>
      </c>
      <c r="I725" t="str">
        <f t="shared" si="137"/>
        <v>Kabir Singh</v>
      </c>
      <c r="J725" t="s">
        <v>93</v>
      </c>
      <c r="K725" t="str">
        <f t="shared" si="138"/>
        <v>Home Office</v>
      </c>
      <c r="L725" t="s">
        <v>36</v>
      </c>
      <c r="M725" t="str">
        <f t="shared" ref="M725:M756" si="145">PROPER(TRIM(L725))</f>
        <v>East</v>
      </c>
      <c r="N725" t="s">
        <v>227</v>
      </c>
      <c r="O725" t="str">
        <f t="shared" si="139"/>
        <v>Jharkhand</v>
      </c>
      <c r="P725" t="s">
        <v>228</v>
      </c>
      <c r="Q725" t="str">
        <f t="shared" si="140"/>
        <v>Ranchi</v>
      </c>
      <c r="R725" t="s">
        <v>72</v>
      </c>
      <c r="S725" t="str">
        <f t="shared" si="141"/>
        <v>Technology</v>
      </c>
      <c r="T725" t="s">
        <v>73</v>
      </c>
      <c r="U725" t="str">
        <f t="shared" si="142"/>
        <v>Accessories</v>
      </c>
      <c r="V725" t="s">
        <v>2280</v>
      </c>
      <c r="X725" t="s">
        <v>57</v>
      </c>
      <c r="Y725" t="str">
        <f t="shared" si="143"/>
        <v>Standard Class</v>
      </c>
      <c r="Z725">
        <v>6</v>
      </c>
      <c r="AA725">
        <v>2391.9299999999998</v>
      </c>
      <c r="AB725">
        <v>0.05</v>
      </c>
      <c r="AC725">
        <v>13634</v>
      </c>
      <c r="AD725">
        <v>9589.81</v>
      </c>
      <c r="AE725">
        <v>4044.19</v>
      </c>
      <c r="AF725" t="s">
        <v>153</v>
      </c>
      <c r="AG725" t="str">
        <f t="shared" si="144"/>
        <v>Failed</v>
      </c>
      <c r="AH725" t="s">
        <v>101</v>
      </c>
    </row>
    <row r="726" spans="1:34">
      <c r="A726" t="s">
        <v>2281</v>
      </c>
      <c r="B726">
        <f>COUNTIF($A:$A,A726)</f>
        <v>1</v>
      </c>
      <c r="C726" t="str">
        <f t="shared" si="135"/>
        <v>Unique</v>
      </c>
      <c r="D726" s="4">
        <v>45332</v>
      </c>
      <c r="E726">
        <f t="shared" si="136"/>
        <v>6</v>
      </c>
      <c r="F726" s="4">
        <v>45338</v>
      </c>
      <c r="G726" t="s">
        <v>2282</v>
      </c>
      <c r="H726" t="s">
        <v>21</v>
      </c>
      <c r="I726" t="str">
        <f t="shared" si="137"/>
        <v>Karan Malhotra</v>
      </c>
      <c r="J726" t="s">
        <v>22</v>
      </c>
      <c r="K726" t="str">
        <f t="shared" si="138"/>
        <v>Consumer</v>
      </c>
      <c r="L726" t="s">
        <v>61</v>
      </c>
      <c r="M726" t="str">
        <f t="shared" si="145"/>
        <v>West</v>
      </c>
      <c r="N726" t="s">
        <v>188</v>
      </c>
      <c r="O726" t="str">
        <f t="shared" si="139"/>
        <v>Goa</v>
      </c>
      <c r="P726" t="s">
        <v>189</v>
      </c>
      <c r="Q726" t="str">
        <f t="shared" si="140"/>
        <v>Panaji</v>
      </c>
      <c r="R726" t="s">
        <v>39</v>
      </c>
      <c r="S726" t="str">
        <f t="shared" si="141"/>
        <v>Furniture</v>
      </c>
      <c r="T726" t="s">
        <v>55</v>
      </c>
      <c r="U726" t="str">
        <f t="shared" si="142"/>
        <v>Furnishings</v>
      </c>
      <c r="V726" t="s">
        <v>2283</v>
      </c>
      <c r="X726" t="s">
        <v>29</v>
      </c>
      <c r="Y726" t="str">
        <f t="shared" si="143"/>
        <v>Second Class</v>
      </c>
      <c r="Z726">
        <v>3</v>
      </c>
      <c r="AA726">
        <v>253.43</v>
      </c>
      <c r="AB726">
        <v>0</v>
      </c>
      <c r="AC726">
        <v>760.29</v>
      </c>
      <c r="AD726">
        <v>497.77</v>
      </c>
      <c r="AE726">
        <v>262.52</v>
      </c>
      <c r="AF726" t="s">
        <v>30</v>
      </c>
      <c r="AG726" t="str">
        <f t="shared" si="144"/>
        <v>Paid</v>
      </c>
      <c r="AH726" t="s">
        <v>31</v>
      </c>
    </row>
    <row r="727" spans="1:34">
      <c r="A727" t="s">
        <v>2284</v>
      </c>
      <c r="B727">
        <f>COUNTIF($A:$A,A727)</f>
        <v>1</v>
      </c>
      <c r="C727" t="str">
        <f t="shared" si="135"/>
        <v>Unique</v>
      </c>
      <c r="D727" s="4">
        <v>45935</v>
      </c>
      <c r="E727">
        <f t="shared" si="136"/>
        <v>66</v>
      </c>
      <c r="F727" s="4">
        <v>46001</v>
      </c>
      <c r="G727" t="s">
        <v>2285</v>
      </c>
      <c r="H727" t="s">
        <v>112</v>
      </c>
      <c r="I727" t="str">
        <f t="shared" si="137"/>
        <v>Priya Menon</v>
      </c>
      <c r="J727" t="s">
        <v>88</v>
      </c>
      <c r="K727" t="str">
        <f t="shared" si="138"/>
        <v>Corporate</v>
      </c>
      <c r="L727" t="s">
        <v>52</v>
      </c>
      <c r="M727" t="str">
        <f t="shared" si="145"/>
        <v>South</v>
      </c>
      <c r="N727" t="s">
        <v>173</v>
      </c>
      <c r="O727" t="str">
        <f t="shared" si="139"/>
        <v>Karnataka</v>
      </c>
      <c r="P727" t="s">
        <v>174</v>
      </c>
      <c r="Q727" t="str">
        <f t="shared" si="140"/>
        <v>Bengaluru</v>
      </c>
      <c r="R727" t="s">
        <v>39</v>
      </c>
      <c r="S727" t="str">
        <f t="shared" si="141"/>
        <v>Furniture</v>
      </c>
      <c r="T727" t="s">
        <v>40</v>
      </c>
      <c r="U727" t="str">
        <f t="shared" si="142"/>
        <v>Tables</v>
      </c>
      <c r="V727" t="s">
        <v>2286</v>
      </c>
      <c r="X727" t="s">
        <v>29</v>
      </c>
      <c r="Y727" t="str">
        <f t="shared" si="143"/>
        <v>Second Class</v>
      </c>
      <c r="Z727">
        <v>7</v>
      </c>
      <c r="AA727">
        <v>2134.73</v>
      </c>
      <c r="AB727">
        <v>0</v>
      </c>
      <c r="AC727">
        <v>14943.11</v>
      </c>
      <c r="AD727">
        <v>8521.5</v>
      </c>
      <c r="AE727">
        <v>6421.61</v>
      </c>
      <c r="AF727" t="s">
        <v>30</v>
      </c>
      <c r="AG727" t="str">
        <f t="shared" si="144"/>
        <v>Paid</v>
      </c>
      <c r="AH727" t="s">
        <v>31</v>
      </c>
    </row>
    <row r="728" spans="1:34">
      <c r="A728" t="s">
        <v>2287</v>
      </c>
      <c r="B728">
        <f>COUNTIF($A:$A,A728)</f>
        <v>1</v>
      </c>
      <c r="C728" t="str">
        <f t="shared" si="135"/>
        <v>Unique</v>
      </c>
      <c r="D728" s="4">
        <v>45308</v>
      </c>
      <c r="E728">
        <f t="shared" si="136"/>
        <v>6</v>
      </c>
      <c r="F728" s="4">
        <v>45314</v>
      </c>
      <c r="G728" t="s">
        <v>2288</v>
      </c>
      <c r="H728" t="s">
        <v>263</v>
      </c>
      <c r="I728" t="str">
        <f t="shared" si="137"/>
        <v>Kabir Singh</v>
      </c>
      <c r="J728" t="s">
        <v>93</v>
      </c>
      <c r="K728" t="str">
        <f t="shared" si="138"/>
        <v>Home Office</v>
      </c>
      <c r="L728" t="s">
        <v>61</v>
      </c>
      <c r="M728" t="str">
        <f t="shared" si="145"/>
        <v>West</v>
      </c>
      <c r="N728" t="s">
        <v>178</v>
      </c>
      <c r="O728" t="str">
        <f t="shared" si="139"/>
        <v>Gujarat</v>
      </c>
      <c r="P728" t="s">
        <v>179</v>
      </c>
      <c r="Q728" t="str">
        <f t="shared" si="140"/>
        <v>Ahmedabad</v>
      </c>
      <c r="R728" t="s">
        <v>72</v>
      </c>
      <c r="S728" t="str">
        <f t="shared" si="141"/>
        <v>Technology</v>
      </c>
      <c r="T728" t="s">
        <v>169</v>
      </c>
      <c r="U728" t="str">
        <f t="shared" si="142"/>
        <v>Phones</v>
      </c>
      <c r="V728" t="s">
        <v>2289</v>
      </c>
      <c r="X728" t="s">
        <v>57</v>
      </c>
      <c r="Y728" t="str">
        <f t="shared" si="143"/>
        <v>Standard Class</v>
      </c>
      <c r="Z728">
        <v>5</v>
      </c>
      <c r="AA728">
        <v>2018</v>
      </c>
      <c r="AB728">
        <v>0.2</v>
      </c>
      <c r="AC728">
        <v>8072</v>
      </c>
      <c r="AD728">
        <v>5379.22</v>
      </c>
      <c r="AE728">
        <v>2692.78</v>
      </c>
      <c r="AF728" t="s">
        <v>109</v>
      </c>
      <c r="AG728" t="str">
        <f t="shared" si="144"/>
        <v>Pending</v>
      </c>
      <c r="AH728" t="s">
        <v>101</v>
      </c>
    </row>
    <row r="729" spans="1:34">
      <c r="A729" t="s">
        <v>2290</v>
      </c>
      <c r="B729">
        <f>COUNTIF($A:$A,A729)</f>
        <v>1</v>
      </c>
      <c r="C729" t="str">
        <f t="shared" si="135"/>
        <v>Unique</v>
      </c>
      <c r="D729" s="4">
        <v>45578</v>
      </c>
      <c r="E729">
        <f t="shared" si="136"/>
        <v>0</v>
      </c>
      <c r="F729" s="4">
        <v>45578</v>
      </c>
      <c r="G729" t="s">
        <v>2291</v>
      </c>
      <c r="H729" t="s">
        <v>126</v>
      </c>
      <c r="I729" t="str">
        <f t="shared" si="137"/>
        <v>Aarav Sharma</v>
      </c>
      <c r="J729" t="s">
        <v>35</v>
      </c>
      <c r="K729" t="str">
        <f t="shared" si="138"/>
        <v>Small Business</v>
      </c>
      <c r="L729" t="s">
        <v>36</v>
      </c>
      <c r="M729" t="str">
        <f t="shared" si="145"/>
        <v>East</v>
      </c>
      <c r="N729" t="s">
        <v>164</v>
      </c>
      <c r="O729" t="str">
        <f t="shared" si="139"/>
        <v>Assam</v>
      </c>
      <c r="P729" t="s">
        <v>165</v>
      </c>
      <c r="Q729" t="str">
        <f t="shared" si="140"/>
        <v>Guwahati</v>
      </c>
      <c r="R729" t="s">
        <v>72</v>
      </c>
      <c r="S729" t="str">
        <f t="shared" si="141"/>
        <v>Technology</v>
      </c>
      <c r="T729" t="s">
        <v>73</v>
      </c>
      <c r="U729" t="str">
        <f t="shared" si="142"/>
        <v>Accessories</v>
      </c>
      <c r="V729" t="s">
        <v>2292</v>
      </c>
      <c r="X729" t="s">
        <v>29</v>
      </c>
      <c r="Y729" t="str">
        <f t="shared" si="143"/>
        <v>Second Class</v>
      </c>
      <c r="Z729">
        <v>8</v>
      </c>
      <c r="AA729">
        <v>3730.66</v>
      </c>
      <c r="AB729">
        <v>0.05</v>
      </c>
      <c r="AC729">
        <v>28353.02</v>
      </c>
      <c r="AD729">
        <v>19257.849999999999</v>
      </c>
      <c r="AE729">
        <v>9095.17</v>
      </c>
      <c r="AF729" t="s">
        <v>30</v>
      </c>
      <c r="AG729" t="str">
        <f t="shared" si="144"/>
        <v>Paid</v>
      </c>
      <c r="AH729" t="s">
        <v>31</v>
      </c>
    </row>
    <row r="730" spans="1:34">
      <c r="A730" t="s">
        <v>2293</v>
      </c>
      <c r="B730">
        <f>COUNTIF($A:$A,A730)</f>
        <v>1</v>
      </c>
      <c r="C730" t="str">
        <f t="shared" si="135"/>
        <v>Unique</v>
      </c>
      <c r="D730" s="4">
        <v>45383</v>
      </c>
      <c r="E730">
        <f t="shared" si="136"/>
        <v>91</v>
      </c>
      <c r="F730" s="4">
        <v>45474</v>
      </c>
      <c r="G730" t="s">
        <v>2294</v>
      </c>
      <c r="H730" t="s">
        <v>130</v>
      </c>
      <c r="I730" t="str">
        <f t="shared" si="137"/>
        <v>Sneha Kapoor</v>
      </c>
      <c r="J730" t="s">
        <v>35</v>
      </c>
      <c r="K730" t="str">
        <f t="shared" si="138"/>
        <v>Small Business</v>
      </c>
      <c r="L730" t="s">
        <v>52</v>
      </c>
      <c r="M730" t="str">
        <f t="shared" si="145"/>
        <v>South</v>
      </c>
      <c r="N730" t="s">
        <v>173</v>
      </c>
      <c r="O730" t="str">
        <f t="shared" si="139"/>
        <v>Karnataka</v>
      </c>
      <c r="P730" t="s">
        <v>174</v>
      </c>
      <c r="Q730" t="str">
        <f t="shared" si="140"/>
        <v>Bengaluru</v>
      </c>
      <c r="R730" t="s">
        <v>72</v>
      </c>
      <c r="S730" t="str">
        <f t="shared" si="141"/>
        <v>Technology</v>
      </c>
      <c r="T730" t="s">
        <v>273</v>
      </c>
      <c r="U730" t="str">
        <f t="shared" si="142"/>
        <v>Machines</v>
      </c>
      <c r="V730" t="s">
        <v>2295</v>
      </c>
      <c r="X730" t="s">
        <v>48</v>
      </c>
      <c r="Y730" t="str">
        <f t="shared" si="143"/>
        <v>First Class</v>
      </c>
      <c r="Z730">
        <v>1</v>
      </c>
      <c r="AA730">
        <v>2363.02</v>
      </c>
      <c r="AB730">
        <v>0.15</v>
      </c>
      <c r="AC730">
        <v>2008.57</v>
      </c>
      <c r="AD730">
        <v>1194.83</v>
      </c>
      <c r="AE730">
        <v>813.74</v>
      </c>
      <c r="AF730" t="s">
        <v>30</v>
      </c>
      <c r="AG730" t="str">
        <f t="shared" si="144"/>
        <v>Paid</v>
      </c>
      <c r="AH730" t="s">
        <v>31</v>
      </c>
    </row>
    <row r="731" spans="1:34">
      <c r="A731" t="s">
        <v>2296</v>
      </c>
      <c r="B731">
        <f>COUNTIF($A:$A,A731)</f>
        <v>1</v>
      </c>
      <c r="C731" t="str">
        <f t="shared" si="135"/>
        <v>Unique</v>
      </c>
      <c r="D731" s="4">
        <v>45794</v>
      </c>
      <c r="E731">
        <f t="shared" si="136"/>
        <v>8</v>
      </c>
      <c r="F731" s="4">
        <v>45802</v>
      </c>
      <c r="G731" t="s">
        <v>2297</v>
      </c>
      <c r="H731" t="s">
        <v>60</v>
      </c>
      <c r="I731" t="str">
        <f t="shared" si="137"/>
        <v>Ananya Rao</v>
      </c>
      <c r="J731" t="s">
        <v>88</v>
      </c>
      <c r="K731" t="str">
        <f t="shared" si="138"/>
        <v>Corporate</v>
      </c>
      <c r="L731" t="s">
        <v>52</v>
      </c>
      <c r="M731" t="str">
        <f t="shared" si="145"/>
        <v>South</v>
      </c>
      <c r="N731" t="s">
        <v>246</v>
      </c>
      <c r="O731" t="str">
        <f t="shared" si="139"/>
        <v>Tamil Nadu</v>
      </c>
      <c r="P731" t="s">
        <v>247</v>
      </c>
      <c r="Q731" t="str">
        <f t="shared" si="140"/>
        <v>Chennai</v>
      </c>
      <c r="R731" t="s">
        <v>72</v>
      </c>
      <c r="S731" t="str">
        <f t="shared" si="141"/>
        <v>Technology</v>
      </c>
      <c r="T731" t="s">
        <v>273</v>
      </c>
      <c r="U731" t="str">
        <f t="shared" si="142"/>
        <v>Machines</v>
      </c>
      <c r="V731" t="s">
        <v>2298</v>
      </c>
      <c r="X731" t="s">
        <v>42</v>
      </c>
      <c r="Y731" t="str">
        <f t="shared" si="143"/>
        <v>Same Day</v>
      </c>
      <c r="Z731">
        <v>6</v>
      </c>
      <c r="AA731">
        <v>1810.63</v>
      </c>
      <c r="AB731">
        <v>0.15</v>
      </c>
      <c r="AC731">
        <v>9234.2099999999991</v>
      </c>
      <c r="AD731">
        <v>5516.52</v>
      </c>
      <c r="AE731">
        <v>3717.69</v>
      </c>
      <c r="AF731" t="s">
        <v>30</v>
      </c>
      <c r="AG731" t="str">
        <f t="shared" si="144"/>
        <v>Paid</v>
      </c>
      <c r="AH731" t="s">
        <v>31</v>
      </c>
    </row>
    <row r="732" spans="1:34">
      <c r="A732" t="s">
        <v>2299</v>
      </c>
      <c r="B732">
        <f>COUNTIF($A:$A,A732)</f>
        <v>1</v>
      </c>
      <c r="C732" t="str">
        <f t="shared" si="135"/>
        <v>Unique</v>
      </c>
      <c r="D732" s="4">
        <v>45827</v>
      </c>
      <c r="E732">
        <f t="shared" si="136"/>
        <v>5</v>
      </c>
      <c r="F732" s="4">
        <v>45832</v>
      </c>
      <c r="G732" t="s">
        <v>2300</v>
      </c>
      <c r="H732" t="s">
        <v>51</v>
      </c>
      <c r="I732" t="str">
        <f t="shared" si="137"/>
        <v>Arjun Bose</v>
      </c>
      <c r="J732" t="s">
        <v>22</v>
      </c>
      <c r="K732" t="str">
        <f t="shared" si="138"/>
        <v>Consumer</v>
      </c>
      <c r="L732" t="s">
        <v>36</v>
      </c>
      <c r="M732" t="str">
        <f t="shared" si="145"/>
        <v>East</v>
      </c>
      <c r="N732" t="s">
        <v>97</v>
      </c>
      <c r="O732" t="str">
        <f t="shared" si="139"/>
        <v>West Bengal</v>
      </c>
      <c r="P732" t="s">
        <v>98</v>
      </c>
      <c r="Q732" t="str">
        <f t="shared" si="140"/>
        <v>Kolkata</v>
      </c>
      <c r="R732" t="s">
        <v>26</v>
      </c>
      <c r="S732" t="str">
        <f t="shared" si="141"/>
        <v>Office Supplies</v>
      </c>
      <c r="T732" t="s">
        <v>46</v>
      </c>
      <c r="U732" t="str">
        <f t="shared" si="142"/>
        <v>Art</v>
      </c>
      <c r="V732" t="s">
        <v>2301</v>
      </c>
      <c r="X732" t="s">
        <v>29</v>
      </c>
      <c r="Y732" t="str">
        <f t="shared" si="143"/>
        <v>Second Class</v>
      </c>
      <c r="Z732">
        <v>4</v>
      </c>
      <c r="AA732">
        <v>782.01</v>
      </c>
      <c r="AB732">
        <v>0.15</v>
      </c>
      <c r="AC732">
        <v>2658.83</v>
      </c>
      <c r="AD732">
        <v>2226.9699999999998</v>
      </c>
      <c r="AE732">
        <v>431.86</v>
      </c>
      <c r="AF732" t="s">
        <v>100</v>
      </c>
      <c r="AG732" t="str">
        <f t="shared" si="144"/>
        <v>Refunded</v>
      </c>
      <c r="AH732" t="s">
        <v>101</v>
      </c>
    </row>
    <row r="733" spans="1:34">
      <c r="A733" t="s">
        <v>2302</v>
      </c>
      <c r="B733">
        <f>COUNTIF($A:$A,A733)</f>
        <v>1</v>
      </c>
      <c r="C733" t="str">
        <f t="shared" si="135"/>
        <v>Unique</v>
      </c>
      <c r="D733" s="4">
        <v>45368</v>
      </c>
      <c r="E733">
        <f t="shared" si="136"/>
        <v>2</v>
      </c>
      <c r="F733" s="4">
        <v>45370</v>
      </c>
      <c r="G733" t="s">
        <v>2303</v>
      </c>
      <c r="H733" t="s">
        <v>60</v>
      </c>
      <c r="I733" t="str">
        <f t="shared" si="137"/>
        <v>Ananya Rao</v>
      </c>
      <c r="J733" t="s">
        <v>88</v>
      </c>
      <c r="K733" t="str">
        <f t="shared" si="138"/>
        <v>Corporate</v>
      </c>
      <c r="L733" t="s">
        <v>36</v>
      </c>
      <c r="M733" t="str">
        <f t="shared" si="145"/>
        <v>East</v>
      </c>
      <c r="N733" t="s">
        <v>37</v>
      </c>
      <c r="O733" t="str">
        <f t="shared" si="139"/>
        <v>Odisha</v>
      </c>
      <c r="P733" t="s">
        <v>38</v>
      </c>
      <c r="Q733" t="str">
        <f t="shared" si="140"/>
        <v>Bhubaneswar</v>
      </c>
      <c r="R733" t="s">
        <v>26</v>
      </c>
      <c r="S733" t="str">
        <f t="shared" si="141"/>
        <v>Office Supplies</v>
      </c>
      <c r="T733" t="s">
        <v>151</v>
      </c>
      <c r="U733" t="str">
        <f t="shared" si="142"/>
        <v>Binders</v>
      </c>
      <c r="V733" t="s">
        <v>2304</v>
      </c>
      <c r="X733" t="s">
        <v>48</v>
      </c>
      <c r="Y733" t="str">
        <f t="shared" si="143"/>
        <v>First Class</v>
      </c>
      <c r="Z733">
        <v>4</v>
      </c>
      <c r="AA733">
        <v>4376.68</v>
      </c>
      <c r="AB733">
        <v>0.1</v>
      </c>
      <c r="AC733">
        <v>15756.05</v>
      </c>
      <c r="AD733">
        <v>10245.44</v>
      </c>
      <c r="AE733">
        <v>5510.61</v>
      </c>
      <c r="AF733" t="s">
        <v>30</v>
      </c>
      <c r="AG733" t="str">
        <f t="shared" si="144"/>
        <v>Paid</v>
      </c>
      <c r="AH733" t="s">
        <v>31</v>
      </c>
    </row>
    <row r="734" spans="1:34">
      <c r="A734" t="s">
        <v>2305</v>
      </c>
      <c r="B734">
        <f>COUNTIF($A:$A,A734)</f>
        <v>1</v>
      </c>
      <c r="C734" t="str">
        <f t="shared" si="135"/>
        <v>Unique</v>
      </c>
      <c r="D734" s="4">
        <v>45624</v>
      </c>
      <c r="E734">
        <f t="shared" si="136"/>
        <v>-169</v>
      </c>
      <c r="F734" s="4">
        <v>45455</v>
      </c>
      <c r="G734" t="s">
        <v>2306</v>
      </c>
      <c r="H734" t="s">
        <v>51</v>
      </c>
      <c r="I734" t="str">
        <f t="shared" si="137"/>
        <v>Arjun Bose</v>
      </c>
      <c r="J734" t="s">
        <v>35</v>
      </c>
      <c r="K734" t="str">
        <f t="shared" si="138"/>
        <v>Small Business</v>
      </c>
      <c r="L734" t="s">
        <v>23</v>
      </c>
      <c r="M734" t="str">
        <f t="shared" si="145"/>
        <v>North</v>
      </c>
      <c r="N734" t="s">
        <v>120</v>
      </c>
      <c r="O734" t="str">
        <f t="shared" si="139"/>
        <v>Punjab</v>
      </c>
      <c r="P734" t="s">
        <v>121</v>
      </c>
      <c r="Q734" t="str">
        <f t="shared" si="140"/>
        <v>Ludhiana</v>
      </c>
      <c r="R734" t="s">
        <v>72</v>
      </c>
      <c r="S734" t="str">
        <f t="shared" si="141"/>
        <v>Technology</v>
      </c>
      <c r="T734" t="s">
        <v>169</v>
      </c>
      <c r="U734" t="str">
        <f t="shared" si="142"/>
        <v>Phones</v>
      </c>
      <c r="V734" t="s">
        <v>2307</v>
      </c>
      <c r="X734" t="s">
        <v>57</v>
      </c>
      <c r="Y734" t="str">
        <f t="shared" si="143"/>
        <v>Standard Class</v>
      </c>
      <c r="Z734">
        <v>6</v>
      </c>
      <c r="AA734">
        <v>2464.63</v>
      </c>
      <c r="AB734">
        <v>0</v>
      </c>
      <c r="AC734">
        <v>14787.78</v>
      </c>
      <c r="AD734">
        <v>8596.65</v>
      </c>
      <c r="AE734">
        <v>6191.13</v>
      </c>
      <c r="AF734" t="s">
        <v>30</v>
      </c>
      <c r="AG734" t="str">
        <f t="shared" si="144"/>
        <v>Paid</v>
      </c>
      <c r="AH734" t="s">
        <v>31</v>
      </c>
    </row>
    <row r="735" spans="1:34">
      <c r="A735" t="s">
        <v>2308</v>
      </c>
      <c r="B735">
        <f>COUNTIF($A:$A,A735)</f>
        <v>1</v>
      </c>
      <c r="C735" t="str">
        <f t="shared" si="135"/>
        <v>Unique</v>
      </c>
      <c r="D735" s="4">
        <v>45464</v>
      </c>
      <c r="E735">
        <f t="shared" si="136"/>
        <v>7</v>
      </c>
      <c r="F735" s="4">
        <v>45471</v>
      </c>
      <c r="G735" t="s">
        <v>2309</v>
      </c>
      <c r="H735" t="s">
        <v>126</v>
      </c>
      <c r="I735" t="str">
        <f t="shared" si="137"/>
        <v>Aarav Sharma</v>
      </c>
      <c r="J735" t="s">
        <v>93</v>
      </c>
      <c r="K735" t="str">
        <f t="shared" si="138"/>
        <v>Home Office</v>
      </c>
      <c r="L735" t="s">
        <v>23</v>
      </c>
      <c r="M735" t="str">
        <f t="shared" si="145"/>
        <v>North</v>
      </c>
      <c r="N735" t="s">
        <v>24</v>
      </c>
      <c r="O735" t="str">
        <f t="shared" si="139"/>
        <v>Rajasthan</v>
      </c>
      <c r="P735" t="s">
        <v>25</v>
      </c>
      <c r="Q735" t="str">
        <f t="shared" si="140"/>
        <v>Jaipur</v>
      </c>
      <c r="R735" t="s">
        <v>39</v>
      </c>
      <c r="S735" t="str">
        <f t="shared" si="141"/>
        <v>Furniture</v>
      </c>
      <c r="T735" t="s">
        <v>55</v>
      </c>
      <c r="U735" t="str">
        <f t="shared" si="142"/>
        <v>Furnishings</v>
      </c>
      <c r="V735" t="s">
        <v>2310</v>
      </c>
      <c r="X735" t="s">
        <v>48</v>
      </c>
      <c r="Y735" t="str">
        <f t="shared" si="143"/>
        <v>First Class</v>
      </c>
      <c r="Z735">
        <v>9</v>
      </c>
      <c r="AA735">
        <v>2797.96</v>
      </c>
      <c r="AB735">
        <v>0</v>
      </c>
      <c r="AC735">
        <v>25181.64</v>
      </c>
      <c r="AD735">
        <v>15337.9</v>
      </c>
      <c r="AE735">
        <v>9843.74</v>
      </c>
      <c r="AF735" t="s">
        <v>30</v>
      </c>
      <c r="AG735" t="str">
        <f t="shared" si="144"/>
        <v>Paid</v>
      </c>
      <c r="AH735" t="s">
        <v>31</v>
      </c>
    </row>
    <row r="736" spans="1:34">
      <c r="A736" t="s">
        <v>2311</v>
      </c>
      <c r="B736">
        <f>COUNTIF($A:$A,A736)</f>
        <v>1</v>
      </c>
      <c r="C736" t="str">
        <f t="shared" si="135"/>
        <v>Unique</v>
      </c>
      <c r="D736" s="4">
        <v>45528</v>
      </c>
      <c r="E736">
        <f t="shared" si="136"/>
        <v>0</v>
      </c>
      <c r="F736" s="4">
        <v>45528</v>
      </c>
      <c r="G736" t="s">
        <v>2312</v>
      </c>
      <c r="H736" t="s">
        <v>60</v>
      </c>
      <c r="I736" t="str">
        <f t="shared" si="137"/>
        <v>Ananya Rao</v>
      </c>
      <c r="J736" t="s">
        <v>35</v>
      </c>
      <c r="K736" t="str">
        <f t="shared" si="138"/>
        <v>Small Business</v>
      </c>
      <c r="L736" t="s">
        <v>23</v>
      </c>
      <c r="M736" t="str">
        <f t="shared" si="145"/>
        <v>North</v>
      </c>
      <c r="N736" t="s">
        <v>24</v>
      </c>
      <c r="O736" t="str">
        <f t="shared" si="139"/>
        <v>Rajasthan</v>
      </c>
      <c r="P736" t="s">
        <v>25</v>
      </c>
      <c r="Q736" t="str">
        <f t="shared" si="140"/>
        <v>Jaipur</v>
      </c>
      <c r="R736" t="s">
        <v>72</v>
      </c>
      <c r="S736" t="str">
        <f t="shared" si="141"/>
        <v>Technology</v>
      </c>
      <c r="T736" t="s">
        <v>73</v>
      </c>
      <c r="U736" t="str">
        <f t="shared" si="142"/>
        <v>Accessories</v>
      </c>
      <c r="V736" t="s">
        <v>2313</v>
      </c>
      <c r="X736" t="s">
        <v>48</v>
      </c>
      <c r="Y736" t="str">
        <f t="shared" si="143"/>
        <v>First Class</v>
      </c>
      <c r="Z736">
        <v>4</v>
      </c>
      <c r="AA736">
        <v>2761.86</v>
      </c>
      <c r="AB736">
        <v>0.2</v>
      </c>
      <c r="AC736">
        <v>8837.9500000000007</v>
      </c>
      <c r="AD736">
        <v>6157.27</v>
      </c>
      <c r="AE736">
        <v>2680.68</v>
      </c>
      <c r="AF736" t="s">
        <v>30</v>
      </c>
      <c r="AG736" t="str">
        <f t="shared" si="144"/>
        <v>Paid</v>
      </c>
      <c r="AH736" t="s">
        <v>31</v>
      </c>
    </row>
    <row r="737" spans="1:34">
      <c r="A737" t="s">
        <v>2314</v>
      </c>
      <c r="B737">
        <f>COUNTIF($A:$A,A737)</f>
        <v>1</v>
      </c>
      <c r="C737" t="str">
        <f t="shared" si="135"/>
        <v>Unique</v>
      </c>
      <c r="D737" s="4">
        <v>45604</v>
      </c>
      <c r="E737">
        <f t="shared" si="136"/>
        <v>-81</v>
      </c>
      <c r="F737" s="4">
        <v>45523</v>
      </c>
      <c r="G737" t="s">
        <v>2315</v>
      </c>
      <c r="H737" t="s">
        <v>34</v>
      </c>
      <c r="I737" t="str">
        <f t="shared" si="137"/>
        <v>Mira Das</v>
      </c>
      <c r="J737" t="s">
        <v>22</v>
      </c>
      <c r="K737" t="str">
        <f t="shared" si="138"/>
        <v>Consumer</v>
      </c>
      <c r="L737" t="s">
        <v>61</v>
      </c>
      <c r="M737" t="str">
        <f t="shared" si="145"/>
        <v>West</v>
      </c>
      <c r="N737" t="s">
        <v>62</v>
      </c>
      <c r="O737" t="str">
        <f t="shared" si="139"/>
        <v>Maharashtra</v>
      </c>
      <c r="P737" t="s">
        <v>63</v>
      </c>
      <c r="Q737" t="str">
        <f t="shared" si="140"/>
        <v>Mumbai</v>
      </c>
      <c r="R737" t="s">
        <v>39</v>
      </c>
      <c r="S737" t="str">
        <f t="shared" si="141"/>
        <v>Furniture</v>
      </c>
      <c r="T737" t="s">
        <v>40</v>
      </c>
      <c r="U737" t="str">
        <f t="shared" si="142"/>
        <v>Tables</v>
      </c>
      <c r="V737" t="s">
        <v>2316</v>
      </c>
      <c r="X737" t="s">
        <v>57</v>
      </c>
      <c r="Y737" t="str">
        <f t="shared" si="143"/>
        <v>Standard Class</v>
      </c>
      <c r="Z737">
        <v>6</v>
      </c>
      <c r="AA737">
        <v>1515.79</v>
      </c>
      <c r="AB737">
        <v>0.2</v>
      </c>
      <c r="AC737">
        <v>7275.79</v>
      </c>
      <c r="AD737">
        <v>6152.87</v>
      </c>
      <c r="AE737">
        <v>1122.92</v>
      </c>
      <c r="AF737" t="s">
        <v>30</v>
      </c>
      <c r="AG737" t="str">
        <f t="shared" si="144"/>
        <v>Paid</v>
      </c>
      <c r="AH737" t="s">
        <v>31</v>
      </c>
    </row>
    <row r="738" spans="1:34">
      <c r="A738" t="s">
        <v>2317</v>
      </c>
      <c r="B738">
        <f>COUNTIF($A:$A,A738)</f>
        <v>1</v>
      </c>
      <c r="C738" t="str">
        <f t="shared" si="135"/>
        <v>Unique</v>
      </c>
      <c r="D738" s="4">
        <v>45455</v>
      </c>
      <c r="E738">
        <f t="shared" si="136"/>
        <v>92</v>
      </c>
      <c r="F738" s="4">
        <v>45547</v>
      </c>
      <c r="G738" t="s">
        <v>2318</v>
      </c>
      <c r="H738" t="s">
        <v>87</v>
      </c>
      <c r="I738" t="str">
        <f t="shared" si="137"/>
        <v>Aditi Sen</v>
      </c>
      <c r="J738" t="s">
        <v>22</v>
      </c>
      <c r="K738" t="str">
        <f t="shared" si="138"/>
        <v>Consumer</v>
      </c>
      <c r="L738" t="s">
        <v>61</v>
      </c>
      <c r="M738" t="str">
        <f t="shared" si="145"/>
        <v>West</v>
      </c>
      <c r="N738" t="s">
        <v>62</v>
      </c>
      <c r="O738" t="str">
        <f t="shared" si="139"/>
        <v>Maharashtra</v>
      </c>
      <c r="P738" t="s">
        <v>63</v>
      </c>
      <c r="Q738" t="str">
        <f t="shared" si="140"/>
        <v>Mumbai</v>
      </c>
      <c r="R738" t="s">
        <v>39</v>
      </c>
      <c r="S738" t="str">
        <f t="shared" si="141"/>
        <v>Furniture</v>
      </c>
      <c r="T738" t="s">
        <v>64</v>
      </c>
      <c r="U738" t="str">
        <f t="shared" si="142"/>
        <v>Chairs</v>
      </c>
      <c r="V738" t="s">
        <v>2319</v>
      </c>
      <c r="X738" t="s">
        <v>29</v>
      </c>
      <c r="Y738" t="str">
        <f t="shared" si="143"/>
        <v>Second Class</v>
      </c>
      <c r="Z738">
        <v>9</v>
      </c>
      <c r="AA738">
        <v>290.75</v>
      </c>
      <c r="AB738">
        <v>0.1</v>
      </c>
      <c r="AC738">
        <v>2355.08</v>
      </c>
      <c r="AD738">
        <v>1350.03</v>
      </c>
      <c r="AE738">
        <v>1005.05</v>
      </c>
      <c r="AF738" t="s">
        <v>30</v>
      </c>
      <c r="AG738" t="str">
        <f t="shared" si="144"/>
        <v>Paid</v>
      </c>
      <c r="AH738" t="s">
        <v>31</v>
      </c>
    </row>
    <row r="739" spans="1:34">
      <c r="A739" t="s">
        <v>2320</v>
      </c>
      <c r="B739">
        <f>COUNTIF($A:$A,A739)</f>
        <v>1</v>
      </c>
      <c r="C739" t="str">
        <f t="shared" si="135"/>
        <v>Unique</v>
      </c>
      <c r="D739" s="4">
        <v>45567</v>
      </c>
      <c r="E739">
        <f t="shared" si="136"/>
        <v>0</v>
      </c>
      <c r="F739" s="4">
        <v>45567</v>
      </c>
      <c r="G739" t="s">
        <v>2321</v>
      </c>
      <c r="H739" t="s">
        <v>45</v>
      </c>
      <c r="I739" t="str">
        <f t="shared" si="137"/>
        <v>Isha Nair</v>
      </c>
      <c r="J739" t="s">
        <v>93</v>
      </c>
      <c r="K739" t="str">
        <f t="shared" si="138"/>
        <v>Home Office</v>
      </c>
      <c r="L739" t="s">
        <v>61</v>
      </c>
      <c r="M739" t="str">
        <f t="shared" si="145"/>
        <v>West</v>
      </c>
      <c r="N739" t="s">
        <v>62</v>
      </c>
      <c r="O739" t="str">
        <f t="shared" si="139"/>
        <v>Maharashtra</v>
      </c>
      <c r="P739" t="s">
        <v>63</v>
      </c>
      <c r="Q739" t="str">
        <f t="shared" si="140"/>
        <v>Mumbai</v>
      </c>
      <c r="R739" t="s">
        <v>39</v>
      </c>
      <c r="S739" t="str">
        <f t="shared" si="141"/>
        <v>Furniture</v>
      </c>
      <c r="T739" t="s">
        <v>64</v>
      </c>
      <c r="U739" t="str">
        <f t="shared" si="142"/>
        <v>Chairs</v>
      </c>
      <c r="V739" t="s">
        <v>2322</v>
      </c>
      <c r="X739" t="s">
        <v>42</v>
      </c>
      <c r="Y739" t="str">
        <f t="shared" si="143"/>
        <v>Same Day</v>
      </c>
      <c r="Z739">
        <v>6</v>
      </c>
      <c r="AA739">
        <v>601.52</v>
      </c>
      <c r="AB739">
        <v>0</v>
      </c>
      <c r="AC739">
        <v>3609.12</v>
      </c>
      <c r="AD739">
        <v>2645.5</v>
      </c>
      <c r="AE739">
        <v>963.62</v>
      </c>
      <c r="AF739" t="s">
        <v>30</v>
      </c>
      <c r="AG739" t="str">
        <f t="shared" si="144"/>
        <v>Paid</v>
      </c>
      <c r="AH739" t="s">
        <v>31</v>
      </c>
    </row>
    <row r="740" spans="1:34">
      <c r="A740" t="s">
        <v>2323</v>
      </c>
      <c r="B740">
        <f>COUNTIF($A:$A,A740)</f>
        <v>1</v>
      </c>
      <c r="C740" t="str">
        <f t="shared" si="135"/>
        <v>Unique</v>
      </c>
      <c r="D740" s="4">
        <v>45708</v>
      </c>
      <c r="E740">
        <f t="shared" si="136"/>
        <v>2</v>
      </c>
      <c r="F740" s="4">
        <v>45710</v>
      </c>
      <c r="G740" t="s">
        <v>2324</v>
      </c>
      <c r="H740" t="s">
        <v>112</v>
      </c>
      <c r="I740" t="str">
        <f t="shared" si="137"/>
        <v>Priya Menon</v>
      </c>
      <c r="J740" t="s">
        <v>88</v>
      </c>
      <c r="K740" t="str">
        <f t="shared" si="138"/>
        <v>Corporate</v>
      </c>
      <c r="L740" t="s">
        <v>52</v>
      </c>
      <c r="M740" t="str">
        <f t="shared" si="145"/>
        <v>South</v>
      </c>
      <c r="N740" t="s">
        <v>183</v>
      </c>
      <c r="O740" t="str">
        <f t="shared" si="139"/>
        <v>Kerala</v>
      </c>
      <c r="P740" t="s">
        <v>184</v>
      </c>
      <c r="Q740" t="str">
        <f t="shared" si="140"/>
        <v>Kochi</v>
      </c>
      <c r="R740" t="s">
        <v>26</v>
      </c>
      <c r="S740" t="str">
        <f t="shared" si="141"/>
        <v>Office Supplies</v>
      </c>
      <c r="T740" t="s">
        <v>27</v>
      </c>
      <c r="U740" t="str">
        <f t="shared" si="142"/>
        <v>Paper</v>
      </c>
      <c r="V740" t="s">
        <v>2325</v>
      </c>
      <c r="X740" t="s">
        <v>48</v>
      </c>
      <c r="Y740" t="str">
        <f t="shared" si="143"/>
        <v>First Class</v>
      </c>
      <c r="Z740">
        <v>1</v>
      </c>
      <c r="AA740">
        <v>2188.19</v>
      </c>
      <c r="AB740">
        <v>0</v>
      </c>
      <c r="AC740">
        <v>2188.19</v>
      </c>
      <c r="AD740">
        <v>1298.8399999999999</v>
      </c>
      <c r="AE740">
        <v>889.35</v>
      </c>
      <c r="AF740" t="s">
        <v>30</v>
      </c>
      <c r="AG740" t="str">
        <f t="shared" si="144"/>
        <v>Paid</v>
      </c>
      <c r="AH740" t="s">
        <v>31</v>
      </c>
    </row>
    <row r="741" spans="1:34">
      <c r="A741" t="s">
        <v>2326</v>
      </c>
      <c r="B741">
        <f>COUNTIF($A:$A,A741)</f>
        <v>1</v>
      </c>
      <c r="C741" t="str">
        <f t="shared" si="135"/>
        <v>Unique</v>
      </c>
      <c r="D741" s="4">
        <v>45363</v>
      </c>
      <c r="E741">
        <f t="shared" si="136"/>
        <v>273</v>
      </c>
      <c r="F741" s="4">
        <v>45636</v>
      </c>
      <c r="G741" t="s">
        <v>2327</v>
      </c>
      <c r="H741" t="s">
        <v>77</v>
      </c>
      <c r="I741" t="str">
        <f t="shared" si="137"/>
        <v>Neha Gupta</v>
      </c>
      <c r="J741" t="s">
        <v>88</v>
      </c>
      <c r="K741" t="str">
        <f t="shared" si="138"/>
        <v>Corporate</v>
      </c>
      <c r="L741" t="s">
        <v>23</v>
      </c>
      <c r="M741" t="str">
        <f t="shared" si="145"/>
        <v>North</v>
      </c>
      <c r="N741" t="s">
        <v>24</v>
      </c>
      <c r="O741" t="str">
        <f t="shared" si="139"/>
        <v>Rajasthan</v>
      </c>
      <c r="P741" t="s">
        <v>25</v>
      </c>
      <c r="Q741" t="str">
        <f t="shared" si="140"/>
        <v>Jaipur</v>
      </c>
      <c r="R741" t="s">
        <v>72</v>
      </c>
      <c r="S741" t="str">
        <f t="shared" si="141"/>
        <v>Technology</v>
      </c>
      <c r="T741" t="s">
        <v>169</v>
      </c>
      <c r="U741" t="str">
        <f t="shared" si="142"/>
        <v>Phones</v>
      </c>
      <c r="V741" t="s">
        <v>2328</v>
      </c>
      <c r="X741" t="s">
        <v>57</v>
      </c>
      <c r="Y741" t="str">
        <f t="shared" si="143"/>
        <v>Standard Class</v>
      </c>
      <c r="Z741">
        <v>5</v>
      </c>
      <c r="AA741">
        <v>2393.86</v>
      </c>
      <c r="AB741">
        <v>0.05</v>
      </c>
      <c r="AC741">
        <v>11370.84</v>
      </c>
      <c r="AD741">
        <v>7469.58</v>
      </c>
      <c r="AE741">
        <v>3901.26</v>
      </c>
      <c r="AF741" t="s">
        <v>30</v>
      </c>
      <c r="AG741" t="str">
        <f t="shared" si="144"/>
        <v>Paid</v>
      </c>
      <c r="AH741" t="s">
        <v>31</v>
      </c>
    </row>
    <row r="742" spans="1:34">
      <c r="A742" t="s">
        <v>2329</v>
      </c>
      <c r="B742">
        <f>COUNTIF($A:$A,A742)</f>
        <v>1</v>
      </c>
      <c r="C742" t="str">
        <f t="shared" si="135"/>
        <v>Unique</v>
      </c>
      <c r="D742" s="4">
        <v>45326</v>
      </c>
      <c r="E742">
        <f t="shared" si="136"/>
        <v>58</v>
      </c>
      <c r="F742" s="4">
        <v>45384</v>
      </c>
      <c r="G742" t="s">
        <v>525</v>
      </c>
      <c r="H742" t="s">
        <v>130</v>
      </c>
      <c r="I742" t="str">
        <f t="shared" si="137"/>
        <v>Sneha Kapoor</v>
      </c>
      <c r="J742" t="s">
        <v>35</v>
      </c>
      <c r="K742" t="str">
        <f t="shared" si="138"/>
        <v>Small Business</v>
      </c>
      <c r="L742" t="s">
        <v>61</v>
      </c>
      <c r="M742" t="str">
        <f t="shared" si="145"/>
        <v>West</v>
      </c>
      <c r="N742" t="s">
        <v>62</v>
      </c>
      <c r="O742" t="str">
        <f t="shared" si="139"/>
        <v>Maharashtra</v>
      </c>
      <c r="P742" t="s">
        <v>63</v>
      </c>
      <c r="Q742" t="str">
        <f t="shared" si="140"/>
        <v>Mumbai</v>
      </c>
      <c r="R742" t="s">
        <v>39</v>
      </c>
      <c r="S742" t="str">
        <f t="shared" si="141"/>
        <v>Furniture</v>
      </c>
      <c r="T742" t="s">
        <v>64</v>
      </c>
      <c r="U742" t="str">
        <f t="shared" si="142"/>
        <v>Chairs</v>
      </c>
      <c r="V742" t="s">
        <v>2330</v>
      </c>
      <c r="X742" t="s">
        <v>48</v>
      </c>
      <c r="Y742" t="str">
        <f t="shared" si="143"/>
        <v>First Class</v>
      </c>
      <c r="Z742">
        <v>4</v>
      </c>
      <c r="AA742">
        <v>2583</v>
      </c>
      <c r="AB742">
        <v>0.1</v>
      </c>
      <c r="AC742">
        <v>9298.7999999999993</v>
      </c>
      <c r="AD742">
        <v>6548.5</v>
      </c>
      <c r="AE742">
        <v>2750.3</v>
      </c>
      <c r="AF742" t="s">
        <v>30</v>
      </c>
      <c r="AG742" t="str">
        <f t="shared" si="144"/>
        <v>Paid</v>
      </c>
      <c r="AH742" t="s">
        <v>31</v>
      </c>
    </row>
    <row r="743" spans="1:34">
      <c r="A743" t="s">
        <v>2331</v>
      </c>
      <c r="B743">
        <f>COUNTIF($A:$A,A743)</f>
        <v>1</v>
      </c>
      <c r="C743" t="str">
        <f t="shared" si="135"/>
        <v>Unique</v>
      </c>
      <c r="D743" s="4">
        <v>45770</v>
      </c>
      <c r="E743">
        <f t="shared" si="136"/>
        <v>2</v>
      </c>
      <c r="F743" s="4">
        <v>45772</v>
      </c>
      <c r="G743" t="s">
        <v>2332</v>
      </c>
      <c r="H743" t="s">
        <v>45</v>
      </c>
      <c r="I743" t="str">
        <f t="shared" si="137"/>
        <v>Isha Nair</v>
      </c>
      <c r="J743" t="s">
        <v>93</v>
      </c>
      <c r="K743" t="str">
        <f t="shared" si="138"/>
        <v>Home Office</v>
      </c>
      <c r="L743" t="s">
        <v>52</v>
      </c>
      <c r="M743" t="str">
        <f t="shared" si="145"/>
        <v>South</v>
      </c>
      <c r="N743" t="s">
        <v>246</v>
      </c>
      <c r="O743" t="str">
        <f t="shared" si="139"/>
        <v>Tamil Nadu</v>
      </c>
      <c r="P743" t="s">
        <v>247</v>
      </c>
      <c r="Q743" t="str">
        <f t="shared" si="140"/>
        <v>Chennai</v>
      </c>
      <c r="R743" t="s">
        <v>39</v>
      </c>
      <c r="S743" t="str">
        <f t="shared" si="141"/>
        <v>Furniture</v>
      </c>
      <c r="T743" t="s">
        <v>64</v>
      </c>
      <c r="U743" t="str">
        <f t="shared" si="142"/>
        <v>Chairs</v>
      </c>
      <c r="V743" t="s">
        <v>2333</v>
      </c>
      <c r="X743" t="s">
        <v>29</v>
      </c>
      <c r="Y743" t="str">
        <f t="shared" si="143"/>
        <v>Second Class</v>
      </c>
      <c r="Z743">
        <v>3</v>
      </c>
      <c r="AA743">
        <v>2951.12</v>
      </c>
      <c r="AC743">
        <v>7082.69</v>
      </c>
      <c r="AD743">
        <v>5596.34</v>
      </c>
      <c r="AE743">
        <v>1486.35</v>
      </c>
      <c r="AF743" t="s">
        <v>30</v>
      </c>
      <c r="AG743" t="str">
        <f t="shared" si="144"/>
        <v>Paid</v>
      </c>
      <c r="AH743" t="s">
        <v>66</v>
      </c>
    </row>
    <row r="744" spans="1:34">
      <c r="A744" t="s">
        <v>2334</v>
      </c>
      <c r="B744">
        <f>COUNTIF($A:$A,A744)</f>
        <v>1</v>
      </c>
      <c r="C744" t="str">
        <f t="shared" si="135"/>
        <v>Unique</v>
      </c>
      <c r="D744" s="4">
        <v>45580</v>
      </c>
      <c r="E744">
        <f t="shared" si="136"/>
        <v>7</v>
      </c>
      <c r="F744" s="4">
        <v>45587</v>
      </c>
      <c r="G744" t="s">
        <v>2335</v>
      </c>
      <c r="H744" t="s">
        <v>21</v>
      </c>
      <c r="I744" t="str">
        <f t="shared" si="137"/>
        <v>Karan Malhotra</v>
      </c>
      <c r="J744" t="s">
        <v>88</v>
      </c>
      <c r="K744" t="str">
        <f t="shared" si="138"/>
        <v>Corporate</v>
      </c>
      <c r="L744" t="s">
        <v>2336</v>
      </c>
      <c r="M744" t="str">
        <f t="shared" si="145"/>
        <v>East</v>
      </c>
      <c r="N744" t="s">
        <v>37</v>
      </c>
      <c r="O744" t="str">
        <f t="shared" si="139"/>
        <v>Odisha</v>
      </c>
      <c r="P744" t="s">
        <v>38</v>
      </c>
      <c r="Q744" t="str">
        <f t="shared" si="140"/>
        <v>Bhubaneswar</v>
      </c>
      <c r="R744" t="s">
        <v>26</v>
      </c>
      <c r="S744" t="str">
        <f t="shared" si="141"/>
        <v>Office Supplies</v>
      </c>
      <c r="T744" t="s">
        <v>27</v>
      </c>
      <c r="U744" t="str">
        <f t="shared" si="142"/>
        <v>Paper</v>
      </c>
      <c r="V744" t="s">
        <v>2337</v>
      </c>
      <c r="X744" t="s">
        <v>57</v>
      </c>
      <c r="Y744" t="str">
        <f t="shared" si="143"/>
        <v>Standard Class</v>
      </c>
      <c r="Z744">
        <v>4</v>
      </c>
      <c r="AA744">
        <v>2260.9499999999998</v>
      </c>
      <c r="AB744">
        <v>0</v>
      </c>
      <c r="AC744">
        <v>9043.7999999999993</v>
      </c>
      <c r="AD744">
        <v>5913.38</v>
      </c>
      <c r="AE744">
        <v>3130.42</v>
      </c>
      <c r="AF744" t="s">
        <v>30</v>
      </c>
      <c r="AG744" t="str">
        <f t="shared" si="144"/>
        <v>Paid</v>
      </c>
      <c r="AH744" t="s">
        <v>31</v>
      </c>
    </row>
    <row r="745" spans="1:34">
      <c r="A745" t="s">
        <v>2338</v>
      </c>
      <c r="B745">
        <f>COUNTIF($A:$A,A745)</f>
        <v>1</v>
      </c>
      <c r="C745" t="str">
        <f t="shared" si="135"/>
        <v>Unique</v>
      </c>
      <c r="D745" s="4">
        <v>45700</v>
      </c>
      <c r="E745">
        <f t="shared" si="136"/>
        <v>2</v>
      </c>
      <c r="F745" s="4">
        <v>45702</v>
      </c>
      <c r="G745" t="s">
        <v>2339</v>
      </c>
      <c r="H745" t="s">
        <v>130</v>
      </c>
      <c r="I745" t="str">
        <f t="shared" si="137"/>
        <v>Sneha Kapoor</v>
      </c>
      <c r="J745" t="s">
        <v>22</v>
      </c>
      <c r="K745" t="str">
        <f t="shared" si="138"/>
        <v>Consumer</v>
      </c>
      <c r="L745" t="s">
        <v>23</v>
      </c>
      <c r="M745" t="str">
        <f t="shared" si="145"/>
        <v>North</v>
      </c>
      <c r="N745" t="s">
        <v>134</v>
      </c>
      <c r="O745" t="str">
        <f t="shared" si="139"/>
        <v>Uttar Pradesh</v>
      </c>
      <c r="P745" t="s">
        <v>135</v>
      </c>
      <c r="Q745" t="str">
        <f t="shared" si="140"/>
        <v>Noida</v>
      </c>
      <c r="R745" t="s">
        <v>26</v>
      </c>
      <c r="S745" t="str">
        <f t="shared" si="141"/>
        <v>Office Supplies</v>
      </c>
      <c r="T745" t="s">
        <v>46</v>
      </c>
      <c r="U745" t="str">
        <f t="shared" si="142"/>
        <v>Art</v>
      </c>
      <c r="V745" t="s">
        <v>2340</v>
      </c>
      <c r="X745" t="s">
        <v>57</v>
      </c>
      <c r="Y745" t="str">
        <f t="shared" si="143"/>
        <v>Standard Class</v>
      </c>
      <c r="Z745">
        <v>6</v>
      </c>
      <c r="AA745">
        <v>491.4</v>
      </c>
      <c r="AB745">
        <v>0.25</v>
      </c>
      <c r="AC745">
        <v>2211.3000000000002</v>
      </c>
      <c r="AD745">
        <v>1735.64</v>
      </c>
      <c r="AE745">
        <v>475.66</v>
      </c>
      <c r="AF745" t="s">
        <v>30</v>
      </c>
      <c r="AG745" t="str">
        <f t="shared" si="144"/>
        <v>Paid</v>
      </c>
      <c r="AH745" t="s">
        <v>31</v>
      </c>
    </row>
    <row r="746" spans="1:34">
      <c r="A746" t="s">
        <v>2341</v>
      </c>
      <c r="B746">
        <f>COUNTIF($A:$A,A746)</f>
        <v>1</v>
      </c>
      <c r="C746" t="str">
        <f t="shared" si="135"/>
        <v>Unique</v>
      </c>
      <c r="D746" s="4">
        <v>45886</v>
      </c>
      <c r="E746">
        <f t="shared" si="136"/>
        <v>3</v>
      </c>
      <c r="F746" s="4">
        <v>45889</v>
      </c>
      <c r="G746" t="s">
        <v>2342</v>
      </c>
      <c r="H746" t="s">
        <v>34</v>
      </c>
      <c r="I746" t="str">
        <f t="shared" si="137"/>
        <v>Mira Das</v>
      </c>
      <c r="J746" t="s">
        <v>93</v>
      </c>
      <c r="K746" t="str">
        <f t="shared" si="138"/>
        <v>Home Office</v>
      </c>
      <c r="L746" t="s">
        <v>23</v>
      </c>
      <c r="M746" t="str">
        <f t="shared" si="145"/>
        <v>North</v>
      </c>
      <c r="N746" t="s">
        <v>120</v>
      </c>
      <c r="O746" t="str">
        <f t="shared" si="139"/>
        <v>Punjab</v>
      </c>
      <c r="P746" t="s">
        <v>121</v>
      </c>
      <c r="Q746" t="str">
        <f t="shared" si="140"/>
        <v>Ludhiana</v>
      </c>
      <c r="R746" t="s">
        <v>26</v>
      </c>
      <c r="S746" t="str">
        <f t="shared" si="141"/>
        <v>Office Supplies</v>
      </c>
      <c r="T746" t="s">
        <v>151</v>
      </c>
      <c r="U746" t="str">
        <f t="shared" si="142"/>
        <v>Binders</v>
      </c>
      <c r="V746" t="s">
        <v>2343</v>
      </c>
      <c r="X746" t="s">
        <v>48</v>
      </c>
      <c r="Y746" t="str">
        <f t="shared" si="143"/>
        <v>First Class</v>
      </c>
      <c r="Z746">
        <v>5</v>
      </c>
      <c r="AA746">
        <v>2701.89</v>
      </c>
      <c r="AB746">
        <v>0.1</v>
      </c>
      <c r="AC746">
        <v>12158.5</v>
      </c>
      <c r="AD746">
        <v>10260.07</v>
      </c>
      <c r="AE746">
        <v>1898.43</v>
      </c>
      <c r="AF746" t="s">
        <v>30</v>
      </c>
      <c r="AG746" t="str">
        <f t="shared" si="144"/>
        <v>Paid</v>
      </c>
      <c r="AH746" t="s">
        <v>66</v>
      </c>
    </row>
    <row r="747" spans="1:34">
      <c r="A747" t="s">
        <v>2344</v>
      </c>
      <c r="B747">
        <f>COUNTIF($A:$A,A747)</f>
        <v>1</v>
      </c>
      <c r="C747" t="str">
        <f t="shared" si="135"/>
        <v>Unique</v>
      </c>
      <c r="D747" s="4">
        <v>45589</v>
      </c>
      <c r="E747">
        <f t="shared" si="136"/>
        <v>4</v>
      </c>
      <c r="F747" s="4">
        <v>45593</v>
      </c>
      <c r="G747" t="s">
        <v>2345</v>
      </c>
      <c r="H747" t="s">
        <v>34</v>
      </c>
      <c r="I747" t="str">
        <f t="shared" si="137"/>
        <v>Mira Das</v>
      </c>
      <c r="J747" t="s">
        <v>35</v>
      </c>
      <c r="K747" t="str">
        <f t="shared" si="138"/>
        <v>Small Business</v>
      </c>
      <c r="L747" t="s">
        <v>36</v>
      </c>
      <c r="M747" t="str">
        <f t="shared" si="145"/>
        <v>East</v>
      </c>
      <c r="N747" t="s">
        <v>164</v>
      </c>
      <c r="O747" t="str">
        <f t="shared" si="139"/>
        <v>Assam</v>
      </c>
      <c r="P747" t="s">
        <v>165</v>
      </c>
      <c r="Q747" t="str">
        <f t="shared" si="140"/>
        <v>Guwahati</v>
      </c>
      <c r="R747" t="s">
        <v>72</v>
      </c>
      <c r="S747" t="str">
        <f t="shared" si="141"/>
        <v>Technology</v>
      </c>
      <c r="T747" t="s">
        <v>78</v>
      </c>
      <c r="U747" t="str">
        <f t="shared" si="142"/>
        <v>Copiers</v>
      </c>
      <c r="V747" t="s">
        <v>2346</v>
      </c>
      <c r="X747" t="s">
        <v>57</v>
      </c>
      <c r="Y747" t="str">
        <f t="shared" si="143"/>
        <v>Standard Class</v>
      </c>
      <c r="Z747">
        <v>3</v>
      </c>
      <c r="AA747">
        <v>723.59</v>
      </c>
      <c r="AB747">
        <v>0.2</v>
      </c>
      <c r="AC747">
        <v>1736.62</v>
      </c>
      <c r="AD747">
        <v>1059.52</v>
      </c>
      <c r="AE747">
        <v>677.1</v>
      </c>
      <c r="AF747" t="s">
        <v>30</v>
      </c>
      <c r="AG747" t="str">
        <f t="shared" si="144"/>
        <v>Paid</v>
      </c>
      <c r="AH747" t="s">
        <v>31</v>
      </c>
    </row>
    <row r="748" spans="1:34">
      <c r="A748" t="s">
        <v>2347</v>
      </c>
      <c r="B748">
        <f>COUNTIF($A:$A,A748)</f>
        <v>1</v>
      </c>
      <c r="C748" t="str">
        <f t="shared" si="135"/>
        <v>Unique</v>
      </c>
      <c r="D748" s="4">
        <v>45748</v>
      </c>
      <c r="E748">
        <f t="shared" si="136"/>
        <v>183</v>
      </c>
      <c r="F748" s="4">
        <v>45931</v>
      </c>
      <c r="G748" t="s">
        <v>2052</v>
      </c>
      <c r="H748" t="s">
        <v>126</v>
      </c>
      <c r="I748" t="str">
        <f t="shared" si="137"/>
        <v>Aarav Sharma</v>
      </c>
      <c r="J748" t="s">
        <v>93</v>
      </c>
      <c r="K748" t="str">
        <f t="shared" si="138"/>
        <v>Home Office</v>
      </c>
      <c r="L748" t="s">
        <v>36</v>
      </c>
      <c r="M748" t="str">
        <f t="shared" si="145"/>
        <v>East</v>
      </c>
      <c r="N748" t="s">
        <v>97</v>
      </c>
      <c r="O748" t="str">
        <f t="shared" si="139"/>
        <v>West Bengal</v>
      </c>
      <c r="P748" t="s">
        <v>98</v>
      </c>
      <c r="Q748" t="str">
        <f t="shared" si="140"/>
        <v>Kolkata</v>
      </c>
      <c r="R748" t="s">
        <v>26</v>
      </c>
      <c r="S748" t="str">
        <f t="shared" si="141"/>
        <v>Office Supplies</v>
      </c>
      <c r="T748" t="s">
        <v>27</v>
      </c>
      <c r="U748" t="str">
        <f t="shared" si="142"/>
        <v>Paper</v>
      </c>
      <c r="V748" t="s">
        <v>2348</v>
      </c>
      <c r="X748" t="s">
        <v>57</v>
      </c>
      <c r="Y748" t="str">
        <f t="shared" si="143"/>
        <v>Standard Class</v>
      </c>
      <c r="Z748">
        <v>4</v>
      </c>
      <c r="AA748">
        <v>2583.19</v>
      </c>
      <c r="AB748">
        <v>0.2</v>
      </c>
      <c r="AC748">
        <v>8266.2099999999991</v>
      </c>
      <c r="AD748">
        <v>6236.32</v>
      </c>
      <c r="AE748">
        <v>2029.89</v>
      </c>
      <c r="AF748" t="s">
        <v>30</v>
      </c>
      <c r="AG748" t="str">
        <f t="shared" si="144"/>
        <v>Paid</v>
      </c>
      <c r="AH748" t="s">
        <v>31</v>
      </c>
    </row>
    <row r="749" spans="1:34">
      <c r="A749" t="s">
        <v>2349</v>
      </c>
      <c r="B749">
        <f>COUNTIF($A:$A,A749)</f>
        <v>1</v>
      </c>
      <c r="C749" t="str">
        <f t="shared" si="135"/>
        <v>Unique</v>
      </c>
      <c r="D749" s="4">
        <v>45296</v>
      </c>
      <c r="E749">
        <f t="shared" si="136"/>
        <v>182</v>
      </c>
      <c r="F749" s="4">
        <v>45478</v>
      </c>
      <c r="G749" t="s">
        <v>2350</v>
      </c>
      <c r="H749" t="s">
        <v>45</v>
      </c>
      <c r="I749" t="str">
        <f t="shared" si="137"/>
        <v>Isha Nair</v>
      </c>
      <c r="J749" t="s">
        <v>93</v>
      </c>
      <c r="K749" t="str">
        <f t="shared" si="138"/>
        <v>Home Office</v>
      </c>
      <c r="L749" t="s">
        <v>36</v>
      </c>
      <c r="M749" t="str">
        <f t="shared" si="145"/>
        <v>East</v>
      </c>
      <c r="N749" t="s">
        <v>37</v>
      </c>
      <c r="O749" t="str">
        <f t="shared" si="139"/>
        <v>Odisha</v>
      </c>
      <c r="P749" t="s">
        <v>38</v>
      </c>
      <c r="Q749" t="str">
        <f t="shared" si="140"/>
        <v>Bhubaneswar</v>
      </c>
      <c r="R749" t="s">
        <v>26</v>
      </c>
      <c r="S749" t="str">
        <f t="shared" si="141"/>
        <v>Office Supplies</v>
      </c>
      <c r="T749" t="s">
        <v>27</v>
      </c>
      <c r="U749" t="str">
        <f t="shared" si="142"/>
        <v>Paper</v>
      </c>
      <c r="V749" t="s">
        <v>2351</v>
      </c>
      <c r="X749" t="s">
        <v>42</v>
      </c>
      <c r="Y749" t="str">
        <f t="shared" si="143"/>
        <v>Same Day</v>
      </c>
      <c r="Z749">
        <v>8</v>
      </c>
      <c r="AA749">
        <v>1473.83</v>
      </c>
      <c r="AB749">
        <v>0.15</v>
      </c>
      <c r="AC749">
        <v>10022.040000000001</v>
      </c>
      <c r="AD749">
        <v>5576.98</v>
      </c>
      <c r="AE749">
        <v>4445.0600000000004</v>
      </c>
      <c r="AF749" t="s">
        <v>30</v>
      </c>
      <c r="AG749" t="str">
        <f t="shared" si="144"/>
        <v>Paid</v>
      </c>
      <c r="AH749" t="s">
        <v>31</v>
      </c>
    </row>
    <row r="750" spans="1:34">
      <c r="A750" t="s">
        <v>2352</v>
      </c>
      <c r="B750">
        <f>COUNTIF($A:$A,A750)</f>
        <v>1</v>
      </c>
      <c r="C750" t="str">
        <f t="shared" si="135"/>
        <v>Unique</v>
      </c>
      <c r="D750" s="4">
        <v>45442</v>
      </c>
      <c r="E750">
        <f t="shared" si="136"/>
        <v>0</v>
      </c>
      <c r="F750" s="4">
        <v>45442</v>
      </c>
      <c r="G750" t="s">
        <v>2353</v>
      </c>
      <c r="H750" t="s">
        <v>160</v>
      </c>
      <c r="I750" t="str">
        <f t="shared" si="137"/>
        <v>Diya Patel</v>
      </c>
      <c r="J750" t="s">
        <v>93</v>
      </c>
      <c r="K750" t="str">
        <f t="shared" si="138"/>
        <v>Home Office</v>
      </c>
      <c r="L750" t="s">
        <v>23</v>
      </c>
      <c r="M750" t="str">
        <f t="shared" si="145"/>
        <v>North</v>
      </c>
      <c r="N750" t="s">
        <v>235</v>
      </c>
      <c r="O750" t="str">
        <f t="shared" si="139"/>
        <v>Haryana</v>
      </c>
      <c r="P750" t="s">
        <v>236</v>
      </c>
      <c r="Q750" t="str">
        <f t="shared" si="140"/>
        <v>Gurugram</v>
      </c>
      <c r="R750" t="s">
        <v>72</v>
      </c>
      <c r="S750" t="str">
        <f t="shared" si="141"/>
        <v>Technology</v>
      </c>
      <c r="T750" t="s">
        <v>169</v>
      </c>
      <c r="U750" t="str">
        <f t="shared" si="142"/>
        <v>Phones</v>
      </c>
      <c r="V750" t="s">
        <v>2354</v>
      </c>
      <c r="X750" t="s">
        <v>29</v>
      </c>
      <c r="Y750" t="str">
        <f t="shared" si="143"/>
        <v>Second Class</v>
      </c>
      <c r="Z750">
        <v>1</v>
      </c>
      <c r="AA750">
        <v>3848.04</v>
      </c>
      <c r="AB750">
        <v>0.25</v>
      </c>
      <c r="AC750">
        <v>2886.03</v>
      </c>
      <c r="AD750">
        <v>2064.83</v>
      </c>
      <c r="AE750">
        <v>821.2</v>
      </c>
      <c r="AF750" t="s">
        <v>30</v>
      </c>
      <c r="AG750" t="str">
        <f t="shared" si="144"/>
        <v>Paid</v>
      </c>
      <c r="AH750" t="s">
        <v>31</v>
      </c>
    </row>
    <row r="751" spans="1:34">
      <c r="A751" t="s">
        <v>2355</v>
      </c>
      <c r="B751">
        <f>COUNTIF($A:$A,A751)</f>
        <v>1</v>
      </c>
      <c r="C751" t="str">
        <f t="shared" si="135"/>
        <v>Unique</v>
      </c>
      <c r="D751" s="4">
        <v>45372</v>
      </c>
      <c r="E751">
        <f t="shared" si="136"/>
        <v>4</v>
      </c>
      <c r="F751" s="4">
        <v>45376</v>
      </c>
      <c r="G751" t="s">
        <v>2356</v>
      </c>
      <c r="H751" t="s">
        <v>87</v>
      </c>
      <c r="I751" t="str">
        <f t="shared" si="137"/>
        <v>Aditi Sen</v>
      </c>
      <c r="J751" t="s">
        <v>93</v>
      </c>
      <c r="K751" t="str">
        <f t="shared" si="138"/>
        <v>Home Office</v>
      </c>
      <c r="L751" t="s">
        <v>36</v>
      </c>
      <c r="M751" t="str">
        <f t="shared" si="145"/>
        <v>East</v>
      </c>
      <c r="N751" t="s">
        <v>164</v>
      </c>
      <c r="O751" t="str">
        <f t="shared" si="139"/>
        <v>Assam</v>
      </c>
      <c r="P751" t="s">
        <v>165</v>
      </c>
      <c r="Q751" t="str">
        <f t="shared" si="140"/>
        <v>Guwahati</v>
      </c>
      <c r="R751" t="s">
        <v>72</v>
      </c>
      <c r="S751" t="str">
        <f t="shared" si="141"/>
        <v>Technology</v>
      </c>
      <c r="T751" t="s">
        <v>273</v>
      </c>
      <c r="U751" t="str">
        <f t="shared" si="142"/>
        <v>Machines</v>
      </c>
      <c r="V751" t="s">
        <v>2357</v>
      </c>
      <c r="X751" t="s">
        <v>57</v>
      </c>
      <c r="Y751" t="str">
        <f t="shared" si="143"/>
        <v>Standard Class</v>
      </c>
      <c r="Z751">
        <v>1</v>
      </c>
      <c r="AA751">
        <v>1716.7</v>
      </c>
      <c r="AB751">
        <v>0.15</v>
      </c>
      <c r="AC751">
        <v>1459.19</v>
      </c>
      <c r="AD751">
        <v>1055.79</v>
      </c>
      <c r="AE751">
        <v>403.4</v>
      </c>
      <c r="AF751" t="s">
        <v>30</v>
      </c>
      <c r="AG751" t="str">
        <f t="shared" si="144"/>
        <v>Paid</v>
      </c>
      <c r="AH751" t="s">
        <v>31</v>
      </c>
    </row>
    <row r="752" spans="1:34">
      <c r="A752" t="s">
        <v>2358</v>
      </c>
      <c r="B752">
        <f>COUNTIF($A:$A,A752)</f>
        <v>1</v>
      </c>
      <c r="C752" t="str">
        <f t="shared" si="135"/>
        <v>Unique</v>
      </c>
      <c r="D752" s="4">
        <v>45810</v>
      </c>
      <c r="E752">
        <f t="shared" si="136"/>
        <v>-116</v>
      </c>
      <c r="F752" s="4">
        <v>45694</v>
      </c>
      <c r="G752" t="s">
        <v>2359</v>
      </c>
      <c r="H752" t="s">
        <v>126</v>
      </c>
      <c r="I752" t="str">
        <f t="shared" si="137"/>
        <v>Aarav Sharma</v>
      </c>
      <c r="J752" t="s">
        <v>93</v>
      </c>
      <c r="K752" t="str">
        <f t="shared" si="138"/>
        <v>Home Office</v>
      </c>
      <c r="L752" t="s">
        <v>52</v>
      </c>
      <c r="M752" t="str">
        <f t="shared" si="145"/>
        <v>South</v>
      </c>
      <c r="N752" t="s">
        <v>53</v>
      </c>
      <c r="O752" t="str">
        <f t="shared" si="139"/>
        <v>Telangana</v>
      </c>
      <c r="P752" t="s">
        <v>54</v>
      </c>
      <c r="Q752" t="str">
        <f t="shared" si="140"/>
        <v>Hyderabad</v>
      </c>
      <c r="R752" t="s">
        <v>72</v>
      </c>
      <c r="S752" t="str">
        <f t="shared" si="141"/>
        <v>Technology</v>
      </c>
      <c r="T752" t="s">
        <v>73</v>
      </c>
      <c r="U752" t="str">
        <f t="shared" si="142"/>
        <v>Accessories</v>
      </c>
      <c r="V752" t="s">
        <v>2360</v>
      </c>
      <c r="X752" t="s">
        <v>48</v>
      </c>
      <c r="Y752" t="str">
        <f t="shared" si="143"/>
        <v>First Class</v>
      </c>
      <c r="Z752">
        <v>8</v>
      </c>
      <c r="AA752">
        <v>3925.93</v>
      </c>
      <c r="AB752">
        <v>0.15</v>
      </c>
      <c r="AC752">
        <v>26696.32</v>
      </c>
      <c r="AD752">
        <v>22724.52</v>
      </c>
      <c r="AE752">
        <v>3971.8</v>
      </c>
      <c r="AF752" t="s">
        <v>30</v>
      </c>
      <c r="AG752" t="str">
        <f t="shared" si="144"/>
        <v>Paid</v>
      </c>
      <c r="AH752" t="s">
        <v>31</v>
      </c>
    </row>
    <row r="753" spans="1:34">
      <c r="A753" t="s">
        <v>2361</v>
      </c>
      <c r="B753">
        <f>COUNTIF($A:$A,A753)</f>
        <v>1</v>
      </c>
      <c r="C753" t="str">
        <f t="shared" si="135"/>
        <v>Unique</v>
      </c>
      <c r="D753" s="4">
        <v>45856</v>
      </c>
      <c r="E753">
        <f t="shared" si="136"/>
        <v>1</v>
      </c>
      <c r="F753" s="4">
        <v>45857</v>
      </c>
      <c r="G753" t="s">
        <v>2362</v>
      </c>
      <c r="H753" t="s">
        <v>112</v>
      </c>
      <c r="I753" t="str">
        <f t="shared" si="137"/>
        <v>Priya Menon</v>
      </c>
      <c r="J753" t="s">
        <v>93</v>
      </c>
      <c r="K753" t="str">
        <f t="shared" si="138"/>
        <v>Home Office</v>
      </c>
      <c r="M753" t="s">
        <v>2828</v>
      </c>
      <c r="N753" t="s">
        <v>134</v>
      </c>
      <c r="O753" t="str">
        <f t="shared" si="139"/>
        <v>Uttar Pradesh</v>
      </c>
      <c r="P753" t="s">
        <v>135</v>
      </c>
      <c r="Q753" t="str">
        <f t="shared" si="140"/>
        <v>Noida</v>
      </c>
      <c r="R753" t="s">
        <v>72</v>
      </c>
      <c r="S753" t="str">
        <f t="shared" si="141"/>
        <v>Technology</v>
      </c>
      <c r="T753" t="s">
        <v>273</v>
      </c>
      <c r="U753" t="str">
        <f t="shared" si="142"/>
        <v>Machines</v>
      </c>
      <c r="V753" t="s">
        <v>2363</v>
      </c>
      <c r="Y753" t="s">
        <v>2828</v>
      </c>
      <c r="Z753">
        <v>3</v>
      </c>
      <c r="AA753">
        <v>2963.25</v>
      </c>
      <c r="AB753">
        <v>0.05</v>
      </c>
      <c r="AC753">
        <v>8445.26</v>
      </c>
      <c r="AD753">
        <v>6937.6</v>
      </c>
      <c r="AE753">
        <v>1507.66</v>
      </c>
      <c r="AF753" t="s">
        <v>30</v>
      </c>
      <c r="AG753" t="str">
        <f t="shared" si="144"/>
        <v>Paid</v>
      </c>
      <c r="AH753" t="s">
        <v>31</v>
      </c>
    </row>
    <row r="754" spans="1:34">
      <c r="A754" t="s">
        <v>2364</v>
      </c>
      <c r="B754">
        <f>COUNTIF($A:$A,A754)</f>
        <v>1</v>
      </c>
      <c r="C754" t="str">
        <f t="shared" si="135"/>
        <v>Unique</v>
      </c>
      <c r="D754" s="4">
        <v>45375</v>
      </c>
      <c r="E754">
        <f t="shared" si="136"/>
        <v>3</v>
      </c>
      <c r="F754" s="4">
        <v>45378</v>
      </c>
      <c r="G754" t="s">
        <v>2365</v>
      </c>
      <c r="H754" t="s">
        <v>87</v>
      </c>
      <c r="I754" t="str">
        <f t="shared" si="137"/>
        <v>Aditi Sen</v>
      </c>
      <c r="J754" t="s">
        <v>88</v>
      </c>
      <c r="K754" t="str">
        <f t="shared" si="138"/>
        <v>Corporate</v>
      </c>
      <c r="L754" t="s">
        <v>61</v>
      </c>
      <c r="M754" t="str">
        <f t="shared" ref="M754:M790" si="146">PROPER(TRIM(L754))</f>
        <v>West</v>
      </c>
      <c r="N754" t="s">
        <v>178</v>
      </c>
      <c r="O754" t="str">
        <f t="shared" si="139"/>
        <v>Gujarat</v>
      </c>
      <c r="P754" t="s">
        <v>179</v>
      </c>
      <c r="Q754" t="str">
        <f t="shared" si="140"/>
        <v>Ahmedabad</v>
      </c>
      <c r="R754" t="s">
        <v>26</v>
      </c>
      <c r="S754" t="str">
        <f t="shared" si="141"/>
        <v>Office Supplies</v>
      </c>
      <c r="T754" t="s">
        <v>122</v>
      </c>
      <c r="U754" t="str">
        <f t="shared" si="142"/>
        <v>Storage</v>
      </c>
      <c r="V754" t="s">
        <v>2366</v>
      </c>
      <c r="X754" t="s">
        <v>48</v>
      </c>
      <c r="Y754" t="str">
        <f t="shared" si="143"/>
        <v>First Class</v>
      </c>
      <c r="Z754">
        <v>5</v>
      </c>
      <c r="AA754">
        <v>2465.2199999999998</v>
      </c>
      <c r="AB754">
        <v>0.05</v>
      </c>
      <c r="AC754">
        <v>11709.79</v>
      </c>
      <c r="AD754">
        <v>8372.2900000000009</v>
      </c>
      <c r="AE754">
        <v>3337.5</v>
      </c>
      <c r="AF754" t="s">
        <v>30</v>
      </c>
      <c r="AG754" t="str">
        <f t="shared" si="144"/>
        <v>Paid</v>
      </c>
      <c r="AH754" t="s">
        <v>31</v>
      </c>
    </row>
    <row r="755" spans="1:34">
      <c r="A755" t="s">
        <v>2367</v>
      </c>
      <c r="B755">
        <f>COUNTIF($A:$A,A755)</f>
        <v>1</v>
      </c>
      <c r="C755" t="str">
        <f t="shared" si="135"/>
        <v>Unique</v>
      </c>
      <c r="D755" s="4">
        <v>45604</v>
      </c>
      <c r="E755">
        <f t="shared" si="136"/>
        <v>-31</v>
      </c>
      <c r="F755" s="4">
        <v>45573</v>
      </c>
      <c r="G755" t="s">
        <v>2368</v>
      </c>
      <c r="H755" t="s">
        <v>87</v>
      </c>
      <c r="I755" t="str">
        <f t="shared" si="137"/>
        <v>Aditi Sen</v>
      </c>
      <c r="J755" t="s">
        <v>88</v>
      </c>
      <c r="K755" t="str">
        <f t="shared" si="138"/>
        <v>Corporate</v>
      </c>
      <c r="L755" t="s">
        <v>23</v>
      </c>
      <c r="M755" t="str">
        <f t="shared" si="146"/>
        <v>North</v>
      </c>
      <c r="N755" t="s">
        <v>349</v>
      </c>
      <c r="O755" t="str">
        <f t="shared" si="139"/>
        <v>Delhi</v>
      </c>
      <c r="P755" t="s">
        <v>350</v>
      </c>
      <c r="Q755" t="str">
        <f t="shared" si="140"/>
        <v>New Delhi</v>
      </c>
      <c r="R755" t="s">
        <v>39</v>
      </c>
      <c r="S755" t="str">
        <f t="shared" si="141"/>
        <v>Furniture</v>
      </c>
      <c r="T755" t="s">
        <v>55</v>
      </c>
      <c r="U755" t="str">
        <f t="shared" si="142"/>
        <v>Furnishings</v>
      </c>
      <c r="V755" t="s">
        <v>2369</v>
      </c>
      <c r="X755" t="s">
        <v>29</v>
      </c>
      <c r="Y755" t="str">
        <f t="shared" si="143"/>
        <v>Second Class</v>
      </c>
      <c r="Z755">
        <v>3</v>
      </c>
      <c r="AA755">
        <v>1017.22</v>
      </c>
      <c r="AB755">
        <v>0.15</v>
      </c>
      <c r="AC755">
        <v>2593.91</v>
      </c>
      <c r="AD755">
        <v>1848.48</v>
      </c>
      <c r="AE755">
        <v>745.43</v>
      </c>
      <c r="AF755" t="s">
        <v>153</v>
      </c>
      <c r="AG755" t="str">
        <f t="shared" si="144"/>
        <v>Failed</v>
      </c>
      <c r="AH755" t="s">
        <v>101</v>
      </c>
    </row>
    <row r="756" spans="1:34">
      <c r="A756" t="s">
        <v>2370</v>
      </c>
      <c r="B756">
        <f>COUNTIF($A:$A,A756)</f>
        <v>1</v>
      </c>
      <c r="C756" t="str">
        <f t="shared" si="135"/>
        <v>Unique</v>
      </c>
      <c r="D756" s="4">
        <v>45812</v>
      </c>
      <c r="E756">
        <f t="shared" si="136"/>
        <v>0</v>
      </c>
      <c r="F756" s="4">
        <v>45812</v>
      </c>
      <c r="G756" t="s">
        <v>2371</v>
      </c>
      <c r="H756" t="s">
        <v>77</v>
      </c>
      <c r="I756" t="str">
        <f t="shared" si="137"/>
        <v>Neha Gupta</v>
      </c>
      <c r="J756" t="s">
        <v>88</v>
      </c>
      <c r="K756" t="str">
        <f t="shared" si="138"/>
        <v>Corporate</v>
      </c>
      <c r="L756" t="s">
        <v>52</v>
      </c>
      <c r="M756" t="str">
        <f t="shared" si="146"/>
        <v>South</v>
      </c>
      <c r="N756" t="s">
        <v>183</v>
      </c>
      <c r="O756" t="str">
        <f t="shared" si="139"/>
        <v>Kerala</v>
      </c>
      <c r="P756" t="s">
        <v>184</v>
      </c>
      <c r="Q756" t="str">
        <f t="shared" si="140"/>
        <v>Kochi</v>
      </c>
      <c r="R756" t="s">
        <v>26</v>
      </c>
      <c r="S756" t="str">
        <f t="shared" si="141"/>
        <v>Office Supplies</v>
      </c>
      <c r="T756" t="s">
        <v>122</v>
      </c>
      <c r="U756" t="str">
        <f t="shared" si="142"/>
        <v>Storage</v>
      </c>
      <c r="V756" t="s">
        <v>2372</v>
      </c>
      <c r="X756" t="s">
        <v>57</v>
      </c>
      <c r="Y756" t="str">
        <f t="shared" si="143"/>
        <v>Standard Class</v>
      </c>
      <c r="Z756">
        <v>4</v>
      </c>
      <c r="AA756">
        <v>891.34</v>
      </c>
      <c r="AB756">
        <v>0.25</v>
      </c>
      <c r="AC756">
        <v>2674.02</v>
      </c>
      <c r="AD756">
        <v>2207.5700000000002</v>
      </c>
      <c r="AE756">
        <v>466.45</v>
      </c>
      <c r="AF756" t="s">
        <v>30</v>
      </c>
      <c r="AG756" t="str">
        <f t="shared" si="144"/>
        <v>Paid</v>
      </c>
      <c r="AH756" t="s">
        <v>31</v>
      </c>
    </row>
    <row r="757" spans="1:34">
      <c r="A757" t="s">
        <v>2373</v>
      </c>
      <c r="B757">
        <f>COUNTIF($A:$A,A757)</f>
        <v>1</v>
      </c>
      <c r="C757" t="str">
        <f t="shared" si="135"/>
        <v>Unique</v>
      </c>
      <c r="D757" s="4">
        <v>45858</v>
      </c>
      <c r="E757">
        <f t="shared" si="136"/>
        <v>4</v>
      </c>
      <c r="F757" s="4">
        <v>45862</v>
      </c>
      <c r="G757" t="s">
        <v>2374</v>
      </c>
      <c r="H757" t="s">
        <v>112</v>
      </c>
      <c r="I757" t="str">
        <f t="shared" si="137"/>
        <v>Priya Menon</v>
      </c>
      <c r="J757" t="s">
        <v>93</v>
      </c>
      <c r="K757" t="str">
        <f t="shared" si="138"/>
        <v>Home Office</v>
      </c>
      <c r="L757" t="s">
        <v>61</v>
      </c>
      <c r="M757" t="str">
        <f t="shared" si="146"/>
        <v>West</v>
      </c>
      <c r="N757" t="s">
        <v>70</v>
      </c>
      <c r="O757" t="str">
        <f t="shared" si="139"/>
        <v>Madhya Pradesh</v>
      </c>
      <c r="P757" t="s">
        <v>71</v>
      </c>
      <c r="Q757" t="str">
        <f t="shared" si="140"/>
        <v>Indore</v>
      </c>
      <c r="R757" t="s">
        <v>26</v>
      </c>
      <c r="S757" t="str">
        <f t="shared" si="141"/>
        <v>Office Supplies</v>
      </c>
      <c r="T757" t="s">
        <v>122</v>
      </c>
      <c r="U757" t="str">
        <f t="shared" si="142"/>
        <v>Storage</v>
      </c>
      <c r="V757" t="s">
        <v>2375</v>
      </c>
      <c r="X757" t="s">
        <v>29</v>
      </c>
      <c r="Y757" t="str">
        <f t="shared" si="143"/>
        <v>Second Class</v>
      </c>
      <c r="Z757">
        <v>5</v>
      </c>
      <c r="AA757">
        <v>2481.7399999999998</v>
      </c>
      <c r="AB757">
        <v>0.2</v>
      </c>
      <c r="AC757">
        <v>9926.9599999999991</v>
      </c>
      <c r="AD757">
        <v>7994.98</v>
      </c>
      <c r="AE757">
        <v>1931.98</v>
      </c>
      <c r="AF757" t="s">
        <v>30</v>
      </c>
      <c r="AG757" t="str">
        <f t="shared" si="144"/>
        <v>Paid</v>
      </c>
      <c r="AH757" t="s">
        <v>31</v>
      </c>
    </row>
    <row r="758" spans="1:34">
      <c r="A758" t="s">
        <v>2376</v>
      </c>
      <c r="B758">
        <f>COUNTIF($A:$A,A758)</f>
        <v>1</v>
      </c>
      <c r="C758" t="str">
        <f t="shared" si="135"/>
        <v>Unique</v>
      </c>
      <c r="D758" s="4">
        <v>45592</v>
      </c>
      <c r="E758">
        <f t="shared" si="136"/>
        <v>5</v>
      </c>
      <c r="F758" s="4">
        <v>45597</v>
      </c>
      <c r="G758" t="s">
        <v>2377</v>
      </c>
      <c r="H758" t="s">
        <v>139</v>
      </c>
      <c r="I758" t="str">
        <f t="shared" si="137"/>
        <v>Rohan Mehta</v>
      </c>
      <c r="J758" t="s">
        <v>22</v>
      </c>
      <c r="K758" t="str">
        <f t="shared" si="138"/>
        <v>Consumer</v>
      </c>
      <c r="L758" t="s">
        <v>23</v>
      </c>
      <c r="M758" t="str">
        <f t="shared" si="146"/>
        <v>North</v>
      </c>
      <c r="N758" t="s">
        <v>24</v>
      </c>
      <c r="O758" t="str">
        <f t="shared" si="139"/>
        <v>Rajasthan</v>
      </c>
      <c r="P758" t="s">
        <v>25</v>
      </c>
      <c r="Q758" t="str">
        <f t="shared" si="140"/>
        <v>Jaipur</v>
      </c>
      <c r="R758" t="s">
        <v>72</v>
      </c>
      <c r="S758" t="str">
        <f t="shared" si="141"/>
        <v>Technology</v>
      </c>
      <c r="T758" t="s">
        <v>73</v>
      </c>
      <c r="U758" t="str">
        <f t="shared" si="142"/>
        <v>Accessories</v>
      </c>
      <c r="V758" t="s">
        <v>2378</v>
      </c>
      <c r="X758" t="s">
        <v>42</v>
      </c>
      <c r="Y758" t="str">
        <f t="shared" si="143"/>
        <v>Same Day</v>
      </c>
      <c r="Z758">
        <v>7</v>
      </c>
      <c r="AA758">
        <v>2177.1</v>
      </c>
      <c r="AB758">
        <v>0.2</v>
      </c>
      <c r="AC758">
        <v>12191.76</v>
      </c>
      <c r="AD758">
        <v>10457.49</v>
      </c>
      <c r="AE758">
        <v>1734.27</v>
      </c>
      <c r="AF758" t="s">
        <v>30</v>
      </c>
      <c r="AG758" t="str">
        <f t="shared" si="144"/>
        <v>Paid</v>
      </c>
      <c r="AH758" t="s">
        <v>101</v>
      </c>
    </row>
    <row r="759" spans="1:34">
      <c r="A759" t="s">
        <v>2379</v>
      </c>
      <c r="B759">
        <f>COUNTIF($A:$A,A759)</f>
        <v>1</v>
      </c>
      <c r="C759" t="str">
        <f t="shared" si="135"/>
        <v>Unique</v>
      </c>
      <c r="D759" s="4">
        <v>45665</v>
      </c>
      <c r="E759">
        <f t="shared" si="136"/>
        <v>59</v>
      </c>
      <c r="F759" s="4">
        <v>45724</v>
      </c>
      <c r="G759" t="s">
        <v>2380</v>
      </c>
      <c r="H759" t="s">
        <v>87</v>
      </c>
      <c r="I759" t="str">
        <f t="shared" si="137"/>
        <v>Aditi Sen</v>
      </c>
      <c r="J759" t="s">
        <v>35</v>
      </c>
      <c r="K759" t="str">
        <f t="shared" si="138"/>
        <v>Small Business</v>
      </c>
      <c r="L759" t="s">
        <v>52</v>
      </c>
      <c r="M759" t="str">
        <f t="shared" si="146"/>
        <v>South</v>
      </c>
      <c r="N759" t="s">
        <v>183</v>
      </c>
      <c r="O759" t="str">
        <f t="shared" si="139"/>
        <v>Kerala</v>
      </c>
      <c r="P759" t="s">
        <v>184</v>
      </c>
      <c r="Q759" t="str">
        <f t="shared" si="140"/>
        <v>Kochi</v>
      </c>
      <c r="R759" t="s">
        <v>39</v>
      </c>
      <c r="S759" t="str">
        <f t="shared" si="141"/>
        <v>Furniture</v>
      </c>
      <c r="T759" t="s">
        <v>156</v>
      </c>
      <c r="U759" t="str">
        <f t="shared" si="142"/>
        <v>Bookcases</v>
      </c>
      <c r="V759" t="s">
        <v>2381</v>
      </c>
      <c r="X759" t="s">
        <v>57</v>
      </c>
      <c r="Y759" t="str">
        <f t="shared" si="143"/>
        <v>Standard Class</v>
      </c>
      <c r="Z759">
        <v>3</v>
      </c>
      <c r="AA759">
        <v>1904.78</v>
      </c>
      <c r="AB759">
        <v>0.25</v>
      </c>
      <c r="AC759">
        <v>4285.76</v>
      </c>
      <c r="AD759">
        <v>2386.33</v>
      </c>
      <c r="AE759">
        <v>1899.43</v>
      </c>
      <c r="AF759" t="s">
        <v>153</v>
      </c>
      <c r="AG759" t="str">
        <f t="shared" si="144"/>
        <v>Failed</v>
      </c>
      <c r="AH759" t="s">
        <v>66</v>
      </c>
    </row>
    <row r="760" spans="1:34">
      <c r="A760" t="s">
        <v>2382</v>
      </c>
      <c r="B760">
        <f>COUNTIF($A:$A,A760)</f>
        <v>1</v>
      </c>
      <c r="C760" t="str">
        <f t="shared" si="135"/>
        <v>Unique</v>
      </c>
      <c r="D760" s="4">
        <v>45327</v>
      </c>
      <c r="E760">
        <f t="shared" si="136"/>
        <v>243</v>
      </c>
      <c r="F760" s="4">
        <v>45570</v>
      </c>
      <c r="G760" t="s">
        <v>2383</v>
      </c>
      <c r="H760" t="s">
        <v>126</v>
      </c>
      <c r="I760" t="str">
        <f t="shared" si="137"/>
        <v>Aarav Sharma</v>
      </c>
      <c r="J760" t="s">
        <v>35</v>
      </c>
      <c r="K760" t="str">
        <f t="shared" si="138"/>
        <v>Small Business</v>
      </c>
      <c r="L760" t="s">
        <v>52</v>
      </c>
      <c r="M760" t="str">
        <f t="shared" si="146"/>
        <v>South</v>
      </c>
      <c r="N760" t="s">
        <v>173</v>
      </c>
      <c r="O760" t="str">
        <f t="shared" si="139"/>
        <v>Karnataka</v>
      </c>
      <c r="P760" t="s">
        <v>174</v>
      </c>
      <c r="Q760" t="str">
        <f t="shared" si="140"/>
        <v>Bengaluru</v>
      </c>
      <c r="R760" t="s">
        <v>39</v>
      </c>
      <c r="S760" t="str">
        <f t="shared" si="141"/>
        <v>Furniture</v>
      </c>
      <c r="T760" t="s">
        <v>64</v>
      </c>
      <c r="U760" t="str">
        <f t="shared" si="142"/>
        <v>Chairs</v>
      </c>
      <c r="V760" t="s">
        <v>2384</v>
      </c>
      <c r="X760" t="s">
        <v>57</v>
      </c>
      <c r="Y760" t="str">
        <f t="shared" si="143"/>
        <v>Standard Class</v>
      </c>
      <c r="Z760">
        <v>1</v>
      </c>
      <c r="AA760">
        <v>4166.91</v>
      </c>
      <c r="AB760">
        <v>0</v>
      </c>
      <c r="AC760">
        <v>4166.91</v>
      </c>
      <c r="AD760">
        <v>3412.63</v>
      </c>
      <c r="AE760">
        <v>754.28</v>
      </c>
      <c r="AF760" t="s">
        <v>30</v>
      </c>
      <c r="AG760" t="str">
        <f t="shared" si="144"/>
        <v>Paid</v>
      </c>
      <c r="AH760" t="s">
        <v>31</v>
      </c>
    </row>
    <row r="761" spans="1:34">
      <c r="A761" t="s">
        <v>2385</v>
      </c>
      <c r="B761">
        <f>COUNTIF($A:$A,A761)</f>
        <v>1</v>
      </c>
      <c r="C761" t="str">
        <f t="shared" si="135"/>
        <v>Unique</v>
      </c>
      <c r="D761" s="4">
        <v>45492</v>
      </c>
      <c r="E761">
        <f t="shared" si="136"/>
        <v>7</v>
      </c>
      <c r="F761" s="4">
        <v>45499</v>
      </c>
      <c r="G761" t="s">
        <v>2386</v>
      </c>
      <c r="H761" t="s">
        <v>51</v>
      </c>
      <c r="I761" t="str">
        <f t="shared" si="137"/>
        <v>Arjun Bose</v>
      </c>
      <c r="J761" t="s">
        <v>93</v>
      </c>
      <c r="K761" t="str">
        <f t="shared" si="138"/>
        <v>Home Office</v>
      </c>
      <c r="L761" t="s">
        <v>52</v>
      </c>
      <c r="M761" t="str">
        <f t="shared" si="146"/>
        <v>South</v>
      </c>
      <c r="N761" t="s">
        <v>173</v>
      </c>
      <c r="O761" t="str">
        <f t="shared" si="139"/>
        <v>Karnataka</v>
      </c>
      <c r="P761" t="s">
        <v>174</v>
      </c>
      <c r="Q761" t="str">
        <f t="shared" si="140"/>
        <v>Bengaluru</v>
      </c>
      <c r="R761" t="s">
        <v>39</v>
      </c>
      <c r="S761" t="str">
        <f t="shared" si="141"/>
        <v>Furniture</v>
      </c>
      <c r="T761" t="s">
        <v>40</v>
      </c>
      <c r="U761" t="str">
        <f t="shared" si="142"/>
        <v>Tables</v>
      </c>
      <c r="V761" t="s">
        <v>2387</v>
      </c>
      <c r="X761" t="s">
        <v>29</v>
      </c>
      <c r="Y761" t="str">
        <f t="shared" si="143"/>
        <v>Second Class</v>
      </c>
      <c r="Z761">
        <v>5</v>
      </c>
      <c r="AA761">
        <v>3986.01</v>
      </c>
      <c r="AB761">
        <v>0.25</v>
      </c>
      <c r="AC761">
        <v>14947.54</v>
      </c>
      <c r="AD761">
        <v>9438.4599999999991</v>
      </c>
      <c r="AE761">
        <v>5509.08</v>
      </c>
      <c r="AF761" t="s">
        <v>30</v>
      </c>
      <c r="AG761" t="str">
        <f t="shared" si="144"/>
        <v>Paid</v>
      </c>
      <c r="AH761" t="s">
        <v>31</v>
      </c>
    </row>
    <row r="762" spans="1:34">
      <c r="A762" t="s">
        <v>2388</v>
      </c>
      <c r="B762">
        <f>COUNTIF($A:$A,A762)</f>
        <v>1</v>
      </c>
      <c r="C762" t="str">
        <f t="shared" si="135"/>
        <v>Unique</v>
      </c>
      <c r="D762" s="4">
        <v>45532</v>
      </c>
      <c r="E762">
        <f t="shared" si="136"/>
        <v>-201</v>
      </c>
      <c r="F762" s="4">
        <v>45331</v>
      </c>
      <c r="G762" t="s">
        <v>2389</v>
      </c>
      <c r="H762" t="s">
        <v>87</v>
      </c>
      <c r="I762" t="str">
        <f t="shared" si="137"/>
        <v>Aditi Sen</v>
      </c>
      <c r="J762" t="s">
        <v>93</v>
      </c>
      <c r="K762" t="str">
        <f t="shared" si="138"/>
        <v>Home Office</v>
      </c>
      <c r="L762" t="s">
        <v>36</v>
      </c>
      <c r="M762" t="str">
        <f t="shared" si="146"/>
        <v>East</v>
      </c>
      <c r="N762" t="s">
        <v>164</v>
      </c>
      <c r="O762" t="str">
        <f t="shared" si="139"/>
        <v>Assam</v>
      </c>
      <c r="P762" t="s">
        <v>165</v>
      </c>
      <c r="Q762" t="str">
        <f t="shared" si="140"/>
        <v>Guwahati</v>
      </c>
      <c r="R762" t="s">
        <v>26</v>
      </c>
      <c r="S762" t="str">
        <f t="shared" si="141"/>
        <v>Office Supplies</v>
      </c>
      <c r="T762" t="s">
        <v>46</v>
      </c>
      <c r="U762" t="str">
        <f t="shared" si="142"/>
        <v>Art</v>
      </c>
      <c r="V762" t="s">
        <v>2390</v>
      </c>
      <c r="X762" t="s">
        <v>29</v>
      </c>
      <c r="Y762" t="str">
        <f t="shared" si="143"/>
        <v>Second Class</v>
      </c>
      <c r="Z762">
        <v>4</v>
      </c>
      <c r="AA762">
        <v>3365.53</v>
      </c>
      <c r="AB762">
        <v>0</v>
      </c>
      <c r="AC762">
        <v>13462.12</v>
      </c>
      <c r="AD762">
        <v>7600.63</v>
      </c>
      <c r="AE762">
        <v>5861.49</v>
      </c>
      <c r="AF762" t="s">
        <v>109</v>
      </c>
      <c r="AG762" t="str">
        <f t="shared" si="144"/>
        <v>Pending</v>
      </c>
      <c r="AH762" t="s">
        <v>101</v>
      </c>
    </row>
    <row r="763" spans="1:34">
      <c r="A763" t="s">
        <v>2391</v>
      </c>
      <c r="B763">
        <f>COUNTIF($A:$A,A763)</f>
        <v>1</v>
      </c>
      <c r="C763" t="str">
        <f t="shared" si="135"/>
        <v>Unique</v>
      </c>
      <c r="D763" s="4">
        <v>45896</v>
      </c>
      <c r="E763">
        <f t="shared" si="136"/>
        <v>4</v>
      </c>
      <c r="F763" s="4">
        <v>45900</v>
      </c>
      <c r="G763" t="s">
        <v>2392</v>
      </c>
      <c r="H763" t="s">
        <v>45</v>
      </c>
      <c r="I763" t="str">
        <f t="shared" si="137"/>
        <v>Isha Nair</v>
      </c>
      <c r="J763" t="s">
        <v>22</v>
      </c>
      <c r="K763" t="str">
        <f t="shared" si="138"/>
        <v>Consumer</v>
      </c>
      <c r="L763" t="s">
        <v>52</v>
      </c>
      <c r="M763" t="str">
        <f t="shared" si="146"/>
        <v>South</v>
      </c>
      <c r="N763" t="s">
        <v>173</v>
      </c>
      <c r="O763" t="str">
        <f t="shared" si="139"/>
        <v>Karnataka</v>
      </c>
      <c r="P763" t="s">
        <v>174</v>
      </c>
      <c r="Q763" t="str">
        <f t="shared" si="140"/>
        <v>Bengaluru</v>
      </c>
      <c r="R763" t="s">
        <v>72</v>
      </c>
      <c r="S763" t="str">
        <f t="shared" si="141"/>
        <v>Technology</v>
      </c>
      <c r="T763" t="s">
        <v>273</v>
      </c>
      <c r="U763" t="str">
        <f t="shared" si="142"/>
        <v>Machines</v>
      </c>
      <c r="V763" t="s">
        <v>2393</v>
      </c>
      <c r="X763" t="s">
        <v>48</v>
      </c>
      <c r="Y763" t="str">
        <f t="shared" si="143"/>
        <v>First Class</v>
      </c>
      <c r="Z763">
        <v>3</v>
      </c>
      <c r="AA763">
        <v>2489.12</v>
      </c>
      <c r="AB763">
        <v>0</v>
      </c>
      <c r="AC763">
        <v>7467.36</v>
      </c>
      <c r="AD763">
        <v>5010.6099999999997</v>
      </c>
      <c r="AE763">
        <v>2456.75</v>
      </c>
      <c r="AF763" t="s">
        <v>30</v>
      </c>
      <c r="AG763" t="str">
        <f t="shared" si="144"/>
        <v>Paid</v>
      </c>
      <c r="AH763" t="s">
        <v>31</v>
      </c>
    </row>
    <row r="764" spans="1:34">
      <c r="A764" t="s">
        <v>2394</v>
      </c>
      <c r="B764">
        <f>COUNTIF($A:$A,A764)</f>
        <v>1</v>
      </c>
      <c r="C764" t="str">
        <f t="shared" si="135"/>
        <v>Unique</v>
      </c>
      <c r="D764" s="4">
        <v>45292</v>
      </c>
      <c r="E764">
        <f t="shared" si="136"/>
        <v>121</v>
      </c>
      <c r="F764" s="4">
        <v>45413</v>
      </c>
      <c r="G764" t="s">
        <v>2395</v>
      </c>
      <c r="H764" t="s">
        <v>160</v>
      </c>
      <c r="I764" t="str">
        <f t="shared" si="137"/>
        <v>Diya Patel</v>
      </c>
      <c r="J764" t="s">
        <v>88</v>
      </c>
      <c r="K764" t="str">
        <f t="shared" si="138"/>
        <v>Corporate</v>
      </c>
      <c r="L764" t="s">
        <v>61</v>
      </c>
      <c r="M764" t="str">
        <f t="shared" si="146"/>
        <v>West</v>
      </c>
      <c r="N764" t="s">
        <v>70</v>
      </c>
      <c r="O764" t="str">
        <f t="shared" si="139"/>
        <v>Madhya Pradesh</v>
      </c>
      <c r="P764" t="s">
        <v>71</v>
      </c>
      <c r="Q764" t="str">
        <f t="shared" si="140"/>
        <v>Indore</v>
      </c>
      <c r="R764" t="s">
        <v>72</v>
      </c>
      <c r="S764" t="str">
        <f t="shared" si="141"/>
        <v>Technology</v>
      </c>
      <c r="T764" t="s">
        <v>273</v>
      </c>
      <c r="U764" t="str">
        <f t="shared" si="142"/>
        <v>Machines</v>
      </c>
      <c r="V764" t="s">
        <v>2396</v>
      </c>
      <c r="X764" t="s">
        <v>29</v>
      </c>
      <c r="Y764" t="str">
        <f t="shared" si="143"/>
        <v>Second Class</v>
      </c>
      <c r="Z764">
        <v>2</v>
      </c>
      <c r="AA764">
        <v>3694.12</v>
      </c>
      <c r="AB764">
        <v>0.2</v>
      </c>
      <c r="AC764">
        <v>5910.59</v>
      </c>
      <c r="AD764">
        <v>4775.4399999999996</v>
      </c>
      <c r="AE764">
        <v>1135.1500000000001</v>
      </c>
      <c r="AF764" t="s">
        <v>100</v>
      </c>
      <c r="AG764" t="str">
        <f t="shared" si="144"/>
        <v>Refunded</v>
      </c>
      <c r="AH764" t="s">
        <v>101</v>
      </c>
    </row>
    <row r="765" spans="1:34">
      <c r="A765" t="s">
        <v>2397</v>
      </c>
      <c r="B765">
        <f>COUNTIF($A:$A,A765)</f>
        <v>1</v>
      </c>
      <c r="C765" t="str">
        <f t="shared" si="135"/>
        <v>Unique</v>
      </c>
      <c r="D765" s="4">
        <v>45892</v>
      </c>
      <c r="E765">
        <f t="shared" si="136"/>
        <v>2</v>
      </c>
      <c r="F765" s="4">
        <v>45894</v>
      </c>
      <c r="G765" t="s">
        <v>2398</v>
      </c>
      <c r="H765" t="s">
        <v>160</v>
      </c>
      <c r="I765" t="str">
        <f t="shared" si="137"/>
        <v>Diya Patel</v>
      </c>
      <c r="J765" t="s">
        <v>22</v>
      </c>
      <c r="K765" t="str">
        <f t="shared" si="138"/>
        <v>Consumer</v>
      </c>
      <c r="L765" t="s">
        <v>23</v>
      </c>
      <c r="M765" t="str">
        <f t="shared" si="146"/>
        <v>North</v>
      </c>
      <c r="N765" t="s">
        <v>24</v>
      </c>
      <c r="O765" t="str">
        <f t="shared" si="139"/>
        <v>Rajasthan</v>
      </c>
      <c r="P765" t="s">
        <v>25</v>
      </c>
      <c r="Q765" t="str">
        <f t="shared" si="140"/>
        <v>Jaipur</v>
      </c>
      <c r="R765" t="s">
        <v>39</v>
      </c>
      <c r="S765" t="str">
        <f t="shared" si="141"/>
        <v>Furniture</v>
      </c>
      <c r="T765" t="s">
        <v>55</v>
      </c>
      <c r="U765" t="str">
        <f t="shared" si="142"/>
        <v>Furnishings</v>
      </c>
      <c r="V765" t="s">
        <v>2399</v>
      </c>
      <c r="X765" t="s">
        <v>42</v>
      </c>
      <c r="Y765" t="str">
        <f t="shared" si="143"/>
        <v>Same Day</v>
      </c>
      <c r="Z765">
        <v>6</v>
      </c>
      <c r="AA765">
        <v>2742.48</v>
      </c>
      <c r="AB765">
        <v>0</v>
      </c>
      <c r="AC765">
        <v>16454.88</v>
      </c>
      <c r="AD765">
        <v>12081.54</v>
      </c>
      <c r="AE765">
        <v>4373.34</v>
      </c>
      <c r="AF765" t="s">
        <v>30</v>
      </c>
      <c r="AG765" t="str">
        <f t="shared" si="144"/>
        <v>Paid</v>
      </c>
      <c r="AH765" t="s">
        <v>31</v>
      </c>
    </row>
    <row r="766" spans="1:34">
      <c r="A766" t="s">
        <v>2400</v>
      </c>
      <c r="B766">
        <f>COUNTIF($A:$A,A766)</f>
        <v>1</v>
      </c>
      <c r="C766" t="str">
        <f t="shared" si="135"/>
        <v>Unique</v>
      </c>
      <c r="D766" s="4">
        <v>45760</v>
      </c>
      <c r="E766">
        <f t="shared" si="136"/>
        <v>0</v>
      </c>
      <c r="F766" s="4">
        <v>45760</v>
      </c>
      <c r="G766" t="s">
        <v>899</v>
      </c>
      <c r="H766" t="s">
        <v>112</v>
      </c>
      <c r="I766" t="str">
        <f t="shared" si="137"/>
        <v>Priya Menon</v>
      </c>
      <c r="J766" t="s">
        <v>88</v>
      </c>
      <c r="K766" t="str">
        <f t="shared" si="138"/>
        <v>Corporate</v>
      </c>
      <c r="L766" t="s">
        <v>52</v>
      </c>
      <c r="M766" t="str">
        <f t="shared" si="146"/>
        <v>South</v>
      </c>
      <c r="N766" t="s">
        <v>183</v>
      </c>
      <c r="O766" t="str">
        <f t="shared" si="139"/>
        <v>Kerala</v>
      </c>
      <c r="P766" t="s">
        <v>184</v>
      </c>
      <c r="Q766" t="str">
        <f t="shared" si="140"/>
        <v>Kochi</v>
      </c>
      <c r="R766" t="s">
        <v>39</v>
      </c>
      <c r="S766" t="str">
        <f t="shared" si="141"/>
        <v>Furniture</v>
      </c>
      <c r="T766" t="s">
        <v>156</v>
      </c>
      <c r="U766" t="str">
        <f t="shared" si="142"/>
        <v>Bookcases</v>
      </c>
      <c r="V766" t="s">
        <v>2401</v>
      </c>
      <c r="X766" t="s">
        <v>48</v>
      </c>
      <c r="Y766" t="str">
        <f t="shared" si="143"/>
        <v>First Class</v>
      </c>
      <c r="Z766">
        <v>6</v>
      </c>
      <c r="AA766">
        <v>4414</v>
      </c>
      <c r="AB766">
        <v>0.05</v>
      </c>
      <c r="AC766">
        <v>25159.8</v>
      </c>
      <c r="AD766">
        <v>21606.83</v>
      </c>
      <c r="AE766">
        <v>3552.97</v>
      </c>
      <c r="AF766" t="s">
        <v>30</v>
      </c>
      <c r="AG766" t="str">
        <f t="shared" si="144"/>
        <v>Paid</v>
      </c>
      <c r="AH766" t="s">
        <v>31</v>
      </c>
    </row>
    <row r="767" spans="1:34">
      <c r="A767" t="s">
        <v>2402</v>
      </c>
      <c r="B767">
        <f>COUNTIF($A:$A,A767)</f>
        <v>1</v>
      </c>
      <c r="C767" t="str">
        <f t="shared" si="135"/>
        <v>Unique</v>
      </c>
      <c r="D767" s="4">
        <v>45837</v>
      </c>
      <c r="E767">
        <f t="shared" si="136"/>
        <v>-114</v>
      </c>
      <c r="F767" s="4">
        <v>45723</v>
      </c>
      <c r="G767" t="s">
        <v>2403</v>
      </c>
      <c r="H767" t="s">
        <v>69</v>
      </c>
      <c r="I767" t="str">
        <f t="shared" si="137"/>
        <v>Vikram Iyer</v>
      </c>
      <c r="J767" t="s">
        <v>88</v>
      </c>
      <c r="K767" t="str">
        <f t="shared" si="138"/>
        <v>Corporate</v>
      </c>
      <c r="L767" t="s">
        <v>36</v>
      </c>
      <c r="M767" t="str">
        <f t="shared" si="146"/>
        <v>East</v>
      </c>
      <c r="N767" t="s">
        <v>227</v>
      </c>
      <c r="O767" t="str">
        <f t="shared" si="139"/>
        <v>Jharkhand</v>
      </c>
      <c r="P767" t="s">
        <v>228</v>
      </c>
      <c r="Q767" t="str">
        <f t="shared" si="140"/>
        <v>Ranchi</v>
      </c>
      <c r="R767" t="s">
        <v>26</v>
      </c>
      <c r="S767" t="str">
        <f t="shared" si="141"/>
        <v>Office Supplies</v>
      </c>
      <c r="T767" t="s">
        <v>89</v>
      </c>
      <c r="U767" t="str">
        <f t="shared" si="142"/>
        <v>Labels</v>
      </c>
      <c r="V767" t="s">
        <v>2404</v>
      </c>
      <c r="X767" t="s">
        <v>48</v>
      </c>
      <c r="Y767" t="str">
        <f t="shared" si="143"/>
        <v>First Class</v>
      </c>
      <c r="Z767">
        <v>3</v>
      </c>
      <c r="AA767">
        <v>608.14</v>
      </c>
      <c r="AB767">
        <v>0</v>
      </c>
      <c r="AC767">
        <v>1824.42</v>
      </c>
      <c r="AD767">
        <v>1214.8699999999999</v>
      </c>
      <c r="AE767">
        <v>609.54999999999995</v>
      </c>
      <c r="AF767" t="s">
        <v>30</v>
      </c>
      <c r="AG767" t="str">
        <f t="shared" si="144"/>
        <v>Paid</v>
      </c>
      <c r="AH767" t="s">
        <v>31</v>
      </c>
    </row>
    <row r="768" spans="1:34">
      <c r="A768" t="s">
        <v>2405</v>
      </c>
      <c r="B768">
        <f>COUNTIF($A:$A,A768)</f>
        <v>1</v>
      </c>
      <c r="C768" t="str">
        <f t="shared" si="135"/>
        <v>Unique</v>
      </c>
      <c r="D768" s="4">
        <v>45552</v>
      </c>
      <c r="E768">
        <f t="shared" si="136"/>
        <v>7</v>
      </c>
      <c r="F768" s="4">
        <v>45559</v>
      </c>
      <c r="G768" t="s">
        <v>2406</v>
      </c>
      <c r="H768" t="s">
        <v>34</v>
      </c>
      <c r="I768" t="str">
        <f t="shared" si="137"/>
        <v>Mira Das</v>
      </c>
      <c r="J768" t="s">
        <v>88</v>
      </c>
      <c r="K768" t="str">
        <f t="shared" si="138"/>
        <v>Corporate</v>
      </c>
      <c r="L768" t="s">
        <v>61</v>
      </c>
      <c r="M768" t="str">
        <f t="shared" si="146"/>
        <v>West</v>
      </c>
      <c r="N768" t="s">
        <v>178</v>
      </c>
      <c r="O768" t="str">
        <f t="shared" si="139"/>
        <v>Gujarat</v>
      </c>
      <c r="P768" t="s">
        <v>179</v>
      </c>
      <c r="Q768" t="str">
        <f t="shared" si="140"/>
        <v>Ahmedabad</v>
      </c>
      <c r="R768" t="s">
        <v>26</v>
      </c>
      <c r="S768" t="str">
        <f t="shared" si="141"/>
        <v>Office Supplies</v>
      </c>
      <c r="T768" t="s">
        <v>46</v>
      </c>
      <c r="U768" t="str">
        <f t="shared" si="142"/>
        <v>Art</v>
      </c>
      <c r="V768" t="s">
        <v>2407</v>
      </c>
      <c r="X768" t="s">
        <v>29</v>
      </c>
      <c r="Y768" t="str">
        <f t="shared" si="143"/>
        <v>Second Class</v>
      </c>
      <c r="Z768">
        <v>9</v>
      </c>
      <c r="AA768">
        <v>2307.96</v>
      </c>
      <c r="AB768">
        <v>0.2</v>
      </c>
      <c r="AC768">
        <v>16617.310000000001</v>
      </c>
      <c r="AD768">
        <v>9195.73</v>
      </c>
      <c r="AE768">
        <v>7421.58</v>
      </c>
      <c r="AF768" t="s">
        <v>30</v>
      </c>
      <c r="AG768" t="str">
        <f t="shared" si="144"/>
        <v>Paid</v>
      </c>
      <c r="AH768" t="s">
        <v>66</v>
      </c>
    </row>
    <row r="769" spans="1:34">
      <c r="A769" t="s">
        <v>2408</v>
      </c>
      <c r="B769">
        <f>COUNTIF($A:$A,A769)</f>
        <v>1</v>
      </c>
      <c r="C769" t="str">
        <f t="shared" si="135"/>
        <v>Unique</v>
      </c>
      <c r="D769" s="4">
        <v>45356</v>
      </c>
      <c r="E769">
        <f t="shared" si="136"/>
        <v>62</v>
      </c>
      <c r="F769" s="4">
        <v>45418</v>
      </c>
      <c r="G769" t="s">
        <v>2409</v>
      </c>
      <c r="H769" t="s">
        <v>60</v>
      </c>
      <c r="I769" t="str">
        <f t="shared" si="137"/>
        <v>Ananya Rao</v>
      </c>
      <c r="J769" t="s">
        <v>93</v>
      </c>
      <c r="K769" t="str">
        <f t="shared" si="138"/>
        <v>Home Office</v>
      </c>
      <c r="L769" t="s">
        <v>23</v>
      </c>
      <c r="M769" t="str">
        <f t="shared" si="146"/>
        <v>North</v>
      </c>
      <c r="N769" t="s">
        <v>134</v>
      </c>
      <c r="O769" t="str">
        <f t="shared" si="139"/>
        <v>Uttar Pradesh</v>
      </c>
      <c r="P769" t="s">
        <v>135</v>
      </c>
      <c r="Q769" t="str">
        <f t="shared" si="140"/>
        <v>Noida</v>
      </c>
      <c r="R769" t="s">
        <v>614</v>
      </c>
      <c r="S769" t="str">
        <f t="shared" si="141"/>
        <v>Office Supplies</v>
      </c>
      <c r="T769" t="s">
        <v>151</v>
      </c>
      <c r="U769" t="str">
        <f t="shared" si="142"/>
        <v>Binders</v>
      </c>
      <c r="V769" t="s">
        <v>2410</v>
      </c>
      <c r="X769" t="s">
        <v>57</v>
      </c>
      <c r="Y769" t="str">
        <f t="shared" si="143"/>
        <v>Standard Class</v>
      </c>
      <c r="Z769">
        <v>1</v>
      </c>
      <c r="AA769">
        <v>1244.58</v>
      </c>
      <c r="AB769">
        <v>0.25</v>
      </c>
      <c r="AC769">
        <v>933.43</v>
      </c>
      <c r="AD769">
        <v>583.09</v>
      </c>
      <c r="AE769">
        <v>350.34</v>
      </c>
      <c r="AF769" t="s">
        <v>30</v>
      </c>
      <c r="AG769" t="str">
        <f t="shared" si="144"/>
        <v>Paid</v>
      </c>
      <c r="AH769" t="s">
        <v>31</v>
      </c>
    </row>
    <row r="770" spans="1:34">
      <c r="A770" t="s">
        <v>2411</v>
      </c>
      <c r="B770">
        <f>COUNTIF($A:$A,A770)</f>
        <v>1</v>
      </c>
      <c r="C770" t="str">
        <f t="shared" ref="C770:C833" si="147">IF(B770&gt;1,"Review Duplicate ID","Unique")</f>
        <v>Unique</v>
      </c>
      <c r="D770" s="4">
        <v>45692</v>
      </c>
      <c r="E770">
        <f t="shared" ref="E770:E833" si="148">F770-D770</f>
        <v>59</v>
      </c>
      <c r="F770" s="4">
        <v>45751</v>
      </c>
      <c r="G770" t="s">
        <v>2412</v>
      </c>
      <c r="H770" t="s">
        <v>130</v>
      </c>
      <c r="I770" t="str">
        <f t="shared" ref="I770:I833" si="149">PROPER(TRIM(H770))</f>
        <v>Sneha Kapoor</v>
      </c>
      <c r="J770" t="s">
        <v>93</v>
      </c>
      <c r="K770" t="str">
        <f t="shared" ref="K770:K833" si="150">PROPER(TRIM(J770))</f>
        <v>Home Office</v>
      </c>
      <c r="L770" t="s">
        <v>36</v>
      </c>
      <c r="M770" t="str">
        <f t="shared" si="146"/>
        <v>East</v>
      </c>
      <c r="N770" t="s">
        <v>227</v>
      </c>
      <c r="O770" t="str">
        <f t="shared" ref="O770:O833" si="151">PROPER(TRIM(N770))</f>
        <v>Jharkhand</v>
      </c>
      <c r="P770" t="s">
        <v>228</v>
      </c>
      <c r="Q770" t="str">
        <f t="shared" ref="Q770:Q833" si="152">PROPER(TRIM(P770))</f>
        <v>Ranchi</v>
      </c>
      <c r="R770" t="s">
        <v>26</v>
      </c>
      <c r="S770" t="str">
        <f t="shared" ref="S770:S833" si="153">PROPER(TRIM(R770))</f>
        <v>Office Supplies</v>
      </c>
      <c r="T770" t="s">
        <v>27</v>
      </c>
      <c r="U770" t="str">
        <f t="shared" ref="U770:U833" si="154">PROPER(TRIM(T770))</f>
        <v>Paper</v>
      </c>
      <c r="V770" t="s">
        <v>2413</v>
      </c>
      <c r="X770" t="s">
        <v>42</v>
      </c>
      <c r="Y770" t="str">
        <f t="shared" si="143"/>
        <v>Same Day</v>
      </c>
      <c r="Z770">
        <v>5</v>
      </c>
      <c r="AA770">
        <v>3234.24</v>
      </c>
      <c r="AB770">
        <v>0.1</v>
      </c>
      <c r="AC770">
        <v>14554.08</v>
      </c>
      <c r="AD770">
        <v>11166.84</v>
      </c>
      <c r="AE770">
        <v>3387.24</v>
      </c>
      <c r="AF770" t="s">
        <v>30</v>
      </c>
      <c r="AG770" t="str">
        <f t="shared" si="144"/>
        <v>Paid</v>
      </c>
      <c r="AH770" t="s">
        <v>31</v>
      </c>
    </row>
    <row r="771" spans="1:34">
      <c r="A771" t="s">
        <v>2414</v>
      </c>
      <c r="B771">
        <f>COUNTIF($A:$A,A771)</f>
        <v>1</v>
      </c>
      <c r="C771" t="str">
        <f t="shared" si="147"/>
        <v>Unique</v>
      </c>
      <c r="D771" s="4">
        <v>45423</v>
      </c>
      <c r="E771">
        <f t="shared" si="148"/>
        <v>2</v>
      </c>
      <c r="F771" s="4">
        <v>45425</v>
      </c>
      <c r="G771" t="s">
        <v>2415</v>
      </c>
      <c r="H771" t="s">
        <v>112</v>
      </c>
      <c r="I771" t="str">
        <f t="shared" si="149"/>
        <v>Priya Menon</v>
      </c>
      <c r="J771" t="s">
        <v>93</v>
      </c>
      <c r="K771" t="str">
        <f t="shared" si="150"/>
        <v>Home Office</v>
      </c>
      <c r="L771" t="s">
        <v>61</v>
      </c>
      <c r="M771" t="str">
        <f t="shared" si="146"/>
        <v>West</v>
      </c>
      <c r="N771" t="s">
        <v>188</v>
      </c>
      <c r="O771" t="str">
        <f t="shared" si="151"/>
        <v>Goa</v>
      </c>
      <c r="P771" t="s">
        <v>189</v>
      </c>
      <c r="Q771" t="str">
        <f t="shared" si="152"/>
        <v>Panaji</v>
      </c>
      <c r="R771" t="s">
        <v>39</v>
      </c>
      <c r="S771" t="str">
        <f t="shared" si="153"/>
        <v>Furniture</v>
      </c>
      <c r="T771" t="s">
        <v>156</v>
      </c>
      <c r="U771" t="str">
        <f t="shared" si="154"/>
        <v>Bookcases</v>
      </c>
      <c r="V771" t="s">
        <v>2416</v>
      </c>
      <c r="X771" t="s">
        <v>42</v>
      </c>
      <c r="Y771" t="str">
        <f t="shared" ref="Y771:Y834" si="155">PROPER(TRIM(X771))</f>
        <v>Same Day</v>
      </c>
      <c r="Z771">
        <v>3</v>
      </c>
      <c r="AA771">
        <v>3612.75</v>
      </c>
      <c r="AB771">
        <v>0.25</v>
      </c>
      <c r="AC771">
        <v>8128.69</v>
      </c>
      <c r="AD771">
        <v>5071.66</v>
      </c>
      <c r="AE771">
        <v>3057.03</v>
      </c>
      <c r="AF771" t="s">
        <v>30</v>
      </c>
      <c r="AG771" t="str">
        <f t="shared" ref="AG771:AG834" si="156">PROPER(TRIM(AF771))</f>
        <v>Paid</v>
      </c>
      <c r="AH771" t="s">
        <v>31</v>
      </c>
    </row>
    <row r="772" spans="1:34">
      <c r="A772" t="s">
        <v>2417</v>
      </c>
      <c r="B772">
        <f>COUNTIF($A:$A,A772)</f>
        <v>1</v>
      </c>
      <c r="C772" t="str">
        <f t="shared" si="147"/>
        <v>Unique</v>
      </c>
      <c r="D772" s="4">
        <v>45337</v>
      </c>
      <c r="E772">
        <f t="shared" si="148"/>
        <v>2</v>
      </c>
      <c r="F772" s="4">
        <v>45339</v>
      </c>
      <c r="G772" t="s">
        <v>2418</v>
      </c>
      <c r="H772" t="s">
        <v>77</v>
      </c>
      <c r="I772" t="str">
        <f t="shared" si="149"/>
        <v>Neha Gupta</v>
      </c>
      <c r="J772" t="s">
        <v>22</v>
      </c>
      <c r="K772" t="str">
        <f t="shared" si="150"/>
        <v>Consumer</v>
      </c>
      <c r="L772" t="s">
        <v>23</v>
      </c>
      <c r="M772" t="str">
        <f t="shared" si="146"/>
        <v>North</v>
      </c>
      <c r="N772" t="s">
        <v>134</v>
      </c>
      <c r="O772" t="str">
        <f t="shared" si="151"/>
        <v>Uttar Pradesh</v>
      </c>
      <c r="P772" t="s">
        <v>135</v>
      </c>
      <c r="Q772" t="str">
        <f t="shared" si="152"/>
        <v>Noida</v>
      </c>
      <c r="R772" t="s">
        <v>72</v>
      </c>
      <c r="S772" t="str">
        <f t="shared" si="153"/>
        <v>Technology</v>
      </c>
      <c r="T772" t="s">
        <v>78</v>
      </c>
      <c r="U772" t="str">
        <f t="shared" si="154"/>
        <v>Copiers</v>
      </c>
      <c r="V772" t="s">
        <v>2419</v>
      </c>
      <c r="X772" t="s">
        <v>48</v>
      </c>
      <c r="Y772" t="str">
        <f t="shared" si="155"/>
        <v>First Class</v>
      </c>
      <c r="Z772">
        <v>4</v>
      </c>
      <c r="AA772">
        <v>863</v>
      </c>
      <c r="AC772">
        <v>3106.8</v>
      </c>
      <c r="AD772">
        <v>2376.62</v>
      </c>
      <c r="AE772">
        <v>730.18</v>
      </c>
      <c r="AF772" t="s">
        <v>30</v>
      </c>
      <c r="AG772" t="str">
        <f t="shared" si="156"/>
        <v>Paid</v>
      </c>
      <c r="AH772" t="s">
        <v>31</v>
      </c>
    </row>
    <row r="773" spans="1:34">
      <c r="A773" t="s">
        <v>2420</v>
      </c>
      <c r="B773">
        <f>COUNTIF($A:$A,A773)</f>
        <v>1</v>
      </c>
      <c r="C773" t="str">
        <f t="shared" si="147"/>
        <v>Unique</v>
      </c>
      <c r="D773" s="4">
        <v>45633</v>
      </c>
      <c r="E773">
        <f t="shared" si="148"/>
        <v>-146</v>
      </c>
      <c r="F773" s="4">
        <v>45487</v>
      </c>
      <c r="G773" t="s">
        <v>468</v>
      </c>
      <c r="H773" t="s">
        <v>60</v>
      </c>
      <c r="I773" t="str">
        <f t="shared" si="149"/>
        <v>Ananya Rao</v>
      </c>
      <c r="J773" t="s">
        <v>22</v>
      </c>
      <c r="K773" t="str">
        <f t="shared" si="150"/>
        <v>Consumer</v>
      </c>
      <c r="L773" t="s">
        <v>23</v>
      </c>
      <c r="M773" t="str">
        <f t="shared" si="146"/>
        <v>North</v>
      </c>
      <c r="N773" t="s">
        <v>235</v>
      </c>
      <c r="O773" t="str">
        <f t="shared" si="151"/>
        <v>Haryana</v>
      </c>
      <c r="P773" t="s">
        <v>236</v>
      </c>
      <c r="Q773" t="str">
        <f t="shared" si="152"/>
        <v>Gurugram</v>
      </c>
      <c r="R773" t="s">
        <v>72</v>
      </c>
      <c r="S773" t="str">
        <f t="shared" si="153"/>
        <v>Technology</v>
      </c>
      <c r="T773" t="s">
        <v>273</v>
      </c>
      <c r="U773" t="str">
        <f t="shared" si="154"/>
        <v>Machines</v>
      </c>
      <c r="V773" t="s">
        <v>2421</v>
      </c>
      <c r="X773" t="s">
        <v>29</v>
      </c>
      <c r="Y773" t="str">
        <f t="shared" si="155"/>
        <v>Second Class</v>
      </c>
      <c r="Z773">
        <v>4</v>
      </c>
      <c r="AA773">
        <v>2131.41</v>
      </c>
      <c r="AC773">
        <v>6394.23</v>
      </c>
      <c r="AD773">
        <v>3520.69</v>
      </c>
      <c r="AE773">
        <v>2873.54</v>
      </c>
      <c r="AF773" t="s">
        <v>30</v>
      </c>
      <c r="AG773" t="str">
        <f t="shared" si="156"/>
        <v>Paid</v>
      </c>
      <c r="AH773" t="s">
        <v>31</v>
      </c>
    </row>
    <row r="774" spans="1:34">
      <c r="A774" t="s">
        <v>2422</v>
      </c>
      <c r="B774">
        <f>COUNTIF($A:$A,A774)</f>
        <v>1</v>
      </c>
      <c r="C774" t="str">
        <f t="shared" si="147"/>
        <v>Unique</v>
      </c>
      <c r="D774" s="4">
        <v>45853</v>
      </c>
      <c r="E774">
        <f t="shared" si="148"/>
        <v>4</v>
      </c>
      <c r="F774" s="4">
        <v>45857</v>
      </c>
      <c r="G774" t="s">
        <v>2423</v>
      </c>
      <c r="H774" t="s">
        <v>160</v>
      </c>
      <c r="I774" t="str">
        <f t="shared" si="149"/>
        <v>Diya Patel</v>
      </c>
      <c r="J774" t="s">
        <v>22</v>
      </c>
      <c r="K774" t="str">
        <f t="shared" si="150"/>
        <v>Consumer</v>
      </c>
      <c r="L774" t="s">
        <v>52</v>
      </c>
      <c r="M774" t="str">
        <f t="shared" si="146"/>
        <v>South</v>
      </c>
      <c r="N774" t="s">
        <v>246</v>
      </c>
      <c r="O774" t="str">
        <f t="shared" si="151"/>
        <v>Tamil Nadu</v>
      </c>
      <c r="P774" t="s">
        <v>247</v>
      </c>
      <c r="Q774" t="str">
        <f t="shared" si="152"/>
        <v>Chennai</v>
      </c>
      <c r="R774" t="s">
        <v>39</v>
      </c>
      <c r="S774" t="str">
        <f t="shared" si="153"/>
        <v>Furniture</v>
      </c>
      <c r="T774" t="s">
        <v>64</v>
      </c>
      <c r="U774" t="str">
        <f t="shared" si="154"/>
        <v>Chairs</v>
      </c>
      <c r="V774" t="s">
        <v>2424</v>
      </c>
      <c r="X774" t="s">
        <v>42</v>
      </c>
      <c r="Y774" t="str">
        <f t="shared" si="155"/>
        <v>Same Day</v>
      </c>
      <c r="Z774">
        <v>1</v>
      </c>
      <c r="AA774">
        <v>3903.22</v>
      </c>
      <c r="AB774">
        <v>0.05</v>
      </c>
      <c r="AC774">
        <v>3708.06</v>
      </c>
      <c r="AD774">
        <v>2760.29</v>
      </c>
      <c r="AE774">
        <v>947.77</v>
      </c>
      <c r="AF774" t="s">
        <v>109</v>
      </c>
      <c r="AG774" t="str">
        <f t="shared" si="156"/>
        <v>Pending</v>
      </c>
      <c r="AH774" t="s">
        <v>66</v>
      </c>
    </row>
    <row r="775" spans="1:34">
      <c r="A775" t="s">
        <v>2425</v>
      </c>
      <c r="B775">
        <f>COUNTIF($A:$A,A775)</f>
        <v>1</v>
      </c>
      <c r="C775" t="str">
        <f t="shared" si="147"/>
        <v>Unique</v>
      </c>
      <c r="D775" s="4">
        <v>45709</v>
      </c>
      <c r="E775">
        <f t="shared" si="148"/>
        <v>0</v>
      </c>
      <c r="F775" s="4">
        <v>45709</v>
      </c>
      <c r="G775" t="s">
        <v>2426</v>
      </c>
      <c r="H775" t="s">
        <v>21</v>
      </c>
      <c r="I775" t="str">
        <f t="shared" si="149"/>
        <v>Karan Malhotra</v>
      </c>
      <c r="J775" t="s">
        <v>93</v>
      </c>
      <c r="K775" t="str">
        <f t="shared" si="150"/>
        <v>Home Office</v>
      </c>
      <c r="L775" t="s">
        <v>61</v>
      </c>
      <c r="M775" t="str">
        <f t="shared" si="146"/>
        <v>West</v>
      </c>
      <c r="N775" t="s">
        <v>178</v>
      </c>
      <c r="O775" t="str">
        <f t="shared" si="151"/>
        <v>Gujarat</v>
      </c>
      <c r="P775" t="s">
        <v>179</v>
      </c>
      <c r="Q775" t="str">
        <f t="shared" si="152"/>
        <v>Ahmedabad</v>
      </c>
      <c r="R775" t="s">
        <v>72</v>
      </c>
      <c r="S775" t="str">
        <f t="shared" si="153"/>
        <v>Technology</v>
      </c>
      <c r="T775" t="s">
        <v>169</v>
      </c>
      <c r="U775" t="str">
        <f t="shared" si="154"/>
        <v>Phones</v>
      </c>
      <c r="V775" t="s">
        <v>2427</v>
      </c>
      <c r="Y775" t="s">
        <v>2828</v>
      </c>
      <c r="Z775">
        <v>4</v>
      </c>
      <c r="AA775">
        <v>2945.07</v>
      </c>
      <c r="AB775">
        <v>0.2</v>
      </c>
      <c r="AC775">
        <v>9424.2199999999993</v>
      </c>
      <c r="AD775">
        <v>6178.92</v>
      </c>
      <c r="AE775">
        <v>3245.3</v>
      </c>
      <c r="AF775" t="s">
        <v>30</v>
      </c>
      <c r="AG775" t="str">
        <f t="shared" si="156"/>
        <v>Paid</v>
      </c>
      <c r="AH775" t="s">
        <v>31</v>
      </c>
    </row>
    <row r="776" spans="1:34">
      <c r="A776" t="s">
        <v>2428</v>
      </c>
      <c r="B776">
        <f>COUNTIF($A:$A,A776)</f>
        <v>1</v>
      </c>
      <c r="C776" t="str">
        <f t="shared" si="147"/>
        <v>Unique</v>
      </c>
      <c r="D776" s="4">
        <v>45846</v>
      </c>
      <c r="E776">
        <f t="shared" si="148"/>
        <v>0</v>
      </c>
      <c r="F776" s="4">
        <v>45846</v>
      </c>
      <c r="G776" t="s">
        <v>2429</v>
      </c>
      <c r="H776" t="s">
        <v>263</v>
      </c>
      <c r="I776" t="str">
        <f t="shared" si="149"/>
        <v>Kabir Singh</v>
      </c>
      <c r="J776" t="s">
        <v>22</v>
      </c>
      <c r="K776" t="str">
        <f t="shared" si="150"/>
        <v>Consumer</v>
      </c>
      <c r="L776" t="s">
        <v>61</v>
      </c>
      <c r="M776" t="str">
        <f t="shared" si="146"/>
        <v>West</v>
      </c>
      <c r="N776" t="s">
        <v>24</v>
      </c>
      <c r="O776" t="str">
        <f t="shared" si="151"/>
        <v>Rajasthan</v>
      </c>
      <c r="P776" t="s">
        <v>107</v>
      </c>
      <c r="Q776" t="str">
        <f t="shared" si="152"/>
        <v>Udaipur</v>
      </c>
      <c r="R776" t="s">
        <v>72</v>
      </c>
      <c r="S776" t="str">
        <f t="shared" si="153"/>
        <v>Technology</v>
      </c>
      <c r="T776" t="s">
        <v>273</v>
      </c>
      <c r="U776" t="str">
        <f t="shared" si="154"/>
        <v>Machines</v>
      </c>
      <c r="V776" t="s">
        <v>2430</v>
      </c>
      <c r="Y776" t="s">
        <v>2828</v>
      </c>
      <c r="Z776">
        <v>9</v>
      </c>
      <c r="AA776">
        <v>1076.75</v>
      </c>
      <c r="AB776">
        <v>0.2</v>
      </c>
      <c r="AC776">
        <v>7752.6</v>
      </c>
      <c r="AD776">
        <v>4689.3</v>
      </c>
      <c r="AE776">
        <v>3063.3</v>
      </c>
      <c r="AF776" t="s">
        <v>30</v>
      </c>
      <c r="AG776" t="str">
        <f t="shared" si="156"/>
        <v>Paid</v>
      </c>
      <c r="AH776" t="s">
        <v>31</v>
      </c>
    </row>
    <row r="777" spans="1:34">
      <c r="A777" t="s">
        <v>2431</v>
      </c>
      <c r="B777">
        <f>COUNTIF($A:$A,A777)</f>
        <v>1</v>
      </c>
      <c r="C777" t="str">
        <f t="shared" si="147"/>
        <v>Unique</v>
      </c>
      <c r="D777" s="4">
        <v>45396</v>
      </c>
      <c r="E777">
        <f t="shared" si="148"/>
        <v>8</v>
      </c>
      <c r="F777" s="4">
        <v>45404</v>
      </c>
      <c r="G777" t="s">
        <v>2432</v>
      </c>
      <c r="H777" t="s">
        <v>51</v>
      </c>
      <c r="I777" t="str">
        <f t="shared" si="149"/>
        <v>Arjun Bose</v>
      </c>
      <c r="J777" t="s">
        <v>22</v>
      </c>
      <c r="K777" t="str">
        <f t="shared" si="150"/>
        <v>Consumer</v>
      </c>
      <c r="L777" t="s">
        <v>23</v>
      </c>
      <c r="M777" t="str">
        <f t="shared" si="146"/>
        <v>North</v>
      </c>
      <c r="N777" t="s">
        <v>235</v>
      </c>
      <c r="O777" t="str">
        <f t="shared" si="151"/>
        <v>Haryana</v>
      </c>
      <c r="P777" t="s">
        <v>236</v>
      </c>
      <c r="Q777" t="str">
        <f t="shared" si="152"/>
        <v>Gurugram</v>
      </c>
      <c r="R777" t="s">
        <v>72</v>
      </c>
      <c r="S777" t="str">
        <f t="shared" si="153"/>
        <v>Technology</v>
      </c>
      <c r="T777" t="s">
        <v>73</v>
      </c>
      <c r="U777" t="str">
        <f t="shared" si="154"/>
        <v>Accessories</v>
      </c>
      <c r="V777" t="s">
        <v>2433</v>
      </c>
      <c r="X777" t="s">
        <v>57</v>
      </c>
      <c r="Y777" t="str">
        <f t="shared" si="155"/>
        <v>Standard Class</v>
      </c>
      <c r="Z777">
        <v>8</v>
      </c>
      <c r="AA777">
        <v>3956.12</v>
      </c>
      <c r="AB777">
        <v>0.25</v>
      </c>
      <c r="AC777">
        <v>23736.720000000001</v>
      </c>
      <c r="AD777">
        <v>13890.9</v>
      </c>
      <c r="AE777">
        <v>9845.82</v>
      </c>
      <c r="AF777" t="s">
        <v>30</v>
      </c>
      <c r="AG777" t="str">
        <f t="shared" si="156"/>
        <v>Paid</v>
      </c>
      <c r="AH777" t="s">
        <v>31</v>
      </c>
    </row>
    <row r="778" spans="1:34">
      <c r="A778" t="s">
        <v>2434</v>
      </c>
      <c r="B778">
        <f>COUNTIF($A:$A,A778)</f>
        <v>1</v>
      </c>
      <c r="C778" t="str">
        <f t="shared" si="147"/>
        <v>Unique</v>
      </c>
      <c r="D778" s="4">
        <v>45875</v>
      </c>
      <c r="E778">
        <f t="shared" si="148"/>
        <v>-54</v>
      </c>
      <c r="F778" s="4">
        <v>45821</v>
      </c>
      <c r="G778" t="s">
        <v>2435</v>
      </c>
      <c r="H778" t="s">
        <v>87</v>
      </c>
      <c r="I778" t="str">
        <f t="shared" si="149"/>
        <v>Aditi Sen</v>
      </c>
      <c r="J778" t="s">
        <v>35</v>
      </c>
      <c r="K778" t="str">
        <f t="shared" si="150"/>
        <v>Small Business</v>
      </c>
      <c r="L778" t="s">
        <v>23</v>
      </c>
      <c r="M778" t="str">
        <f t="shared" si="146"/>
        <v>North</v>
      </c>
      <c r="N778" t="s">
        <v>24</v>
      </c>
      <c r="O778" t="str">
        <f t="shared" si="151"/>
        <v>Rajasthan</v>
      </c>
      <c r="P778" t="s">
        <v>25</v>
      </c>
      <c r="Q778" t="str">
        <f t="shared" si="152"/>
        <v>Jaipur</v>
      </c>
      <c r="R778" t="s">
        <v>72</v>
      </c>
      <c r="S778" t="str">
        <f t="shared" si="153"/>
        <v>Technology</v>
      </c>
      <c r="T778" t="s">
        <v>78</v>
      </c>
      <c r="U778" t="str">
        <f t="shared" si="154"/>
        <v>Copiers</v>
      </c>
      <c r="V778" t="s">
        <v>2436</v>
      </c>
      <c r="X778" t="s">
        <v>29</v>
      </c>
      <c r="Y778" t="str">
        <f t="shared" si="155"/>
        <v>Second Class</v>
      </c>
      <c r="Z778">
        <v>7</v>
      </c>
      <c r="AA778">
        <v>3857.13</v>
      </c>
      <c r="AB778">
        <v>0</v>
      </c>
      <c r="AC778">
        <v>26999.91</v>
      </c>
      <c r="AD778">
        <v>17815.98</v>
      </c>
      <c r="AE778">
        <v>9183.93</v>
      </c>
      <c r="AF778" t="s">
        <v>30</v>
      </c>
      <c r="AG778" t="str">
        <f t="shared" si="156"/>
        <v>Paid</v>
      </c>
      <c r="AH778" t="s">
        <v>31</v>
      </c>
    </row>
    <row r="779" spans="1:34">
      <c r="A779" t="s">
        <v>2437</v>
      </c>
      <c r="B779">
        <f>COUNTIF($A:$A,A779)</f>
        <v>1</v>
      </c>
      <c r="C779" t="str">
        <f t="shared" si="147"/>
        <v>Unique</v>
      </c>
      <c r="D779" s="4">
        <v>45384</v>
      </c>
      <c r="E779">
        <f t="shared" si="148"/>
        <v>61</v>
      </c>
      <c r="F779" s="4">
        <v>45445</v>
      </c>
      <c r="G779" t="s">
        <v>2438</v>
      </c>
      <c r="H779" t="s">
        <v>263</v>
      </c>
      <c r="I779" t="str">
        <f t="shared" si="149"/>
        <v>Kabir Singh</v>
      </c>
      <c r="J779" t="s">
        <v>35</v>
      </c>
      <c r="K779" t="str">
        <f t="shared" si="150"/>
        <v>Small Business</v>
      </c>
      <c r="L779" t="s">
        <v>61</v>
      </c>
      <c r="M779" t="str">
        <f t="shared" si="146"/>
        <v>West</v>
      </c>
      <c r="N779" t="s">
        <v>70</v>
      </c>
      <c r="O779" t="str">
        <f t="shared" si="151"/>
        <v>Madhya Pradesh</v>
      </c>
      <c r="P779" t="s">
        <v>71</v>
      </c>
      <c r="Q779" t="str">
        <f t="shared" si="152"/>
        <v>Indore</v>
      </c>
      <c r="R779" t="s">
        <v>72</v>
      </c>
      <c r="S779" t="str">
        <f t="shared" si="153"/>
        <v>Technology</v>
      </c>
      <c r="T779" t="s">
        <v>73</v>
      </c>
      <c r="U779" t="str">
        <f t="shared" si="154"/>
        <v>Accessories</v>
      </c>
      <c r="V779" t="s">
        <v>2439</v>
      </c>
      <c r="X779" t="s">
        <v>29</v>
      </c>
      <c r="Y779" t="str">
        <f t="shared" si="155"/>
        <v>Second Class</v>
      </c>
      <c r="Z779">
        <v>4</v>
      </c>
      <c r="AA779">
        <v>1489.74</v>
      </c>
      <c r="AB779">
        <v>0.15</v>
      </c>
      <c r="AC779">
        <v>5065.12</v>
      </c>
      <c r="AD779">
        <v>3530.12</v>
      </c>
      <c r="AE779">
        <v>1535</v>
      </c>
      <c r="AF779" t="s">
        <v>153</v>
      </c>
      <c r="AG779" t="str">
        <f t="shared" si="156"/>
        <v>Failed</v>
      </c>
      <c r="AH779" t="s">
        <v>66</v>
      </c>
    </row>
    <row r="780" spans="1:34">
      <c r="A780" t="s">
        <v>2440</v>
      </c>
      <c r="B780">
        <f>COUNTIF($A:$A,A780)</f>
        <v>1</v>
      </c>
      <c r="C780" t="str">
        <f t="shared" si="147"/>
        <v>Unique</v>
      </c>
      <c r="D780" s="4">
        <v>45497</v>
      </c>
      <c r="E780">
        <f t="shared" si="148"/>
        <v>0</v>
      </c>
      <c r="F780" s="4">
        <v>45497</v>
      </c>
      <c r="G780" t="s">
        <v>2441</v>
      </c>
      <c r="H780" t="s">
        <v>21</v>
      </c>
      <c r="I780" t="str">
        <f t="shared" si="149"/>
        <v>Karan Malhotra</v>
      </c>
      <c r="J780" t="s">
        <v>35</v>
      </c>
      <c r="K780" t="str">
        <f t="shared" si="150"/>
        <v>Small Business</v>
      </c>
      <c r="L780" t="s">
        <v>23</v>
      </c>
      <c r="M780" t="str">
        <f t="shared" si="146"/>
        <v>North</v>
      </c>
      <c r="N780" t="s">
        <v>235</v>
      </c>
      <c r="O780" t="str">
        <f t="shared" si="151"/>
        <v>Haryana</v>
      </c>
      <c r="P780" t="s">
        <v>236</v>
      </c>
      <c r="Q780" t="str">
        <f t="shared" si="152"/>
        <v>Gurugram</v>
      </c>
      <c r="R780" t="s">
        <v>72</v>
      </c>
      <c r="S780" t="str">
        <f t="shared" si="153"/>
        <v>Technology</v>
      </c>
      <c r="T780" t="s">
        <v>78</v>
      </c>
      <c r="U780" t="str">
        <f t="shared" si="154"/>
        <v>Copiers</v>
      </c>
      <c r="V780" t="s">
        <v>2442</v>
      </c>
      <c r="X780" t="s">
        <v>29</v>
      </c>
      <c r="Y780" t="str">
        <f t="shared" si="155"/>
        <v>Second Class</v>
      </c>
      <c r="Z780">
        <v>4</v>
      </c>
      <c r="AA780">
        <v>1676.88</v>
      </c>
      <c r="AB780">
        <v>0</v>
      </c>
      <c r="AC780">
        <v>6707.52</v>
      </c>
      <c r="AD780">
        <v>5672.57</v>
      </c>
      <c r="AE780">
        <v>1034.95</v>
      </c>
      <c r="AF780" t="s">
        <v>30</v>
      </c>
      <c r="AG780" t="str">
        <f t="shared" si="156"/>
        <v>Paid</v>
      </c>
      <c r="AH780" t="s">
        <v>31</v>
      </c>
    </row>
    <row r="781" spans="1:34">
      <c r="A781" t="s">
        <v>2443</v>
      </c>
      <c r="B781">
        <f>COUNTIF($A:$A,A781)</f>
        <v>1</v>
      </c>
      <c r="C781" t="str">
        <f t="shared" si="147"/>
        <v>Unique</v>
      </c>
      <c r="D781" s="4">
        <v>45306</v>
      </c>
      <c r="E781">
        <f t="shared" si="148"/>
        <v>5</v>
      </c>
      <c r="F781" s="4">
        <v>45311</v>
      </c>
      <c r="G781" t="s">
        <v>2444</v>
      </c>
      <c r="H781" t="s">
        <v>112</v>
      </c>
      <c r="I781" t="str">
        <f t="shared" si="149"/>
        <v>Priya Menon</v>
      </c>
      <c r="J781" t="s">
        <v>35</v>
      </c>
      <c r="K781" t="str">
        <f t="shared" si="150"/>
        <v>Small Business</v>
      </c>
      <c r="L781" t="s">
        <v>52</v>
      </c>
      <c r="M781" t="str">
        <f t="shared" si="146"/>
        <v>South</v>
      </c>
      <c r="N781" t="s">
        <v>82</v>
      </c>
      <c r="O781" t="str">
        <f t="shared" si="151"/>
        <v>Andhra Pradesh</v>
      </c>
      <c r="P781" t="s">
        <v>83</v>
      </c>
      <c r="Q781" t="str">
        <f t="shared" si="152"/>
        <v>Vijayawada</v>
      </c>
      <c r="R781" t="s">
        <v>39</v>
      </c>
      <c r="S781" t="str">
        <f t="shared" si="153"/>
        <v>Furniture</v>
      </c>
      <c r="T781" t="s">
        <v>64</v>
      </c>
      <c r="U781" t="str">
        <f t="shared" si="154"/>
        <v>Chairs</v>
      </c>
      <c r="V781" t="s">
        <v>2445</v>
      </c>
      <c r="X781" t="s">
        <v>57</v>
      </c>
      <c r="Y781" t="str">
        <f t="shared" si="155"/>
        <v>Standard Class</v>
      </c>
      <c r="Z781">
        <v>4</v>
      </c>
      <c r="AA781">
        <v>3153.54</v>
      </c>
      <c r="AB781">
        <v>0.05</v>
      </c>
      <c r="AC781">
        <v>11983.45</v>
      </c>
      <c r="AD781">
        <v>8572.9</v>
      </c>
      <c r="AE781">
        <v>3410.55</v>
      </c>
      <c r="AF781" t="s">
        <v>30</v>
      </c>
      <c r="AG781" t="str">
        <f t="shared" si="156"/>
        <v>Paid</v>
      </c>
      <c r="AH781" t="s">
        <v>31</v>
      </c>
    </row>
    <row r="782" spans="1:34">
      <c r="A782" t="s">
        <v>2446</v>
      </c>
      <c r="B782">
        <f>COUNTIF($A:$A,A782)</f>
        <v>1</v>
      </c>
      <c r="C782" t="str">
        <f t="shared" si="147"/>
        <v>Unique</v>
      </c>
      <c r="D782" s="4">
        <v>45390</v>
      </c>
      <c r="E782">
        <f t="shared" si="148"/>
        <v>124</v>
      </c>
      <c r="F782" s="4">
        <v>45514</v>
      </c>
      <c r="G782" t="s">
        <v>2447</v>
      </c>
      <c r="H782" t="s">
        <v>160</v>
      </c>
      <c r="I782" t="str">
        <f t="shared" si="149"/>
        <v>Diya Patel</v>
      </c>
      <c r="J782" t="s">
        <v>35</v>
      </c>
      <c r="K782" t="str">
        <f t="shared" si="150"/>
        <v>Small Business</v>
      </c>
      <c r="L782" t="s">
        <v>61</v>
      </c>
      <c r="M782" t="str">
        <f t="shared" si="146"/>
        <v>West</v>
      </c>
      <c r="N782" t="s">
        <v>24</v>
      </c>
      <c r="O782" t="str">
        <f t="shared" si="151"/>
        <v>Rajasthan</v>
      </c>
      <c r="P782" t="s">
        <v>107</v>
      </c>
      <c r="Q782" t="str">
        <f t="shared" si="152"/>
        <v>Udaipur</v>
      </c>
      <c r="R782" t="s">
        <v>39</v>
      </c>
      <c r="S782" t="str">
        <f t="shared" si="153"/>
        <v>Furniture</v>
      </c>
      <c r="T782" t="s">
        <v>64</v>
      </c>
      <c r="U782" t="str">
        <f t="shared" si="154"/>
        <v>Chairs</v>
      </c>
      <c r="V782" t="s">
        <v>2448</v>
      </c>
      <c r="X782" t="s">
        <v>42</v>
      </c>
      <c r="Y782" t="str">
        <f t="shared" si="155"/>
        <v>Same Day</v>
      </c>
      <c r="Z782">
        <v>4</v>
      </c>
      <c r="AA782">
        <v>426.43</v>
      </c>
      <c r="AB782">
        <v>0.2</v>
      </c>
      <c r="AC782">
        <v>1364.58</v>
      </c>
      <c r="AD782">
        <v>978.16</v>
      </c>
      <c r="AE782">
        <v>386.42</v>
      </c>
      <c r="AF782" t="s">
        <v>30</v>
      </c>
      <c r="AG782" t="str">
        <f t="shared" si="156"/>
        <v>Paid</v>
      </c>
      <c r="AH782" t="s">
        <v>31</v>
      </c>
    </row>
    <row r="783" spans="1:34">
      <c r="A783" t="s">
        <v>2449</v>
      </c>
      <c r="B783">
        <f>COUNTIF($A:$A,A783)</f>
        <v>1</v>
      </c>
      <c r="C783" t="str">
        <f t="shared" si="147"/>
        <v>Unique</v>
      </c>
      <c r="D783" s="4">
        <v>45324</v>
      </c>
      <c r="E783">
        <f t="shared" si="148"/>
        <v>243</v>
      </c>
      <c r="F783" s="4">
        <v>45567</v>
      </c>
      <c r="G783" t="s">
        <v>2450</v>
      </c>
      <c r="H783" t="s">
        <v>21</v>
      </c>
      <c r="I783" t="str">
        <f t="shared" si="149"/>
        <v>Karan Malhotra</v>
      </c>
      <c r="J783" t="s">
        <v>93</v>
      </c>
      <c r="K783" t="str">
        <f t="shared" si="150"/>
        <v>Home Office</v>
      </c>
      <c r="L783" t="s">
        <v>61</v>
      </c>
      <c r="M783" t="str">
        <f t="shared" si="146"/>
        <v>West</v>
      </c>
      <c r="N783" t="s">
        <v>24</v>
      </c>
      <c r="O783" t="str">
        <f t="shared" si="151"/>
        <v>Rajasthan</v>
      </c>
      <c r="P783" t="s">
        <v>107</v>
      </c>
      <c r="Q783" t="str">
        <f t="shared" si="152"/>
        <v>Udaipur</v>
      </c>
      <c r="R783" t="s">
        <v>26</v>
      </c>
      <c r="S783" t="str">
        <f t="shared" si="153"/>
        <v>Office Supplies</v>
      </c>
      <c r="T783" t="s">
        <v>89</v>
      </c>
      <c r="U783" t="str">
        <f t="shared" si="154"/>
        <v>Labels</v>
      </c>
      <c r="V783" t="s">
        <v>2451</v>
      </c>
      <c r="X783" t="s">
        <v>48</v>
      </c>
      <c r="Y783" t="str">
        <f t="shared" si="155"/>
        <v>First Class</v>
      </c>
      <c r="Z783">
        <v>3</v>
      </c>
      <c r="AA783">
        <v>383.4</v>
      </c>
      <c r="AB783">
        <v>0.25</v>
      </c>
      <c r="AC783">
        <v>862.65</v>
      </c>
      <c r="AD783">
        <v>603.73</v>
      </c>
      <c r="AE783">
        <v>258.92</v>
      </c>
      <c r="AF783" t="s">
        <v>109</v>
      </c>
      <c r="AG783" t="str">
        <f t="shared" si="156"/>
        <v>Pending</v>
      </c>
      <c r="AH783" t="s">
        <v>101</v>
      </c>
    </row>
    <row r="784" spans="1:34">
      <c r="A784" t="s">
        <v>2452</v>
      </c>
      <c r="B784">
        <f>COUNTIF($A:$A,A784)</f>
        <v>1</v>
      </c>
      <c r="C784" t="str">
        <f t="shared" si="147"/>
        <v>Unique</v>
      </c>
      <c r="D784" s="4">
        <v>45730</v>
      </c>
      <c r="E784">
        <f t="shared" si="148"/>
        <v>8</v>
      </c>
      <c r="F784" s="4">
        <v>45738</v>
      </c>
      <c r="G784" t="s">
        <v>2453</v>
      </c>
      <c r="H784" t="s">
        <v>34</v>
      </c>
      <c r="I784" t="str">
        <f t="shared" si="149"/>
        <v>Mira Das</v>
      </c>
      <c r="J784" t="s">
        <v>88</v>
      </c>
      <c r="K784" t="str">
        <f t="shared" si="150"/>
        <v>Corporate</v>
      </c>
      <c r="L784" t="s">
        <v>36</v>
      </c>
      <c r="M784" t="str">
        <f t="shared" si="146"/>
        <v>East</v>
      </c>
      <c r="N784" t="s">
        <v>97</v>
      </c>
      <c r="O784" t="str">
        <f t="shared" si="151"/>
        <v>West Bengal</v>
      </c>
      <c r="P784" t="s">
        <v>98</v>
      </c>
      <c r="Q784" t="str">
        <f t="shared" si="152"/>
        <v>Kolkata</v>
      </c>
      <c r="R784" t="s">
        <v>72</v>
      </c>
      <c r="S784" t="str">
        <f t="shared" si="153"/>
        <v>Technology</v>
      </c>
      <c r="T784" t="s">
        <v>78</v>
      </c>
      <c r="U784" t="str">
        <f t="shared" si="154"/>
        <v>Copiers</v>
      </c>
      <c r="V784" t="s">
        <v>2454</v>
      </c>
      <c r="X784" t="s">
        <v>57</v>
      </c>
      <c r="Y784" t="str">
        <f t="shared" si="155"/>
        <v>Standard Class</v>
      </c>
      <c r="Z784">
        <v>2</v>
      </c>
      <c r="AA784">
        <v>669.63</v>
      </c>
      <c r="AB784">
        <v>0.15</v>
      </c>
      <c r="AC784">
        <v>1138.3699999999999</v>
      </c>
      <c r="AD784">
        <v>797.34</v>
      </c>
      <c r="AE784">
        <v>341.03</v>
      </c>
      <c r="AF784" t="s">
        <v>30</v>
      </c>
      <c r="AG784" t="str">
        <f t="shared" si="156"/>
        <v>Paid</v>
      </c>
      <c r="AH784" t="s">
        <v>31</v>
      </c>
    </row>
    <row r="785" spans="1:34">
      <c r="A785" t="s">
        <v>2455</v>
      </c>
      <c r="B785">
        <f>COUNTIF($A:$A,A785)</f>
        <v>1</v>
      </c>
      <c r="C785" t="str">
        <f t="shared" si="147"/>
        <v>Unique</v>
      </c>
      <c r="D785" s="4">
        <v>45479</v>
      </c>
      <c r="E785">
        <f t="shared" si="148"/>
        <v>0</v>
      </c>
      <c r="F785" s="4">
        <v>45479</v>
      </c>
      <c r="G785" t="s">
        <v>2456</v>
      </c>
      <c r="H785" t="s">
        <v>126</v>
      </c>
      <c r="I785" t="str">
        <f t="shared" si="149"/>
        <v>Aarav Sharma</v>
      </c>
      <c r="J785" t="s">
        <v>35</v>
      </c>
      <c r="K785" t="str">
        <f t="shared" si="150"/>
        <v>Small Business</v>
      </c>
      <c r="L785" t="s">
        <v>36</v>
      </c>
      <c r="M785" t="str">
        <f t="shared" si="146"/>
        <v>East</v>
      </c>
      <c r="N785" t="s">
        <v>143</v>
      </c>
      <c r="O785" t="str">
        <f t="shared" si="151"/>
        <v>Bihar</v>
      </c>
      <c r="P785" t="s">
        <v>144</v>
      </c>
      <c r="Q785" t="str">
        <f t="shared" si="152"/>
        <v>Patna</v>
      </c>
      <c r="R785" t="s">
        <v>26</v>
      </c>
      <c r="S785" t="str">
        <f t="shared" si="153"/>
        <v>Office Supplies</v>
      </c>
      <c r="T785" t="s">
        <v>46</v>
      </c>
      <c r="U785" t="str">
        <f t="shared" si="154"/>
        <v>Art</v>
      </c>
      <c r="V785" t="s">
        <v>2457</v>
      </c>
      <c r="X785" t="s">
        <v>29</v>
      </c>
      <c r="Y785" t="str">
        <f t="shared" si="155"/>
        <v>Second Class</v>
      </c>
      <c r="Z785">
        <v>1</v>
      </c>
      <c r="AA785">
        <v>2581.9299999999998</v>
      </c>
      <c r="AB785">
        <v>0.05</v>
      </c>
      <c r="AC785">
        <v>2452.83</v>
      </c>
      <c r="AD785">
        <v>1906.7</v>
      </c>
      <c r="AE785">
        <v>546.13</v>
      </c>
      <c r="AF785" t="s">
        <v>30</v>
      </c>
      <c r="AG785" t="str">
        <f t="shared" si="156"/>
        <v>Paid</v>
      </c>
      <c r="AH785" t="s">
        <v>31</v>
      </c>
    </row>
    <row r="786" spans="1:34">
      <c r="A786" t="s">
        <v>2458</v>
      </c>
      <c r="B786">
        <f>COUNTIF($A:$A,A786)</f>
        <v>1</v>
      </c>
      <c r="C786" t="str">
        <f t="shared" si="147"/>
        <v>Unique</v>
      </c>
      <c r="D786" s="4">
        <v>45934</v>
      </c>
      <c r="E786">
        <f t="shared" si="148"/>
        <v>-147</v>
      </c>
      <c r="F786" s="4">
        <v>45787</v>
      </c>
      <c r="G786" t="s">
        <v>2459</v>
      </c>
      <c r="H786" t="s">
        <v>112</v>
      </c>
      <c r="I786" t="str">
        <f t="shared" si="149"/>
        <v>Priya Menon</v>
      </c>
      <c r="J786" t="s">
        <v>88</v>
      </c>
      <c r="K786" t="str">
        <f t="shared" si="150"/>
        <v>Corporate</v>
      </c>
      <c r="L786" t="s">
        <v>2460</v>
      </c>
      <c r="M786" t="str">
        <f t="shared" si="146"/>
        <v>North</v>
      </c>
      <c r="N786" t="s">
        <v>120</v>
      </c>
      <c r="O786" t="str">
        <f t="shared" si="151"/>
        <v>Punjab</v>
      </c>
      <c r="P786" t="s">
        <v>121</v>
      </c>
      <c r="Q786" t="str">
        <f t="shared" si="152"/>
        <v>Ludhiana</v>
      </c>
      <c r="R786" t="s">
        <v>72</v>
      </c>
      <c r="S786" t="str">
        <f t="shared" si="153"/>
        <v>Technology</v>
      </c>
      <c r="T786" t="s">
        <v>78</v>
      </c>
      <c r="U786" t="str">
        <f t="shared" si="154"/>
        <v>Copiers</v>
      </c>
      <c r="V786" t="s">
        <v>2461</v>
      </c>
      <c r="X786" t="s">
        <v>48</v>
      </c>
      <c r="Y786" t="str">
        <f t="shared" si="155"/>
        <v>First Class</v>
      </c>
      <c r="Z786">
        <v>4</v>
      </c>
      <c r="AA786">
        <v>418.18</v>
      </c>
      <c r="AB786">
        <v>0.05</v>
      </c>
      <c r="AC786">
        <v>1589.08</v>
      </c>
      <c r="AD786">
        <v>1084.6600000000001</v>
      </c>
      <c r="AE786">
        <v>504.42</v>
      </c>
      <c r="AF786" t="s">
        <v>30</v>
      </c>
      <c r="AG786" t="str">
        <f t="shared" si="156"/>
        <v>Paid</v>
      </c>
      <c r="AH786" t="s">
        <v>31</v>
      </c>
    </row>
    <row r="787" spans="1:34">
      <c r="A787" t="s">
        <v>2462</v>
      </c>
      <c r="B787">
        <f>COUNTIF($A:$A,A787)</f>
        <v>1</v>
      </c>
      <c r="C787" t="str">
        <f t="shared" si="147"/>
        <v>Unique</v>
      </c>
      <c r="D787" s="4">
        <v>45435</v>
      </c>
      <c r="E787">
        <f t="shared" si="148"/>
        <v>6</v>
      </c>
      <c r="F787" s="4">
        <v>45441</v>
      </c>
      <c r="G787" t="s">
        <v>2463</v>
      </c>
      <c r="H787" t="s">
        <v>160</v>
      </c>
      <c r="I787" t="str">
        <f t="shared" si="149"/>
        <v>Diya Patel</v>
      </c>
      <c r="J787" t="s">
        <v>35</v>
      </c>
      <c r="K787" t="str">
        <f t="shared" si="150"/>
        <v>Small Business</v>
      </c>
      <c r="L787" t="s">
        <v>23</v>
      </c>
      <c r="M787" t="str">
        <f t="shared" si="146"/>
        <v>North</v>
      </c>
      <c r="N787" t="s">
        <v>235</v>
      </c>
      <c r="O787" t="str">
        <f t="shared" si="151"/>
        <v>Haryana</v>
      </c>
      <c r="P787" t="s">
        <v>236</v>
      </c>
      <c r="Q787" t="str">
        <f t="shared" si="152"/>
        <v>Gurugram</v>
      </c>
      <c r="R787" t="s">
        <v>26</v>
      </c>
      <c r="S787" t="str">
        <f t="shared" si="153"/>
        <v>Office Supplies</v>
      </c>
      <c r="T787" t="s">
        <v>122</v>
      </c>
      <c r="U787" t="str">
        <f t="shared" si="154"/>
        <v>Storage</v>
      </c>
      <c r="V787" t="s">
        <v>2464</v>
      </c>
      <c r="X787" t="s">
        <v>42</v>
      </c>
      <c r="Y787" t="str">
        <f t="shared" si="155"/>
        <v>Same Day</v>
      </c>
      <c r="Z787">
        <v>2</v>
      </c>
      <c r="AA787">
        <v>3012.94</v>
      </c>
      <c r="AB787">
        <v>0.25</v>
      </c>
      <c r="AC787">
        <v>4519.41</v>
      </c>
      <c r="AD787">
        <v>3504.16</v>
      </c>
      <c r="AE787">
        <v>1275.55</v>
      </c>
      <c r="AF787" t="s">
        <v>153</v>
      </c>
      <c r="AG787" t="str">
        <f t="shared" si="156"/>
        <v>Failed</v>
      </c>
      <c r="AH787" t="s">
        <v>66</v>
      </c>
    </row>
    <row r="788" spans="1:34">
      <c r="A788" t="s">
        <v>2465</v>
      </c>
      <c r="B788">
        <f>COUNTIF($A:$A,A788)</f>
        <v>1</v>
      </c>
      <c r="C788" t="str">
        <f t="shared" si="147"/>
        <v>Unique</v>
      </c>
      <c r="D788" s="4">
        <v>45844</v>
      </c>
      <c r="E788">
        <f t="shared" si="148"/>
        <v>32</v>
      </c>
      <c r="F788" s="4">
        <v>45876</v>
      </c>
      <c r="G788" t="s">
        <v>2466</v>
      </c>
      <c r="H788" t="s">
        <v>60</v>
      </c>
      <c r="I788" t="str">
        <f t="shared" si="149"/>
        <v>Ananya Rao</v>
      </c>
      <c r="J788" t="s">
        <v>88</v>
      </c>
      <c r="K788" t="str">
        <f t="shared" si="150"/>
        <v>Corporate</v>
      </c>
      <c r="L788" t="s">
        <v>23</v>
      </c>
      <c r="M788" t="str">
        <f t="shared" si="146"/>
        <v>North</v>
      </c>
      <c r="N788" t="s">
        <v>24</v>
      </c>
      <c r="O788" t="str">
        <f t="shared" si="151"/>
        <v>Rajasthan</v>
      </c>
      <c r="P788" t="s">
        <v>25</v>
      </c>
      <c r="Q788" t="str">
        <f t="shared" si="152"/>
        <v>Jaipur</v>
      </c>
      <c r="R788" t="s">
        <v>39</v>
      </c>
      <c r="S788" t="str">
        <f t="shared" si="153"/>
        <v>Furniture</v>
      </c>
      <c r="T788" t="s">
        <v>55</v>
      </c>
      <c r="U788" t="str">
        <f t="shared" si="154"/>
        <v>Furnishings</v>
      </c>
      <c r="V788" t="s">
        <v>2467</v>
      </c>
      <c r="Y788" t="s">
        <v>2828</v>
      </c>
      <c r="Z788">
        <v>4</v>
      </c>
      <c r="AA788">
        <v>715.45</v>
      </c>
      <c r="AB788">
        <v>0.05</v>
      </c>
      <c r="AC788">
        <v>2718.71</v>
      </c>
      <c r="AD788">
        <v>2065.0500000000002</v>
      </c>
      <c r="AE788">
        <v>653.66</v>
      </c>
      <c r="AF788" t="s">
        <v>100</v>
      </c>
      <c r="AG788" t="str">
        <f t="shared" si="156"/>
        <v>Refunded</v>
      </c>
      <c r="AH788" t="s">
        <v>101</v>
      </c>
    </row>
    <row r="789" spans="1:34">
      <c r="A789" t="s">
        <v>2468</v>
      </c>
      <c r="B789">
        <f>COUNTIF($A:$A,A789)</f>
        <v>1</v>
      </c>
      <c r="C789" t="str">
        <f t="shared" si="147"/>
        <v>Unique</v>
      </c>
      <c r="D789" s="4">
        <v>45635</v>
      </c>
      <c r="E789">
        <f t="shared" si="148"/>
        <v>-82</v>
      </c>
      <c r="F789" s="4">
        <v>45553</v>
      </c>
      <c r="G789" t="s">
        <v>2469</v>
      </c>
      <c r="H789" t="s">
        <v>60</v>
      </c>
      <c r="I789" t="str">
        <f t="shared" si="149"/>
        <v>Ananya Rao</v>
      </c>
      <c r="J789" t="s">
        <v>93</v>
      </c>
      <c r="K789" t="str">
        <f t="shared" si="150"/>
        <v>Home Office</v>
      </c>
      <c r="L789" t="s">
        <v>36</v>
      </c>
      <c r="M789" t="str">
        <f t="shared" si="146"/>
        <v>East</v>
      </c>
      <c r="N789" t="s">
        <v>143</v>
      </c>
      <c r="O789" t="str">
        <f t="shared" si="151"/>
        <v>Bihar</v>
      </c>
      <c r="P789" t="s">
        <v>144</v>
      </c>
      <c r="Q789" t="str">
        <f t="shared" si="152"/>
        <v>Patna</v>
      </c>
      <c r="R789" t="s">
        <v>26</v>
      </c>
      <c r="S789" t="str">
        <f t="shared" si="153"/>
        <v>Office Supplies</v>
      </c>
      <c r="T789" t="s">
        <v>27</v>
      </c>
      <c r="U789" t="str">
        <f t="shared" si="154"/>
        <v>Paper</v>
      </c>
      <c r="V789" t="s">
        <v>2470</v>
      </c>
      <c r="X789" t="s">
        <v>29</v>
      </c>
      <c r="Y789" t="str">
        <f t="shared" si="155"/>
        <v>Second Class</v>
      </c>
      <c r="Z789">
        <v>2</v>
      </c>
      <c r="AA789">
        <v>3718.77</v>
      </c>
      <c r="AB789">
        <v>0.05</v>
      </c>
      <c r="AC789">
        <v>7065.66</v>
      </c>
      <c r="AD789">
        <v>4915.2700000000004</v>
      </c>
      <c r="AE789">
        <v>2150.39</v>
      </c>
      <c r="AF789" t="s">
        <v>30</v>
      </c>
      <c r="AG789" t="str">
        <f t="shared" si="156"/>
        <v>Paid</v>
      </c>
      <c r="AH789" t="s">
        <v>31</v>
      </c>
    </row>
    <row r="790" spans="1:34">
      <c r="A790" t="s">
        <v>2471</v>
      </c>
      <c r="B790">
        <f>COUNTIF($A:$A,A790)</f>
        <v>1</v>
      </c>
      <c r="C790" t="str">
        <f t="shared" si="147"/>
        <v>Unique</v>
      </c>
      <c r="D790" s="4">
        <v>45299</v>
      </c>
      <c r="E790">
        <f t="shared" si="148"/>
        <v>31</v>
      </c>
      <c r="F790" s="4">
        <v>45330</v>
      </c>
      <c r="G790" t="s">
        <v>2472</v>
      </c>
      <c r="H790" t="s">
        <v>45</v>
      </c>
      <c r="I790" t="str">
        <f t="shared" si="149"/>
        <v>Isha Nair</v>
      </c>
      <c r="J790" t="s">
        <v>88</v>
      </c>
      <c r="K790" t="str">
        <f t="shared" si="150"/>
        <v>Corporate</v>
      </c>
      <c r="L790" t="s">
        <v>23</v>
      </c>
      <c r="M790" t="str">
        <f t="shared" si="146"/>
        <v>North</v>
      </c>
      <c r="N790" t="s">
        <v>134</v>
      </c>
      <c r="O790" t="str">
        <f t="shared" si="151"/>
        <v>Uttar Pradesh</v>
      </c>
      <c r="P790" t="s">
        <v>135</v>
      </c>
      <c r="Q790" t="str">
        <f t="shared" si="152"/>
        <v>Noida</v>
      </c>
      <c r="R790" t="s">
        <v>39</v>
      </c>
      <c r="S790" t="str">
        <f t="shared" si="153"/>
        <v>Furniture</v>
      </c>
      <c r="T790" t="s">
        <v>64</v>
      </c>
      <c r="U790" t="str">
        <f t="shared" si="154"/>
        <v>Chairs</v>
      </c>
      <c r="V790" t="s">
        <v>2473</v>
      </c>
      <c r="X790" t="s">
        <v>57</v>
      </c>
      <c r="Y790" t="str">
        <f t="shared" si="155"/>
        <v>Standard Class</v>
      </c>
      <c r="Z790">
        <v>8</v>
      </c>
      <c r="AA790">
        <v>2487.64</v>
      </c>
      <c r="AB790">
        <v>0.1</v>
      </c>
      <c r="AC790">
        <v>17911.009999999998</v>
      </c>
      <c r="AD790">
        <v>11546.05</v>
      </c>
      <c r="AE790">
        <v>6364.96</v>
      </c>
      <c r="AF790" t="s">
        <v>153</v>
      </c>
      <c r="AG790" t="str">
        <f t="shared" si="156"/>
        <v>Failed</v>
      </c>
      <c r="AH790" t="s">
        <v>101</v>
      </c>
    </row>
    <row r="791" spans="1:34">
      <c r="A791" t="s">
        <v>2474</v>
      </c>
      <c r="B791">
        <f>COUNTIF($A:$A,A791)</f>
        <v>1</v>
      </c>
      <c r="C791" t="str">
        <f t="shared" si="147"/>
        <v>Unique</v>
      </c>
      <c r="D791" s="4">
        <v>45841</v>
      </c>
      <c r="E791">
        <f t="shared" si="148"/>
        <v>31</v>
      </c>
      <c r="F791" s="4">
        <v>45872</v>
      </c>
      <c r="G791" t="s">
        <v>2475</v>
      </c>
      <c r="H791" t="s">
        <v>112</v>
      </c>
      <c r="I791" t="str">
        <f t="shared" si="149"/>
        <v>Priya Menon</v>
      </c>
      <c r="J791" t="s">
        <v>93</v>
      </c>
      <c r="K791" t="str">
        <f t="shared" si="150"/>
        <v>Home Office</v>
      </c>
      <c r="M791" t="s">
        <v>2828</v>
      </c>
      <c r="N791" t="s">
        <v>24</v>
      </c>
      <c r="O791" t="str">
        <f t="shared" si="151"/>
        <v>Rajasthan</v>
      </c>
      <c r="P791" t="s">
        <v>107</v>
      </c>
      <c r="Q791" t="str">
        <f t="shared" si="152"/>
        <v>Udaipur</v>
      </c>
      <c r="R791" t="s">
        <v>72</v>
      </c>
      <c r="S791" t="str">
        <f t="shared" si="153"/>
        <v>Technology</v>
      </c>
      <c r="T791" t="s">
        <v>78</v>
      </c>
      <c r="U791" t="str">
        <f t="shared" si="154"/>
        <v>Copiers</v>
      </c>
      <c r="V791" t="s">
        <v>2476</v>
      </c>
      <c r="X791" t="s">
        <v>42</v>
      </c>
      <c r="Y791" t="str">
        <f t="shared" si="155"/>
        <v>Same Day</v>
      </c>
      <c r="Z791">
        <v>4</v>
      </c>
      <c r="AA791">
        <v>3537.48</v>
      </c>
      <c r="AB791">
        <v>0</v>
      </c>
      <c r="AC791">
        <v>14149.92</v>
      </c>
      <c r="AD791">
        <v>9466.51</v>
      </c>
      <c r="AE791">
        <v>4683.41</v>
      </c>
      <c r="AF791" t="s">
        <v>30</v>
      </c>
      <c r="AG791" t="str">
        <f t="shared" si="156"/>
        <v>Paid</v>
      </c>
      <c r="AH791" t="s">
        <v>31</v>
      </c>
    </row>
    <row r="792" spans="1:34">
      <c r="A792" t="s">
        <v>2477</v>
      </c>
      <c r="B792">
        <f>COUNTIF($A:$A,A792)</f>
        <v>1</v>
      </c>
      <c r="C792" t="str">
        <f t="shared" si="147"/>
        <v>Unique</v>
      </c>
      <c r="D792" s="4">
        <v>45443</v>
      </c>
      <c r="E792">
        <f t="shared" si="148"/>
        <v>-115</v>
      </c>
      <c r="F792" s="4">
        <v>45328</v>
      </c>
      <c r="G792" t="s">
        <v>2478</v>
      </c>
      <c r="H792" t="s">
        <v>116</v>
      </c>
      <c r="I792" t="str">
        <f t="shared" si="149"/>
        <v>Rahul Verma</v>
      </c>
      <c r="J792" t="s">
        <v>88</v>
      </c>
      <c r="K792" t="str">
        <f t="shared" si="150"/>
        <v>Corporate</v>
      </c>
      <c r="L792" t="s">
        <v>52</v>
      </c>
      <c r="M792" t="str">
        <f t="shared" ref="M792:M804" si="157">PROPER(TRIM(L792))</f>
        <v>South</v>
      </c>
      <c r="N792" t="s">
        <v>82</v>
      </c>
      <c r="O792" t="str">
        <f t="shared" si="151"/>
        <v>Andhra Pradesh</v>
      </c>
      <c r="P792" t="s">
        <v>83</v>
      </c>
      <c r="Q792" t="str">
        <f t="shared" si="152"/>
        <v>Vijayawada</v>
      </c>
      <c r="R792" t="s">
        <v>26</v>
      </c>
      <c r="S792" t="str">
        <f t="shared" si="153"/>
        <v>Office Supplies</v>
      </c>
      <c r="T792" t="s">
        <v>46</v>
      </c>
      <c r="U792" t="str">
        <f t="shared" si="154"/>
        <v>Art</v>
      </c>
      <c r="V792" t="s">
        <v>2479</v>
      </c>
      <c r="X792" t="s">
        <v>57</v>
      </c>
      <c r="Y792" t="str">
        <f t="shared" si="155"/>
        <v>Standard Class</v>
      </c>
      <c r="Z792">
        <v>8</v>
      </c>
      <c r="AA792">
        <v>667.59</v>
      </c>
      <c r="AB792">
        <v>0.2</v>
      </c>
      <c r="AC792">
        <v>4272.58</v>
      </c>
      <c r="AD792">
        <v>3328.92</v>
      </c>
      <c r="AE792">
        <v>943.66</v>
      </c>
      <c r="AF792" t="s">
        <v>30</v>
      </c>
      <c r="AG792" t="str">
        <f t="shared" si="156"/>
        <v>Paid</v>
      </c>
      <c r="AH792" t="s">
        <v>31</v>
      </c>
    </row>
    <row r="793" spans="1:34">
      <c r="A793" t="s">
        <v>2480</v>
      </c>
      <c r="B793">
        <f>COUNTIF($A:$A,A793)</f>
        <v>1</v>
      </c>
      <c r="C793" t="str">
        <f t="shared" si="147"/>
        <v>Unique</v>
      </c>
      <c r="D793" s="4">
        <v>45332</v>
      </c>
      <c r="E793">
        <f t="shared" si="148"/>
        <v>121</v>
      </c>
      <c r="F793" s="4">
        <v>45453</v>
      </c>
      <c r="G793" t="s">
        <v>2481</v>
      </c>
      <c r="H793" t="s">
        <v>116</v>
      </c>
      <c r="I793" t="str">
        <f t="shared" si="149"/>
        <v>Rahul Verma</v>
      </c>
      <c r="J793" t="s">
        <v>93</v>
      </c>
      <c r="K793" t="str">
        <f t="shared" si="150"/>
        <v>Home Office</v>
      </c>
      <c r="L793" t="s">
        <v>52</v>
      </c>
      <c r="M793" t="str">
        <f t="shared" si="157"/>
        <v>South</v>
      </c>
      <c r="N793" t="s">
        <v>173</v>
      </c>
      <c r="O793" t="str">
        <f t="shared" si="151"/>
        <v>Karnataka</v>
      </c>
      <c r="P793" t="s">
        <v>174</v>
      </c>
      <c r="Q793" t="str">
        <f t="shared" si="152"/>
        <v>Bengaluru</v>
      </c>
      <c r="R793" t="s">
        <v>39</v>
      </c>
      <c r="S793" t="str">
        <f t="shared" si="153"/>
        <v>Furniture</v>
      </c>
      <c r="T793" t="s">
        <v>156</v>
      </c>
      <c r="U793" t="str">
        <f t="shared" si="154"/>
        <v>Bookcases</v>
      </c>
      <c r="V793" t="s">
        <v>2482</v>
      </c>
      <c r="X793" t="s">
        <v>42</v>
      </c>
      <c r="Y793" t="str">
        <f t="shared" si="155"/>
        <v>Same Day</v>
      </c>
      <c r="Z793">
        <v>8</v>
      </c>
      <c r="AA793">
        <v>1558.77</v>
      </c>
      <c r="AB793">
        <v>0.25</v>
      </c>
      <c r="AC793">
        <v>9352.6200000000008</v>
      </c>
      <c r="AD793">
        <v>5269.41</v>
      </c>
      <c r="AE793">
        <v>4083.21</v>
      </c>
      <c r="AF793" t="s">
        <v>30</v>
      </c>
      <c r="AG793" t="str">
        <f t="shared" si="156"/>
        <v>Paid</v>
      </c>
      <c r="AH793" t="s">
        <v>31</v>
      </c>
    </row>
    <row r="794" spans="1:34">
      <c r="A794" t="s">
        <v>2483</v>
      </c>
      <c r="B794">
        <f>COUNTIF($A:$A,A794)</f>
        <v>1</v>
      </c>
      <c r="C794" t="str">
        <f t="shared" si="147"/>
        <v>Unique</v>
      </c>
      <c r="D794" s="4">
        <v>45753</v>
      </c>
      <c r="E794">
        <f t="shared" si="148"/>
        <v>122</v>
      </c>
      <c r="F794" s="4">
        <v>45875</v>
      </c>
      <c r="G794" t="s">
        <v>2484</v>
      </c>
      <c r="H794" t="s">
        <v>51</v>
      </c>
      <c r="I794" t="str">
        <f t="shared" si="149"/>
        <v>Arjun Bose</v>
      </c>
      <c r="J794" t="s">
        <v>35</v>
      </c>
      <c r="K794" t="str">
        <f t="shared" si="150"/>
        <v>Small Business</v>
      </c>
      <c r="L794" t="s">
        <v>36</v>
      </c>
      <c r="M794" t="str">
        <f t="shared" si="157"/>
        <v>East</v>
      </c>
      <c r="N794" t="s">
        <v>164</v>
      </c>
      <c r="O794" t="str">
        <f t="shared" si="151"/>
        <v>Assam</v>
      </c>
      <c r="P794" t="s">
        <v>165</v>
      </c>
      <c r="Q794" t="str">
        <f t="shared" si="152"/>
        <v>Guwahati</v>
      </c>
      <c r="R794" t="s">
        <v>39</v>
      </c>
      <c r="S794" t="str">
        <f t="shared" si="153"/>
        <v>Furniture</v>
      </c>
      <c r="T794" t="s">
        <v>55</v>
      </c>
      <c r="U794" t="str">
        <f t="shared" si="154"/>
        <v>Furnishings</v>
      </c>
      <c r="V794" t="s">
        <v>2485</v>
      </c>
      <c r="X794" t="s">
        <v>29</v>
      </c>
      <c r="Y794" t="str">
        <f t="shared" si="155"/>
        <v>Second Class</v>
      </c>
      <c r="Z794">
        <v>1</v>
      </c>
      <c r="AA794">
        <v>3501.12</v>
      </c>
      <c r="AB794">
        <v>0.2</v>
      </c>
      <c r="AC794">
        <v>2800.9</v>
      </c>
      <c r="AD794">
        <v>1735.98</v>
      </c>
      <c r="AE794">
        <v>1064.92</v>
      </c>
      <c r="AF794" t="s">
        <v>30</v>
      </c>
      <c r="AG794" t="str">
        <f t="shared" si="156"/>
        <v>Paid</v>
      </c>
      <c r="AH794" t="s">
        <v>101</v>
      </c>
    </row>
    <row r="795" spans="1:34">
      <c r="A795" t="s">
        <v>2486</v>
      </c>
      <c r="B795">
        <f>COUNTIF($A:$A,A795)</f>
        <v>1</v>
      </c>
      <c r="C795" t="str">
        <f t="shared" si="147"/>
        <v>Unique</v>
      </c>
      <c r="D795" s="4">
        <v>45440</v>
      </c>
      <c r="E795">
        <f t="shared" si="148"/>
        <v>-83</v>
      </c>
      <c r="F795" s="4">
        <v>45357</v>
      </c>
      <c r="G795" t="s">
        <v>2487</v>
      </c>
      <c r="H795" t="s">
        <v>69</v>
      </c>
      <c r="I795" t="str">
        <f t="shared" si="149"/>
        <v>Vikram Iyer</v>
      </c>
      <c r="J795" t="s">
        <v>88</v>
      </c>
      <c r="K795" t="str">
        <f t="shared" si="150"/>
        <v>Corporate</v>
      </c>
      <c r="L795" t="s">
        <v>23</v>
      </c>
      <c r="M795" t="str">
        <f t="shared" si="157"/>
        <v>North</v>
      </c>
      <c r="N795" t="s">
        <v>24</v>
      </c>
      <c r="O795" t="str">
        <f t="shared" si="151"/>
        <v>Rajasthan</v>
      </c>
      <c r="P795" t="s">
        <v>25</v>
      </c>
      <c r="Q795" t="str">
        <f t="shared" si="152"/>
        <v>Jaipur</v>
      </c>
      <c r="R795" t="s">
        <v>72</v>
      </c>
      <c r="S795" t="str">
        <f t="shared" si="153"/>
        <v>Technology</v>
      </c>
      <c r="T795" t="s">
        <v>78</v>
      </c>
      <c r="U795" t="str">
        <f t="shared" si="154"/>
        <v>Copiers</v>
      </c>
      <c r="V795" t="s">
        <v>2488</v>
      </c>
      <c r="X795" t="s">
        <v>29</v>
      </c>
      <c r="Y795" t="str">
        <f t="shared" si="155"/>
        <v>Second Class</v>
      </c>
      <c r="Z795">
        <v>5</v>
      </c>
      <c r="AA795">
        <v>4302.32</v>
      </c>
      <c r="AB795">
        <v>0</v>
      </c>
      <c r="AC795">
        <v>21511.599999999999</v>
      </c>
      <c r="AD795">
        <v>15408.47</v>
      </c>
      <c r="AE795">
        <v>6103.13</v>
      </c>
      <c r="AF795" t="s">
        <v>30</v>
      </c>
      <c r="AG795" t="str">
        <f t="shared" si="156"/>
        <v>Paid</v>
      </c>
      <c r="AH795" t="s">
        <v>31</v>
      </c>
    </row>
    <row r="796" spans="1:34">
      <c r="A796" t="s">
        <v>2489</v>
      </c>
      <c r="B796">
        <f>COUNTIF($A:$A,A796)</f>
        <v>1</v>
      </c>
      <c r="C796" t="str">
        <f t="shared" si="147"/>
        <v>Unique</v>
      </c>
      <c r="D796" s="4">
        <v>45830</v>
      </c>
      <c r="E796">
        <f t="shared" si="148"/>
        <v>2</v>
      </c>
      <c r="F796" s="4">
        <v>45832</v>
      </c>
      <c r="G796" t="s">
        <v>2490</v>
      </c>
      <c r="H796" t="s">
        <v>130</v>
      </c>
      <c r="I796" t="str">
        <f t="shared" si="149"/>
        <v>Sneha Kapoor</v>
      </c>
      <c r="J796" t="s">
        <v>88</v>
      </c>
      <c r="K796" t="str">
        <f t="shared" si="150"/>
        <v>Corporate</v>
      </c>
      <c r="L796" t="s">
        <v>36</v>
      </c>
      <c r="M796" t="str">
        <f t="shared" si="157"/>
        <v>East</v>
      </c>
      <c r="N796" t="s">
        <v>164</v>
      </c>
      <c r="O796" t="str">
        <f t="shared" si="151"/>
        <v>Assam</v>
      </c>
      <c r="P796" t="s">
        <v>165</v>
      </c>
      <c r="Q796" t="str">
        <f t="shared" si="152"/>
        <v>Guwahati</v>
      </c>
      <c r="R796" t="s">
        <v>26</v>
      </c>
      <c r="S796" t="str">
        <f t="shared" si="153"/>
        <v>Office Supplies</v>
      </c>
      <c r="T796" t="s">
        <v>27</v>
      </c>
      <c r="U796" t="str">
        <f t="shared" si="154"/>
        <v>Paper</v>
      </c>
      <c r="V796" t="s">
        <v>2491</v>
      </c>
      <c r="X796" t="s">
        <v>57</v>
      </c>
      <c r="Y796" t="str">
        <f t="shared" si="155"/>
        <v>Standard Class</v>
      </c>
      <c r="Z796">
        <v>9</v>
      </c>
      <c r="AA796">
        <v>951.55</v>
      </c>
      <c r="AB796">
        <v>0.15</v>
      </c>
      <c r="AC796">
        <v>7279.36</v>
      </c>
      <c r="AD796">
        <v>4870.3900000000003</v>
      </c>
      <c r="AE796">
        <v>2408.9699999999998</v>
      </c>
      <c r="AF796" t="s">
        <v>30</v>
      </c>
      <c r="AG796" t="str">
        <f t="shared" si="156"/>
        <v>Paid</v>
      </c>
      <c r="AH796" t="s">
        <v>31</v>
      </c>
    </row>
    <row r="797" spans="1:34">
      <c r="A797" t="s">
        <v>2492</v>
      </c>
      <c r="B797">
        <f>COUNTIF($A:$A,A797)</f>
        <v>1</v>
      </c>
      <c r="C797" t="str">
        <f t="shared" si="147"/>
        <v>Unique</v>
      </c>
      <c r="D797" s="4">
        <v>45503</v>
      </c>
      <c r="E797">
        <f t="shared" si="148"/>
        <v>0</v>
      </c>
      <c r="F797" s="4">
        <v>45503</v>
      </c>
      <c r="G797" t="s">
        <v>2493</v>
      </c>
      <c r="H797" t="s">
        <v>160</v>
      </c>
      <c r="I797" t="str">
        <f t="shared" si="149"/>
        <v>Diya Patel</v>
      </c>
      <c r="J797" t="s">
        <v>93</v>
      </c>
      <c r="K797" t="str">
        <f t="shared" si="150"/>
        <v>Home Office</v>
      </c>
      <c r="L797" t="s">
        <v>36</v>
      </c>
      <c r="M797" t="str">
        <f t="shared" si="157"/>
        <v>East</v>
      </c>
      <c r="N797" t="s">
        <v>37</v>
      </c>
      <c r="O797" t="str">
        <f t="shared" si="151"/>
        <v>Odisha</v>
      </c>
      <c r="P797" t="s">
        <v>38</v>
      </c>
      <c r="Q797" t="str">
        <f t="shared" si="152"/>
        <v>Bhubaneswar</v>
      </c>
      <c r="R797" t="s">
        <v>72</v>
      </c>
      <c r="S797" t="str">
        <f t="shared" si="153"/>
        <v>Technology</v>
      </c>
      <c r="T797" t="s">
        <v>78</v>
      </c>
      <c r="U797" t="str">
        <f t="shared" si="154"/>
        <v>Copiers</v>
      </c>
      <c r="V797" t="s">
        <v>2494</v>
      </c>
      <c r="X797" t="s">
        <v>42</v>
      </c>
      <c r="Y797" t="str">
        <f t="shared" si="155"/>
        <v>Same Day</v>
      </c>
      <c r="Z797">
        <v>9</v>
      </c>
      <c r="AA797">
        <v>2894.66</v>
      </c>
      <c r="AB797">
        <v>0</v>
      </c>
      <c r="AC797">
        <v>26051.94</v>
      </c>
      <c r="AD797">
        <v>16883.59</v>
      </c>
      <c r="AE797">
        <v>9168.35</v>
      </c>
      <c r="AF797" t="s">
        <v>100</v>
      </c>
      <c r="AG797" t="str">
        <f t="shared" si="156"/>
        <v>Refunded</v>
      </c>
      <c r="AH797" t="s">
        <v>66</v>
      </c>
    </row>
    <row r="798" spans="1:34">
      <c r="A798" t="s">
        <v>2495</v>
      </c>
      <c r="B798">
        <f>COUNTIF($A:$A,A798)</f>
        <v>1</v>
      </c>
      <c r="C798" t="str">
        <f t="shared" si="147"/>
        <v>Unique</v>
      </c>
      <c r="D798" s="4">
        <v>45374</v>
      </c>
      <c r="E798">
        <f t="shared" si="148"/>
        <v>7</v>
      </c>
      <c r="F798" s="4">
        <v>45381</v>
      </c>
      <c r="G798" t="s">
        <v>2496</v>
      </c>
      <c r="H798" t="s">
        <v>139</v>
      </c>
      <c r="I798" t="str">
        <f t="shared" si="149"/>
        <v>Rohan Mehta</v>
      </c>
      <c r="J798" t="s">
        <v>35</v>
      </c>
      <c r="K798" t="str">
        <f t="shared" si="150"/>
        <v>Small Business</v>
      </c>
      <c r="L798" t="s">
        <v>52</v>
      </c>
      <c r="M798" t="str">
        <f t="shared" si="157"/>
        <v>South</v>
      </c>
      <c r="N798" t="s">
        <v>82</v>
      </c>
      <c r="O798" t="str">
        <f t="shared" si="151"/>
        <v>Andhra Pradesh</v>
      </c>
      <c r="P798" t="s">
        <v>83</v>
      </c>
      <c r="Q798" t="str">
        <f t="shared" si="152"/>
        <v>Vijayawada</v>
      </c>
      <c r="R798" t="s">
        <v>72</v>
      </c>
      <c r="S798" t="str">
        <f t="shared" si="153"/>
        <v>Technology</v>
      </c>
      <c r="T798" t="s">
        <v>273</v>
      </c>
      <c r="U798" t="str">
        <f t="shared" si="154"/>
        <v>Machines</v>
      </c>
      <c r="V798" t="s">
        <v>2497</v>
      </c>
      <c r="X798" t="s">
        <v>48</v>
      </c>
      <c r="Y798" t="str">
        <f t="shared" si="155"/>
        <v>First Class</v>
      </c>
      <c r="Z798">
        <v>6</v>
      </c>
      <c r="AA798">
        <v>1894.44</v>
      </c>
      <c r="AB798">
        <v>0.15</v>
      </c>
      <c r="AC798">
        <v>9661.64</v>
      </c>
      <c r="AD798">
        <v>6303.77</v>
      </c>
      <c r="AE798">
        <v>3357.87</v>
      </c>
      <c r="AF798" t="s">
        <v>30</v>
      </c>
      <c r="AG798" t="str">
        <f t="shared" si="156"/>
        <v>Paid</v>
      </c>
      <c r="AH798" t="s">
        <v>31</v>
      </c>
    </row>
    <row r="799" spans="1:34">
      <c r="A799" t="s">
        <v>2498</v>
      </c>
      <c r="B799">
        <f>COUNTIF($A:$A,A799)</f>
        <v>1</v>
      </c>
      <c r="C799" t="str">
        <f t="shared" si="147"/>
        <v>Unique</v>
      </c>
      <c r="D799" s="4">
        <v>45400</v>
      </c>
      <c r="E799">
        <f t="shared" si="148"/>
        <v>4</v>
      </c>
      <c r="F799" s="4">
        <v>45404</v>
      </c>
      <c r="G799" t="s">
        <v>2499</v>
      </c>
      <c r="H799" t="s">
        <v>126</v>
      </c>
      <c r="I799" t="str">
        <f t="shared" si="149"/>
        <v>Aarav Sharma</v>
      </c>
      <c r="J799" t="s">
        <v>22</v>
      </c>
      <c r="K799" t="str">
        <f t="shared" si="150"/>
        <v>Consumer</v>
      </c>
      <c r="L799" t="s">
        <v>36</v>
      </c>
      <c r="M799" t="str">
        <f t="shared" si="157"/>
        <v>East</v>
      </c>
      <c r="N799" t="s">
        <v>37</v>
      </c>
      <c r="O799" t="str">
        <f t="shared" si="151"/>
        <v>Odisha</v>
      </c>
      <c r="P799" t="s">
        <v>38</v>
      </c>
      <c r="Q799" t="str">
        <f t="shared" si="152"/>
        <v>Bhubaneswar</v>
      </c>
      <c r="R799" t="s">
        <v>26</v>
      </c>
      <c r="S799" t="str">
        <f t="shared" si="153"/>
        <v>Office Supplies</v>
      </c>
      <c r="T799" t="s">
        <v>151</v>
      </c>
      <c r="U799" t="str">
        <f t="shared" si="154"/>
        <v>Binders</v>
      </c>
      <c r="V799" t="s">
        <v>2500</v>
      </c>
      <c r="X799" t="s">
        <v>48</v>
      </c>
      <c r="Y799" t="str">
        <f t="shared" si="155"/>
        <v>First Class</v>
      </c>
      <c r="Z799">
        <v>8</v>
      </c>
      <c r="AA799">
        <v>1714.37</v>
      </c>
      <c r="AB799">
        <v>0</v>
      </c>
      <c r="AC799">
        <v>13714.96</v>
      </c>
      <c r="AD799">
        <v>10550.47</v>
      </c>
      <c r="AE799">
        <v>3164.49</v>
      </c>
      <c r="AF799" t="s">
        <v>153</v>
      </c>
      <c r="AG799" t="str">
        <f t="shared" si="156"/>
        <v>Failed</v>
      </c>
      <c r="AH799" t="s">
        <v>66</v>
      </c>
    </row>
    <row r="800" spans="1:34">
      <c r="A800" t="s">
        <v>2501</v>
      </c>
      <c r="B800">
        <f>COUNTIF($A:$A,A800)</f>
        <v>1</v>
      </c>
      <c r="C800" t="str">
        <f t="shared" si="147"/>
        <v>Unique</v>
      </c>
      <c r="D800" s="4">
        <v>45968</v>
      </c>
      <c r="E800">
        <f t="shared" si="148"/>
        <v>-61</v>
      </c>
      <c r="F800" s="4">
        <v>45907</v>
      </c>
      <c r="G800" t="s">
        <v>2502</v>
      </c>
      <c r="H800" t="s">
        <v>87</v>
      </c>
      <c r="I800" t="str">
        <f t="shared" si="149"/>
        <v>Aditi Sen</v>
      </c>
      <c r="J800" t="s">
        <v>88</v>
      </c>
      <c r="K800" t="str">
        <f t="shared" si="150"/>
        <v>Corporate</v>
      </c>
      <c r="L800" t="s">
        <v>23</v>
      </c>
      <c r="M800" t="str">
        <f t="shared" si="157"/>
        <v>North</v>
      </c>
      <c r="N800" t="s">
        <v>349</v>
      </c>
      <c r="O800" t="str">
        <f t="shared" si="151"/>
        <v>Delhi</v>
      </c>
      <c r="P800" t="s">
        <v>350</v>
      </c>
      <c r="Q800" t="str">
        <f t="shared" si="152"/>
        <v>New Delhi</v>
      </c>
      <c r="R800" t="s">
        <v>39</v>
      </c>
      <c r="S800" t="str">
        <f t="shared" si="153"/>
        <v>Furniture</v>
      </c>
      <c r="T800" t="s">
        <v>55</v>
      </c>
      <c r="U800" t="str">
        <f t="shared" si="154"/>
        <v>Furnishings</v>
      </c>
      <c r="V800" t="s">
        <v>2503</v>
      </c>
      <c r="X800" t="s">
        <v>57</v>
      </c>
      <c r="Y800" t="str">
        <f t="shared" si="155"/>
        <v>Standard Class</v>
      </c>
      <c r="Z800">
        <v>9</v>
      </c>
      <c r="AA800">
        <v>1706.05</v>
      </c>
      <c r="AB800">
        <v>0</v>
      </c>
      <c r="AC800">
        <v>15354.45</v>
      </c>
      <c r="AD800">
        <v>9656.5</v>
      </c>
      <c r="AE800">
        <v>5697.95</v>
      </c>
      <c r="AF800" t="s">
        <v>30</v>
      </c>
      <c r="AG800" t="str">
        <f t="shared" si="156"/>
        <v>Paid</v>
      </c>
      <c r="AH800" t="s">
        <v>31</v>
      </c>
    </row>
    <row r="801" spans="1:34">
      <c r="A801" t="s">
        <v>2504</v>
      </c>
      <c r="B801">
        <f>COUNTIF($A:$A,A801)</f>
        <v>1</v>
      </c>
      <c r="C801" t="str">
        <f t="shared" si="147"/>
        <v>Unique</v>
      </c>
      <c r="D801" s="4">
        <v>45575</v>
      </c>
      <c r="E801">
        <f t="shared" si="148"/>
        <v>7</v>
      </c>
      <c r="F801" s="4">
        <v>45582</v>
      </c>
      <c r="G801" t="s">
        <v>2505</v>
      </c>
      <c r="H801" t="s">
        <v>45</v>
      </c>
      <c r="I801" t="str">
        <f t="shared" si="149"/>
        <v>Isha Nair</v>
      </c>
      <c r="J801" t="s">
        <v>93</v>
      </c>
      <c r="K801" t="str">
        <f t="shared" si="150"/>
        <v>Home Office</v>
      </c>
      <c r="L801" t="s">
        <v>23</v>
      </c>
      <c r="M801" t="str">
        <f t="shared" si="157"/>
        <v>North</v>
      </c>
      <c r="N801" t="s">
        <v>235</v>
      </c>
      <c r="O801" t="str">
        <f t="shared" si="151"/>
        <v>Haryana</v>
      </c>
      <c r="P801" t="s">
        <v>236</v>
      </c>
      <c r="Q801" t="str">
        <f t="shared" si="152"/>
        <v>Gurugram</v>
      </c>
      <c r="R801" t="s">
        <v>72</v>
      </c>
      <c r="S801" t="str">
        <f t="shared" si="153"/>
        <v>Technology</v>
      </c>
      <c r="T801" t="s">
        <v>73</v>
      </c>
      <c r="U801" t="str">
        <f t="shared" si="154"/>
        <v>Accessories</v>
      </c>
      <c r="V801" t="s">
        <v>2506</v>
      </c>
      <c r="Y801" t="str">
        <f t="shared" si="155"/>
        <v/>
      </c>
      <c r="Z801">
        <v>5</v>
      </c>
      <c r="AA801">
        <v>967.41</v>
      </c>
      <c r="AB801">
        <v>0.05</v>
      </c>
      <c r="AC801">
        <v>4595.2</v>
      </c>
      <c r="AD801">
        <v>3887.41</v>
      </c>
      <c r="AE801">
        <v>707.79</v>
      </c>
      <c r="AF801" t="s">
        <v>30</v>
      </c>
      <c r="AG801" t="str">
        <f t="shared" si="156"/>
        <v>Paid</v>
      </c>
      <c r="AH801" t="s">
        <v>101</v>
      </c>
    </row>
    <row r="802" spans="1:34">
      <c r="A802" t="s">
        <v>2507</v>
      </c>
      <c r="B802">
        <f>COUNTIF($A:$A,A802)</f>
        <v>1</v>
      </c>
      <c r="C802" t="str">
        <f t="shared" si="147"/>
        <v>Unique</v>
      </c>
      <c r="D802" s="4">
        <v>45294</v>
      </c>
      <c r="E802">
        <f t="shared" si="148"/>
        <v>182</v>
      </c>
      <c r="F802" s="4">
        <v>45476</v>
      </c>
      <c r="G802" t="s">
        <v>2508</v>
      </c>
      <c r="H802" t="s">
        <v>69</v>
      </c>
      <c r="I802" t="str">
        <f t="shared" si="149"/>
        <v>Vikram Iyer</v>
      </c>
      <c r="J802" t="s">
        <v>35</v>
      </c>
      <c r="K802" t="str">
        <f t="shared" si="150"/>
        <v>Small Business</v>
      </c>
      <c r="L802" t="s">
        <v>61</v>
      </c>
      <c r="M802" t="str">
        <f t="shared" si="157"/>
        <v>West</v>
      </c>
      <c r="N802" t="s">
        <v>62</v>
      </c>
      <c r="O802" t="str">
        <f t="shared" si="151"/>
        <v>Maharashtra</v>
      </c>
      <c r="P802" t="s">
        <v>63</v>
      </c>
      <c r="Q802" t="str">
        <f t="shared" si="152"/>
        <v>Mumbai</v>
      </c>
      <c r="R802" t="s">
        <v>26</v>
      </c>
      <c r="S802" t="str">
        <f t="shared" si="153"/>
        <v>Office Supplies</v>
      </c>
      <c r="T802" t="s">
        <v>122</v>
      </c>
      <c r="U802" t="str">
        <f t="shared" si="154"/>
        <v>Storage</v>
      </c>
      <c r="V802" t="s">
        <v>2509</v>
      </c>
      <c r="X802" t="s">
        <v>29</v>
      </c>
      <c r="Y802" t="str">
        <f t="shared" si="155"/>
        <v>Second Class</v>
      </c>
      <c r="Z802">
        <v>6</v>
      </c>
      <c r="AA802">
        <v>4163.72</v>
      </c>
      <c r="AB802">
        <v>0.15</v>
      </c>
      <c r="AC802">
        <v>21234.97</v>
      </c>
      <c r="AD802">
        <v>16736.09</v>
      </c>
      <c r="AE802">
        <v>4498.88</v>
      </c>
      <c r="AF802" t="s">
        <v>30</v>
      </c>
      <c r="AG802" t="str">
        <f t="shared" si="156"/>
        <v>Paid</v>
      </c>
      <c r="AH802" t="s">
        <v>31</v>
      </c>
    </row>
    <row r="803" spans="1:34">
      <c r="A803" t="s">
        <v>2510</v>
      </c>
      <c r="B803">
        <f>COUNTIF($A:$A,A803)</f>
        <v>1</v>
      </c>
      <c r="C803" t="str">
        <f t="shared" si="147"/>
        <v>Unique</v>
      </c>
      <c r="D803" s="4">
        <v>45879</v>
      </c>
      <c r="E803">
        <f t="shared" si="148"/>
        <v>66</v>
      </c>
      <c r="F803" s="4">
        <v>45945</v>
      </c>
      <c r="G803" t="s">
        <v>2511</v>
      </c>
      <c r="H803" t="s">
        <v>126</v>
      </c>
      <c r="I803" t="str">
        <f t="shared" si="149"/>
        <v>Aarav Sharma</v>
      </c>
      <c r="J803" t="s">
        <v>93</v>
      </c>
      <c r="K803" t="str">
        <f t="shared" si="150"/>
        <v>Home Office</v>
      </c>
      <c r="L803" t="s">
        <v>36</v>
      </c>
      <c r="M803" t="str">
        <f t="shared" si="157"/>
        <v>East</v>
      </c>
      <c r="N803" t="s">
        <v>37</v>
      </c>
      <c r="O803" t="str">
        <f t="shared" si="151"/>
        <v>Odisha</v>
      </c>
      <c r="P803" t="s">
        <v>38</v>
      </c>
      <c r="Q803" t="str">
        <f t="shared" si="152"/>
        <v>Bhubaneswar</v>
      </c>
      <c r="R803" t="s">
        <v>72</v>
      </c>
      <c r="S803" t="str">
        <f t="shared" si="153"/>
        <v>Technology</v>
      </c>
      <c r="T803" t="s">
        <v>73</v>
      </c>
      <c r="U803" t="str">
        <f t="shared" si="154"/>
        <v>Accessories</v>
      </c>
      <c r="V803" t="s">
        <v>2512</v>
      </c>
      <c r="X803" t="s">
        <v>29</v>
      </c>
      <c r="Y803" t="str">
        <f t="shared" si="155"/>
        <v>Second Class</v>
      </c>
      <c r="Z803">
        <v>3</v>
      </c>
      <c r="AA803">
        <v>3372.21</v>
      </c>
      <c r="AB803">
        <v>0.2</v>
      </c>
      <c r="AC803">
        <v>8093.3</v>
      </c>
      <c r="AD803">
        <v>6052.43</v>
      </c>
      <c r="AE803">
        <v>2040.87</v>
      </c>
      <c r="AF803" t="s">
        <v>109</v>
      </c>
      <c r="AG803" t="str">
        <f t="shared" si="156"/>
        <v>Pending</v>
      </c>
      <c r="AH803" t="s">
        <v>66</v>
      </c>
    </row>
    <row r="804" spans="1:34">
      <c r="A804" t="s">
        <v>2513</v>
      </c>
      <c r="B804">
        <f>COUNTIF($A:$A,A804)</f>
        <v>1</v>
      </c>
      <c r="C804" t="str">
        <f t="shared" si="147"/>
        <v>Unique</v>
      </c>
      <c r="D804" s="4">
        <v>45704</v>
      </c>
      <c r="E804">
        <f t="shared" si="148"/>
        <v>0</v>
      </c>
      <c r="F804" s="4">
        <v>45704</v>
      </c>
      <c r="G804" t="s">
        <v>2514</v>
      </c>
      <c r="H804" t="s">
        <v>139</v>
      </c>
      <c r="I804" t="str">
        <f t="shared" si="149"/>
        <v>Rohan Mehta</v>
      </c>
      <c r="J804" t="s">
        <v>35</v>
      </c>
      <c r="K804" t="str">
        <f t="shared" si="150"/>
        <v>Small Business</v>
      </c>
      <c r="L804" t="s">
        <v>36</v>
      </c>
      <c r="M804" t="str">
        <f t="shared" si="157"/>
        <v>East</v>
      </c>
      <c r="N804" t="s">
        <v>164</v>
      </c>
      <c r="O804" t="str">
        <f t="shared" si="151"/>
        <v>Assam</v>
      </c>
      <c r="P804" t="s">
        <v>165</v>
      </c>
      <c r="Q804" t="str">
        <f t="shared" si="152"/>
        <v>Guwahati</v>
      </c>
      <c r="R804" t="s">
        <v>39</v>
      </c>
      <c r="S804" t="str">
        <f t="shared" si="153"/>
        <v>Furniture</v>
      </c>
      <c r="T804" t="s">
        <v>55</v>
      </c>
      <c r="U804" t="str">
        <f t="shared" si="154"/>
        <v>Furnishings</v>
      </c>
      <c r="V804" t="s">
        <v>2515</v>
      </c>
      <c r="X804" t="s">
        <v>29</v>
      </c>
      <c r="Y804" t="str">
        <f t="shared" si="155"/>
        <v>Second Class</v>
      </c>
      <c r="Z804">
        <v>6</v>
      </c>
      <c r="AA804">
        <v>1441.91</v>
      </c>
      <c r="AB804">
        <v>0</v>
      </c>
      <c r="AC804">
        <v>8651.4599999999991</v>
      </c>
      <c r="AD804">
        <v>5254.62</v>
      </c>
      <c r="AE804">
        <v>3396.84</v>
      </c>
      <c r="AF804" t="s">
        <v>2516</v>
      </c>
      <c r="AG804" t="str">
        <f t="shared" si="156"/>
        <v>Failed</v>
      </c>
      <c r="AH804" t="s">
        <v>101</v>
      </c>
    </row>
    <row r="805" spans="1:34">
      <c r="A805" t="s">
        <v>2517</v>
      </c>
      <c r="B805">
        <f>COUNTIF($A:$A,A805)</f>
        <v>1</v>
      </c>
      <c r="C805" t="str">
        <f t="shared" si="147"/>
        <v>Unique</v>
      </c>
      <c r="D805" s="4">
        <v>45547</v>
      </c>
      <c r="E805">
        <f t="shared" si="148"/>
        <v>92</v>
      </c>
      <c r="F805" s="4">
        <v>45639</v>
      </c>
      <c r="G805" t="s">
        <v>2518</v>
      </c>
      <c r="H805" t="s">
        <v>139</v>
      </c>
      <c r="I805" t="str">
        <f t="shared" si="149"/>
        <v>Rohan Mehta</v>
      </c>
      <c r="J805" t="s">
        <v>22</v>
      </c>
      <c r="K805" t="str">
        <f t="shared" si="150"/>
        <v>Consumer</v>
      </c>
      <c r="M805" t="s">
        <v>2828</v>
      </c>
      <c r="N805" t="s">
        <v>227</v>
      </c>
      <c r="O805" t="str">
        <f t="shared" si="151"/>
        <v>Jharkhand</v>
      </c>
      <c r="P805" t="s">
        <v>228</v>
      </c>
      <c r="Q805" t="str">
        <f t="shared" si="152"/>
        <v>Ranchi</v>
      </c>
      <c r="R805" t="s">
        <v>26</v>
      </c>
      <c r="S805" t="str">
        <f t="shared" si="153"/>
        <v>Office Supplies</v>
      </c>
      <c r="T805" t="s">
        <v>89</v>
      </c>
      <c r="U805" t="str">
        <f t="shared" si="154"/>
        <v>Labels</v>
      </c>
      <c r="V805" t="s">
        <v>2519</v>
      </c>
      <c r="X805" t="s">
        <v>48</v>
      </c>
      <c r="Y805" t="str">
        <f t="shared" si="155"/>
        <v>First Class</v>
      </c>
      <c r="Z805">
        <v>1</v>
      </c>
      <c r="AA805">
        <v>4306.6499999999996</v>
      </c>
      <c r="AB805">
        <v>0</v>
      </c>
      <c r="AC805">
        <v>4306.6499999999996</v>
      </c>
      <c r="AD805">
        <v>2568.8200000000002</v>
      </c>
      <c r="AE805">
        <v>1737.83</v>
      </c>
      <c r="AF805" t="s">
        <v>30</v>
      </c>
      <c r="AG805" t="str">
        <f t="shared" si="156"/>
        <v>Paid</v>
      </c>
      <c r="AH805" t="s">
        <v>31</v>
      </c>
    </row>
    <row r="806" spans="1:34">
      <c r="A806" t="s">
        <v>2520</v>
      </c>
      <c r="B806">
        <f>COUNTIF($A:$A,A806)</f>
        <v>1</v>
      </c>
      <c r="C806" t="str">
        <f t="shared" si="147"/>
        <v>Unique</v>
      </c>
      <c r="D806" s="4">
        <v>45939</v>
      </c>
      <c r="E806">
        <f t="shared" si="148"/>
        <v>-21</v>
      </c>
      <c r="F806" s="4">
        <v>45918</v>
      </c>
      <c r="G806" t="s">
        <v>2521</v>
      </c>
      <c r="H806" t="s">
        <v>116</v>
      </c>
      <c r="I806" t="str">
        <f t="shared" si="149"/>
        <v>Rahul Verma</v>
      </c>
      <c r="J806" t="s">
        <v>93</v>
      </c>
      <c r="K806" t="str">
        <f t="shared" si="150"/>
        <v>Home Office</v>
      </c>
      <c r="L806" t="s">
        <v>52</v>
      </c>
      <c r="M806" t="str">
        <f>PROPER(TRIM(L806))</f>
        <v>South</v>
      </c>
      <c r="N806" t="s">
        <v>53</v>
      </c>
      <c r="O806" t="str">
        <f t="shared" si="151"/>
        <v>Telangana</v>
      </c>
      <c r="P806" t="s">
        <v>54</v>
      </c>
      <c r="Q806" t="str">
        <f t="shared" si="152"/>
        <v>Hyderabad</v>
      </c>
      <c r="R806" t="s">
        <v>39</v>
      </c>
      <c r="S806" t="str">
        <f t="shared" si="153"/>
        <v>Furniture</v>
      </c>
      <c r="T806" t="s">
        <v>55</v>
      </c>
      <c r="U806" t="str">
        <f t="shared" si="154"/>
        <v>Furnishings</v>
      </c>
      <c r="V806" t="s">
        <v>2522</v>
      </c>
      <c r="X806" t="s">
        <v>57</v>
      </c>
      <c r="Y806" t="str">
        <f t="shared" si="155"/>
        <v>Standard Class</v>
      </c>
      <c r="Z806">
        <v>1</v>
      </c>
      <c r="AA806">
        <v>2050.62</v>
      </c>
      <c r="AB806">
        <v>0.05</v>
      </c>
      <c r="AC806">
        <v>1948.09</v>
      </c>
      <c r="AD806">
        <v>1507.08</v>
      </c>
      <c r="AE806">
        <v>441.01</v>
      </c>
      <c r="AF806" t="s">
        <v>30</v>
      </c>
      <c r="AG806" t="str">
        <f t="shared" si="156"/>
        <v>Paid</v>
      </c>
      <c r="AH806" t="s">
        <v>31</v>
      </c>
    </row>
    <row r="807" spans="1:34">
      <c r="A807" t="s">
        <v>2523</v>
      </c>
      <c r="B807">
        <f>COUNTIF($A:$A,A807)</f>
        <v>1</v>
      </c>
      <c r="C807" t="str">
        <f t="shared" si="147"/>
        <v>Unique</v>
      </c>
      <c r="D807" s="4">
        <v>45812</v>
      </c>
      <c r="E807">
        <f t="shared" si="148"/>
        <v>30</v>
      </c>
      <c r="F807" s="4">
        <v>45842</v>
      </c>
      <c r="G807" t="s">
        <v>2386</v>
      </c>
      <c r="H807" t="s">
        <v>112</v>
      </c>
      <c r="I807" t="str">
        <f t="shared" si="149"/>
        <v>Priya Menon</v>
      </c>
      <c r="J807" t="s">
        <v>93</v>
      </c>
      <c r="K807" t="str">
        <f t="shared" si="150"/>
        <v>Home Office</v>
      </c>
      <c r="L807" t="s">
        <v>36</v>
      </c>
      <c r="M807" t="str">
        <f>PROPER(TRIM(L807))</f>
        <v>East</v>
      </c>
      <c r="N807" t="s">
        <v>164</v>
      </c>
      <c r="O807" t="str">
        <f t="shared" si="151"/>
        <v>Assam</v>
      </c>
      <c r="P807" t="s">
        <v>165</v>
      </c>
      <c r="Q807" t="str">
        <f t="shared" si="152"/>
        <v>Guwahati</v>
      </c>
      <c r="R807" t="s">
        <v>26</v>
      </c>
      <c r="S807" t="str">
        <f t="shared" si="153"/>
        <v>Office Supplies</v>
      </c>
      <c r="T807" t="s">
        <v>151</v>
      </c>
      <c r="U807" t="str">
        <f t="shared" si="154"/>
        <v>Binders</v>
      </c>
      <c r="V807" t="s">
        <v>2524</v>
      </c>
      <c r="X807" t="s">
        <v>29</v>
      </c>
      <c r="Y807" t="str">
        <f t="shared" si="155"/>
        <v>Second Class</v>
      </c>
      <c r="Z807">
        <v>2</v>
      </c>
      <c r="AA807">
        <v>2030.06</v>
      </c>
      <c r="AB807">
        <v>0.25</v>
      </c>
      <c r="AC807">
        <v>3045.09</v>
      </c>
      <c r="AD807">
        <v>2601.09</v>
      </c>
      <c r="AE807">
        <v>444</v>
      </c>
      <c r="AF807" t="s">
        <v>30</v>
      </c>
      <c r="AG807" t="str">
        <f t="shared" si="156"/>
        <v>Paid</v>
      </c>
      <c r="AH807" t="s">
        <v>31</v>
      </c>
    </row>
    <row r="808" spans="1:34">
      <c r="A808" t="s">
        <v>2525</v>
      </c>
      <c r="B808">
        <f>COUNTIF($A:$A,A808)</f>
        <v>1</v>
      </c>
      <c r="C808" t="str">
        <f t="shared" si="147"/>
        <v>Unique</v>
      </c>
      <c r="D808" s="4">
        <v>45546</v>
      </c>
      <c r="E808">
        <f t="shared" si="148"/>
        <v>65</v>
      </c>
      <c r="F808" s="4">
        <v>45611</v>
      </c>
      <c r="G808" t="s">
        <v>2526</v>
      </c>
      <c r="H808" t="s">
        <v>45</v>
      </c>
      <c r="I808" t="str">
        <f t="shared" si="149"/>
        <v>Isha Nair</v>
      </c>
      <c r="J808" t="s">
        <v>93</v>
      </c>
      <c r="K808" t="str">
        <f t="shared" si="150"/>
        <v>Home Office</v>
      </c>
      <c r="L808" t="s">
        <v>23</v>
      </c>
      <c r="M808" t="str">
        <f>PROPER(TRIM(L808))</f>
        <v>North</v>
      </c>
      <c r="N808" t="s">
        <v>24</v>
      </c>
      <c r="O808" t="str">
        <f t="shared" si="151"/>
        <v>Rajasthan</v>
      </c>
      <c r="P808" t="s">
        <v>25</v>
      </c>
      <c r="Q808" t="str">
        <f t="shared" si="152"/>
        <v>Jaipur</v>
      </c>
      <c r="R808" t="s">
        <v>72</v>
      </c>
      <c r="S808" t="str">
        <f t="shared" si="153"/>
        <v>Technology</v>
      </c>
      <c r="T808" t="s">
        <v>78</v>
      </c>
      <c r="U808" t="str">
        <f t="shared" si="154"/>
        <v>Copiers</v>
      </c>
      <c r="V808" t="s">
        <v>2527</v>
      </c>
      <c r="X808" t="s">
        <v>57</v>
      </c>
      <c r="Y808" t="str">
        <f t="shared" si="155"/>
        <v>Standard Class</v>
      </c>
      <c r="Z808">
        <v>1</v>
      </c>
      <c r="AA808">
        <v>3665.97</v>
      </c>
      <c r="AB808">
        <v>0.2</v>
      </c>
      <c r="AC808">
        <v>2932.78</v>
      </c>
      <c r="AD808">
        <v>1900.35</v>
      </c>
      <c r="AE808">
        <v>1032.43</v>
      </c>
      <c r="AF808" t="s">
        <v>153</v>
      </c>
      <c r="AG808" t="str">
        <f t="shared" si="156"/>
        <v>Failed</v>
      </c>
      <c r="AH808" t="s">
        <v>66</v>
      </c>
    </row>
    <row r="809" spans="1:34">
      <c r="A809" t="s">
        <v>2528</v>
      </c>
      <c r="B809">
        <f>COUNTIF($A:$A,A809)</f>
        <v>1</v>
      </c>
      <c r="C809" t="str">
        <f t="shared" si="147"/>
        <v>Unique</v>
      </c>
      <c r="D809" s="4">
        <v>45840</v>
      </c>
      <c r="E809">
        <f t="shared" si="148"/>
        <v>31</v>
      </c>
      <c r="F809" s="4">
        <v>45871</v>
      </c>
      <c r="G809" t="s">
        <v>2529</v>
      </c>
      <c r="H809" t="s">
        <v>21</v>
      </c>
      <c r="I809" t="str">
        <f t="shared" si="149"/>
        <v>Karan Malhotra</v>
      </c>
      <c r="J809" t="s">
        <v>35</v>
      </c>
      <c r="K809" t="str">
        <f t="shared" si="150"/>
        <v>Small Business</v>
      </c>
      <c r="L809" t="s">
        <v>52</v>
      </c>
      <c r="M809" t="str">
        <f>PROPER(TRIM(L809))</f>
        <v>South</v>
      </c>
      <c r="N809" t="s">
        <v>53</v>
      </c>
      <c r="O809" t="str">
        <f t="shared" si="151"/>
        <v>Telangana</v>
      </c>
      <c r="P809" t="s">
        <v>54</v>
      </c>
      <c r="Q809" t="str">
        <f t="shared" si="152"/>
        <v>Hyderabad</v>
      </c>
      <c r="R809" t="s">
        <v>26</v>
      </c>
      <c r="S809" t="str">
        <f t="shared" si="153"/>
        <v>Office Supplies</v>
      </c>
      <c r="T809" t="s">
        <v>89</v>
      </c>
      <c r="U809" t="str">
        <f t="shared" si="154"/>
        <v>Labels</v>
      </c>
      <c r="V809" t="s">
        <v>2530</v>
      </c>
      <c r="X809" t="s">
        <v>2531</v>
      </c>
      <c r="Y809" t="str">
        <f t="shared" si="155"/>
        <v>Standard Class</v>
      </c>
      <c r="Z809">
        <v>2</v>
      </c>
      <c r="AA809">
        <v>2432.98</v>
      </c>
      <c r="AB809">
        <v>0.1</v>
      </c>
      <c r="AC809">
        <v>4379.3599999999997</v>
      </c>
      <c r="AD809">
        <v>3723.93</v>
      </c>
      <c r="AE809">
        <v>655.43</v>
      </c>
      <c r="AF809" t="s">
        <v>30</v>
      </c>
      <c r="AG809" t="str">
        <f t="shared" si="156"/>
        <v>Paid</v>
      </c>
      <c r="AH809" t="s">
        <v>31</v>
      </c>
    </row>
    <row r="810" spans="1:34">
      <c r="A810" t="s">
        <v>2532</v>
      </c>
      <c r="B810">
        <f>COUNTIF($A:$A,A810)</f>
        <v>1</v>
      </c>
      <c r="C810" t="str">
        <f t="shared" si="147"/>
        <v>Unique</v>
      </c>
      <c r="D810" s="4">
        <v>45900</v>
      </c>
      <c r="E810">
        <f t="shared" si="148"/>
        <v>-3</v>
      </c>
      <c r="F810" s="4">
        <v>45897</v>
      </c>
      <c r="G810" t="s">
        <v>2533</v>
      </c>
      <c r="H810" t="s">
        <v>126</v>
      </c>
      <c r="I810" t="str">
        <f t="shared" si="149"/>
        <v>Aarav Sharma</v>
      </c>
      <c r="J810" t="s">
        <v>35</v>
      </c>
      <c r="K810" t="str">
        <f t="shared" si="150"/>
        <v>Small Business</v>
      </c>
      <c r="L810" t="s">
        <v>52</v>
      </c>
      <c r="M810" t="str">
        <f>PROPER(TRIM(L810))</f>
        <v>South</v>
      </c>
      <c r="N810" t="s">
        <v>246</v>
      </c>
      <c r="O810" t="str">
        <f t="shared" si="151"/>
        <v>Tamil Nadu</v>
      </c>
      <c r="P810" t="s">
        <v>247</v>
      </c>
      <c r="Q810" t="str">
        <f t="shared" si="152"/>
        <v>Chennai</v>
      </c>
      <c r="R810" t="s">
        <v>39</v>
      </c>
      <c r="S810" t="str">
        <f t="shared" si="153"/>
        <v>Furniture</v>
      </c>
      <c r="T810" t="s">
        <v>55</v>
      </c>
      <c r="U810" t="str">
        <f t="shared" si="154"/>
        <v>Furnishings</v>
      </c>
      <c r="V810" t="s">
        <v>2534</v>
      </c>
      <c r="X810" t="s">
        <v>48</v>
      </c>
      <c r="Y810" t="str">
        <f t="shared" si="155"/>
        <v>First Class</v>
      </c>
      <c r="Z810">
        <v>7</v>
      </c>
      <c r="AA810">
        <v>977.28</v>
      </c>
      <c r="AB810">
        <v>0.2</v>
      </c>
      <c r="AC810">
        <v>5472.77</v>
      </c>
      <c r="AD810">
        <v>4477.33</v>
      </c>
      <c r="AE810">
        <v>995.44</v>
      </c>
      <c r="AF810" t="s">
        <v>30</v>
      </c>
      <c r="AG810" t="str">
        <f t="shared" si="156"/>
        <v>Paid</v>
      </c>
      <c r="AH810" t="s">
        <v>31</v>
      </c>
    </row>
    <row r="811" spans="1:34">
      <c r="A811" t="s">
        <v>2535</v>
      </c>
      <c r="B811">
        <f>COUNTIF($A:$A,A811)</f>
        <v>1</v>
      </c>
      <c r="C811" t="str">
        <f t="shared" si="147"/>
        <v>Unique</v>
      </c>
      <c r="D811" s="4">
        <v>45833</v>
      </c>
      <c r="E811">
        <f t="shared" si="148"/>
        <v>0</v>
      </c>
      <c r="F811" s="4">
        <v>45833</v>
      </c>
      <c r="G811" t="s">
        <v>2536</v>
      </c>
      <c r="H811" t="s">
        <v>51</v>
      </c>
      <c r="I811" t="str">
        <f t="shared" si="149"/>
        <v>Arjun Bose</v>
      </c>
      <c r="J811" t="s">
        <v>35</v>
      </c>
      <c r="K811" t="str">
        <f t="shared" si="150"/>
        <v>Small Business</v>
      </c>
      <c r="M811" t="s">
        <v>2828</v>
      </c>
      <c r="N811" t="s">
        <v>120</v>
      </c>
      <c r="O811" t="str">
        <f t="shared" si="151"/>
        <v>Punjab</v>
      </c>
      <c r="P811" t="s">
        <v>121</v>
      </c>
      <c r="Q811" t="str">
        <f t="shared" si="152"/>
        <v>Ludhiana</v>
      </c>
      <c r="R811" t="s">
        <v>26</v>
      </c>
      <c r="S811" t="str">
        <f t="shared" si="153"/>
        <v>Office Supplies</v>
      </c>
      <c r="T811" t="s">
        <v>151</v>
      </c>
      <c r="U811" t="str">
        <f t="shared" si="154"/>
        <v>Binders</v>
      </c>
      <c r="V811" t="s">
        <v>2537</v>
      </c>
      <c r="X811" t="s">
        <v>29</v>
      </c>
      <c r="Y811" t="str">
        <f t="shared" si="155"/>
        <v>Second Class</v>
      </c>
      <c r="Z811">
        <v>6</v>
      </c>
      <c r="AA811">
        <v>1366.13</v>
      </c>
      <c r="AB811">
        <v>0.1</v>
      </c>
      <c r="AC811">
        <v>7377.1</v>
      </c>
      <c r="AD811">
        <v>5085.21</v>
      </c>
      <c r="AE811">
        <v>2291.89</v>
      </c>
      <c r="AF811" t="s">
        <v>30</v>
      </c>
      <c r="AG811" t="str">
        <f t="shared" si="156"/>
        <v>Paid</v>
      </c>
      <c r="AH811" t="s">
        <v>31</v>
      </c>
    </row>
    <row r="812" spans="1:34">
      <c r="A812" t="s">
        <v>2538</v>
      </c>
      <c r="B812">
        <f>COUNTIF($A:$A,A812)</f>
        <v>1</v>
      </c>
      <c r="C812" t="str">
        <f t="shared" si="147"/>
        <v>Unique</v>
      </c>
      <c r="D812" s="4">
        <v>45385</v>
      </c>
      <c r="E812">
        <f t="shared" si="148"/>
        <v>123</v>
      </c>
      <c r="F812" s="4">
        <v>45508</v>
      </c>
      <c r="G812" t="s">
        <v>1692</v>
      </c>
      <c r="H812" t="s">
        <v>263</v>
      </c>
      <c r="I812" t="str">
        <f t="shared" si="149"/>
        <v>Kabir Singh</v>
      </c>
      <c r="J812" t="s">
        <v>93</v>
      </c>
      <c r="K812" t="str">
        <f t="shared" si="150"/>
        <v>Home Office</v>
      </c>
      <c r="L812" t="s">
        <v>61</v>
      </c>
      <c r="M812" t="str">
        <f t="shared" ref="M812:M831" si="158">PROPER(TRIM(L812))</f>
        <v>West</v>
      </c>
      <c r="N812" t="s">
        <v>178</v>
      </c>
      <c r="O812" t="str">
        <f t="shared" si="151"/>
        <v>Gujarat</v>
      </c>
      <c r="P812" t="s">
        <v>179</v>
      </c>
      <c r="Q812" t="str">
        <f t="shared" si="152"/>
        <v>Ahmedabad</v>
      </c>
      <c r="R812" t="s">
        <v>72</v>
      </c>
      <c r="S812" t="str">
        <f t="shared" si="153"/>
        <v>Technology</v>
      </c>
      <c r="T812" t="s">
        <v>78</v>
      </c>
      <c r="U812" t="str">
        <f t="shared" si="154"/>
        <v>Copiers</v>
      </c>
      <c r="V812" t="s">
        <v>2539</v>
      </c>
      <c r="X812" t="s">
        <v>48</v>
      </c>
      <c r="Y812" t="str">
        <f t="shared" si="155"/>
        <v>First Class</v>
      </c>
      <c r="Z812">
        <v>1</v>
      </c>
      <c r="AA812">
        <v>3151.85</v>
      </c>
      <c r="AB812">
        <v>0.25</v>
      </c>
      <c r="AC812">
        <v>2363.89</v>
      </c>
      <c r="AD812">
        <v>1471.51</v>
      </c>
      <c r="AE812">
        <v>892.38</v>
      </c>
      <c r="AF812" t="s">
        <v>30</v>
      </c>
      <c r="AG812" t="str">
        <f t="shared" si="156"/>
        <v>Paid</v>
      </c>
      <c r="AH812" t="s">
        <v>31</v>
      </c>
    </row>
    <row r="813" spans="1:34">
      <c r="A813" t="s">
        <v>2540</v>
      </c>
      <c r="B813">
        <f>COUNTIF($A:$A,A813)</f>
        <v>1</v>
      </c>
      <c r="C813" t="str">
        <f t="shared" si="147"/>
        <v>Unique</v>
      </c>
      <c r="D813" s="4">
        <v>45638</v>
      </c>
      <c r="E813">
        <f t="shared" si="148"/>
        <v>7</v>
      </c>
      <c r="F813" s="4">
        <v>45645</v>
      </c>
      <c r="G813" t="s">
        <v>2541</v>
      </c>
      <c r="H813" t="s">
        <v>139</v>
      </c>
      <c r="I813" t="str">
        <f t="shared" si="149"/>
        <v>Rohan Mehta</v>
      </c>
      <c r="J813" t="s">
        <v>93</v>
      </c>
      <c r="K813" t="str">
        <f t="shared" si="150"/>
        <v>Home Office</v>
      </c>
      <c r="L813" t="s">
        <v>23</v>
      </c>
      <c r="M813" t="str">
        <f t="shared" si="158"/>
        <v>North</v>
      </c>
      <c r="N813" t="s">
        <v>235</v>
      </c>
      <c r="O813" t="str">
        <f t="shared" si="151"/>
        <v>Haryana</v>
      </c>
      <c r="P813" t="s">
        <v>236</v>
      </c>
      <c r="Q813" t="str">
        <f t="shared" si="152"/>
        <v>Gurugram</v>
      </c>
      <c r="R813" t="s">
        <v>72</v>
      </c>
      <c r="S813" t="str">
        <f t="shared" si="153"/>
        <v>Technology</v>
      </c>
      <c r="T813" t="s">
        <v>73</v>
      </c>
      <c r="U813" t="str">
        <f t="shared" si="154"/>
        <v>Accessories</v>
      </c>
      <c r="V813" t="s">
        <v>2542</v>
      </c>
      <c r="X813" t="s">
        <v>48</v>
      </c>
      <c r="Y813" t="str">
        <f t="shared" si="155"/>
        <v>First Class</v>
      </c>
      <c r="Z813">
        <v>2</v>
      </c>
      <c r="AA813">
        <v>1610.75</v>
      </c>
      <c r="AB813">
        <v>0.2</v>
      </c>
      <c r="AC813">
        <v>2577.1999999999998</v>
      </c>
      <c r="AD813">
        <v>1475.87</v>
      </c>
      <c r="AE813">
        <v>1101.33</v>
      </c>
      <c r="AF813" t="s">
        <v>30</v>
      </c>
      <c r="AG813" t="str">
        <f t="shared" si="156"/>
        <v>Paid</v>
      </c>
      <c r="AH813" t="s">
        <v>31</v>
      </c>
    </row>
    <row r="814" spans="1:34">
      <c r="A814" t="s">
        <v>2543</v>
      </c>
      <c r="B814">
        <f>COUNTIF($A:$A,A814)</f>
        <v>1</v>
      </c>
      <c r="C814" t="str">
        <f t="shared" si="147"/>
        <v>Unique</v>
      </c>
      <c r="D814" s="4">
        <v>45458</v>
      </c>
      <c r="E814">
        <f t="shared" si="148"/>
        <v>5</v>
      </c>
      <c r="F814" s="4">
        <v>45463</v>
      </c>
      <c r="G814" t="s">
        <v>2544</v>
      </c>
      <c r="H814" t="s">
        <v>130</v>
      </c>
      <c r="I814" t="str">
        <f t="shared" si="149"/>
        <v>Sneha Kapoor</v>
      </c>
      <c r="J814" t="s">
        <v>35</v>
      </c>
      <c r="K814" t="str">
        <f t="shared" si="150"/>
        <v>Small Business</v>
      </c>
      <c r="L814" t="s">
        <v>36</v>
      </c>
      <c r="M814" t="str">
        <f t="shared" si="158"/>
        <v>East</v>
      </c>
      <c r="N814" t="s">
        <v>227</v>
      </c>
      <c r="O814" t="str">
        <f t="shared" si="151"/>
        <v>Jharkhand</v>
      </c>
      <c r="P814" t="s">
        <v>228</v>
      </c>
      <c r="Q814" t="str">
        <f t="shared" si="152"/>
        <v>Ranchi</v>
      </c>
      <c r="R814" t="s">
        <v>39</v>
      </c>
      <c r="S814" t="str">
        <f t="shared" si="153"/>
        <v>Furniture</v>
      </c>
      <c r="T814" t="s">
        <v>40</v>
      </c>
      <c r="U814" t="str">
        <f t="shared" si="154"/>
        <v>Tables</v>
      </c>
      <c r="V814" t="s">
        <v>2545</v>
      </c>
      <c r="X814" t="s">
        <v>48</v>
      </c>
      <c r="Y814" t="str">
        <f t="shared" si="155"/>
        <v>First Class</v>
      </c>
      <c r="Z814">
        <v>8</v>
      </c>
      <c r="AA814">
        <v>2228.4699999999998</v>
      </c>
      <c r="AB814">
        <v>0</v>
      </c>
      <c r="AC814">
        <v>17827.759999999998</v>
      </c>
      <c r="AD814">
        <v>14122.13</v>
      </c>
      <c r="AE814">
        <v>3705.63</v>
      </c>
      <c r="AF814" t="s">
        <v>30</v>
      </c>
      <c r="AG814" t="str">
        <f t="shared" si="156"/>
        <v>Paid</v>
      </c>
      <c r="AH814" t="s">
        <v>31</v>
      </c>
    </row>
    <row r="815" spans="1:34">
      <c r="A815" t="s">
        <v>2546</v>
      </c>
      <c r="B815">
        <f>COUNTIF($A:$A,A815)</f>
        <v>1</v>
      </c>
      <c r="C815" t="str">
        <f t="shared" si="147"/>
        <v>Unique</v>
      </c>
      <c r="D815" s="4">
        <v>45753</v>
      </c>
      <c r="E815">
        <f t="shared" si="148"/>
        <v>181</v>
      </c>
      <c r="F815" s="4">
        <v>45934</v>
      </c>
      <c r="G815" t="s">
        <v>2547</v>
      </c>
      <c r="H815" t="s">
        <v>139</v>
      </c>
      <c r="I815" t="str">
        <f t="shared" si="149"/>
        <v>Rohan Mehta</v>
      </c>
      <c r="J815" t="s">
        <v>22</v>
      </c>
      <c r="K815" t="str">
        <f t="shared" si="150"/>
        <v>Consumer</v>
      </c>
      <c r="L815" t="s">
        <v>36</v>
      </c>
      <c r="M815" t="str">
        <f t="shared" si="158"/>
        <v>East</v>
      </c>
      <c r="N815" t="s">
        <v>37</v>
      </c>
      <c r="O815" t="str">
        <f t="shared" si="151"/>
        <v>Odisha</v>
      </c>
      <c r="P815" t="s">
        <v>38</v>
      </c>
      <c r="Q815" t="str">
        <f t="shared" si="152"/>
        <v>Bhubaneswar</v>
      </c>
      <c r="R815" t="s">
        <v>39</v>
      </c>
      <c r="S815" t="str">
        <f t="shared" si="153"/>
        <v>Furniture</v>
      </c>
      <c r="T815" t="s">
        <v>156</v>
      </c>
      <c r="U815" t="str">
        <f t="shared" si="154"/>
        <v>Bookcases</v>
      </c>
      <c r="V815" t="s">
        <v>1138</v>
      </c>
      <c r="X815" t="s">
        <v>57</v>
      </c>
      <c r="Y815" t="str">
        <f t="shared" si="155"/>
        <v>Standard Class</v>
      </c>
      <c r="Z815">
        <v>2</v>
      </c>
      <c r="AA815">
        <v>1337.67</v>
      </c>
      <c r="AB815">
        <v>0</v>
      </c>
      <c r="AC815">
        <v>2675.34</v>
      </c>
      <c r="AD815">
        <v>1595.87</v>
      </c>
      <c r="AE815">
        <v>1079.47</v>
      </c>
      <c r="AF815" t="s">
        <v>30</v>
      </c>
      <c r="AG815" t="str">
        <f t="shared" si="156"/>
        <v>Paid</v>
      </c>
      <c r="AH815" t="s">
        <v>31</v>
      </c>
    </row>
    <row r="816" spans="1:34">
      <c r="A816" t="s">
        <v>2548</v>
      </c>
      <c r="B816">
        <f>COUNTIF($A:$A,A816)</f>
        <v>1</v>
      </c>
      <c r="C816" t="str">
        <f t="shared" si="147"/>
        <v>Unique</v>
      </c>
      <c r="D816" s="4">
        <v>45816</v>
      </c>
      <c r="E816">
        <f t="shared" si="148"/>
        <v>153</v>
      </c>
      <c r="F816" s="4">
        <v>45969</v>
      </c>
      <c r="G816" t="s">
        <v>2549</v>
      </c>
      <c r="H816" t="s">
        <v>51</v>
      </c>
      <c r="I816" t="str">
        <f t="shared" si="149"/>
        <v>Arjun Bose</v>
      </c>
      <c r="J816" t="s">
        <v>22</v>
      </c>
      <c r="K816" t="str">
        <f t="shared" si="150"/>
        <v>Consumer</v>
      </c>
      <c r="L816" t="s">
        <v>61</v>
      </c>
      <c r="M816" t="str">
        <f t="shared" si="158"/>
        <v>West</v>
      </c>
      <c r="N816" t="s">
        <v>70</v>
      </c>
      <c r="O816" t="str">
        <f t="shared" si="151"/>
        <v>Madhya Pradesh</v>
      </c>
      <c r="P816" t="s">
        <v>71</v>
      </c>
      <c r="Q816" t="str">
        <f t="shared" si="152"/>
        <v>Indore</v>
      </c>
      <c r="R816" t="s">
        <v>26</v>
      </c>
      <c r="S816" t="str">
        <f t="shared" si="153"/>
        <v>Office Supplies</v>
      </c>
      <c r="T816" t="s">
        <v>89</v>
      </c>
      <c r="U816" t="str">
        <f t="shared" si="154"/>
        <v>Labels</v>
      </c>
      <c r="V816" t="s">
        <v>2550</v>
      </c>
      <c r="X816" t="s">
        <v>48</v>
      </c>
      <c r="Y816" t="str">
        <f t="shared" si="155"/>
        <v>First Class</v>
      </c>
      <c r="Z816">
        <v>2</v>
      </c>
      <c r="AA816">
        <v>2375.94</v>
      </c>
      <c r="AB816">
        <v>0.25</v>
      </c>
      <c r="AC816">
        <v>3563.91</v>
      </c>
      <c r="AD816">
        <v>2639.7</v>
      </c>
      <c r="AE816">
        <v>924.21</v>
      </c>
      <c r="AF816" t="s">
        <v>30</v>
      </c>
      <c r="AG816" t="str">
        <f t="shared" si="156"/>
        <v>Paid</v>
      </c>
      <c r="AH816" t="s">
        <v>31</v>
      </c>
    </row>
    <row r="817" spans="1:34">
      <c r="A817" t="s">
        <v>2551</v>
      </c>
      <c r="B817">
        <f>COUNTIF($A:$A,A817)</f>
        <v>1</v>
      </c>
      <c r="C817" t="str">
        <f t="shared" si="147"/>
        <v>Unique</v>
      </c>
      <c r="D817" s="4">
        <v>45383</v>
      </c>
      <c r="E817">
        <f t="shared" si="148"/>
        <v>125</v>
      </c>
      <c r="F817" s="4">
        <v>45508</v>
      </c>
      <c r="G817" t="s">
        <v>2552</v>
      </c>
      <c r="H817" t="s">
        <v>160</v>
      </c>
      <c r="I817" t="str">
        <f t="shared" si="149"/>
        <v>Diya Patel</v>
      </c>
      <c r="J817" t="s">
        <v>22</v>
      </c>
      <c r="K817" t="str">
        <f t="shared" si="150"/>
        <v>Consumer</v>
      </c>
      <c r="L817" t="s">
        <v>36</v>
      </c>
      <c r="M817" t="str">
        <f t="shared" si="158"/>
        <v>East</v>
      </c>
      <c r="N817" t="s">
        <v>37</v>
      </c>
      <c r="O817" t="str">
        <f t="shared" si="151"/>
        <v>Odisha</v>
      </c>
      <c r="P817" t="s">
        <v>38</v>
      </c>
      <c r="Q817" t="str">
        <f t="shared" si="152"/>
        <v>Bhubaneswar</v>
      </c>
      <c r="R817" t="s">
        <v>72</v>
      </c>
      <c r="S817" t="str">
        <f t="shared" si="153"/>
        <v>Technology</v>
      </c>
      <c r="T817" t="s">
        <v>273</v>
      </c>
      <c r="U817" t="str">
        <f t="shared" si="154"/>
        <v>Machines</v>
      </c>
      <c r="V817" t="s">
        <v>2553</v>
      </c>
      <c r="X817" t="s">
        <v>57</v>
      </c>
      <c r="Y817" t="str">
        <f t="shared" si="155"/>
        <v>Standard Class</v>
      </c>
      <c r="Z817">
        <v>7</v>
      </c>
      <c r="AA817">
        <v>715.81</v>
      </c>
      <c r="AB817">
        <v>0.15</v>
      </c>
      <c r="AC817">
        <v>4259.07</v>
      </c>
      <c r="AD817">
        <v>3130.32</v>
      </c>
      <c r="AE817">
        <v>1128.75</v>
      </c>
      <c r="AF817" t="s">
        <v>109</v>
      </c>
      <c r="AG817" t="str">
        <f t="shared" si="156"/>
        <v>Pending</v>
      </c>
      <c r="AH817" t="s">
        <v>66</v>
      </c>
    </row>
    <row r="818" spans="1:34">
      <c r="A818" t="s">
        <v>2554</v>
      </c>
      <c r="B818">
        <f>COUNTIF($A:$A,A818)</f>
        <v>1</v>
      </c>
      <c r="C818" t="str">
        <f t="shared" si="147"/>
        <v>Unique</v>
      </c>
      <c r="D818" s="4">
        <v>45623</v>
      </c>
      <c r="E818">
        <f t="shared" si="148"/>
        <v>3</v>
      </c>
      <c r="F818" s="4">
        <v>45626</v>
      </c>
      <c r="G818" t="s">
        <v>2555</v>
      </c>
      <c r="H818" t="s">
        <v>116</v>
      </c>
      <c r="I818" t="str">
        <f t="shared" si="149"/>
        <v>Rahul Verma</v>
      </c>
      <c r="J818" t="s">
        <v>35</v>
      </c>
      <c r="K818" t="str">
        <f t="shared" si="150"/>
        <v>Small Business</v>
      </c>
      <c r="L818" t="s">
        <v>36</v>
      </c>
      <c r="M818" t="str">
        <f t="shared" si="158"/>
        <v>East</v>
      </c>
      <c r="N818" t="s">
        <v>227</v>
      </c>
      <c r="O818" t="str">
        <f t="shared" si="151"/>
        <v>Jharkhand</v>
      </c>
      <c r="P818" t="s">
        <v>228</v>
      </c>
      <c r="Q818" t="str">
        <f t="shared" si="152"/>
        <v>Ranchi</v>
      </c>
      <c r="R818" t="s">
        <v>39</v>
      </c>
      <c r="S818" t="str">
        <f t="shared" si="153"/>
        <v>Furniture</v>
      </c>
      <c r="T818" t="s">
        <v>55</v>
      </c>
      <c r="U818" t="str">
        <f t="shared" si="154"/>
        <v>Furnishings</v>
      </c>
      <c r="V818" t="s">
        <v>2556</v>
      </c>
      <c r="X818" t="s">
        <v>48</v>
      </c>
      <c r="Y818" t="str">
        <f t="shared" si="155"/>
        <v>First Class</v>
      </c>
      <c r="Z818">
        <v>1</v>
      </c>
      <c r="AA818">
        <v>874.3</v>
      </c>
      <c r="AB818">
        <v>0.1</v>
      </c>
      <c r="AC818">
        <v>786.87</v>
      </c>
      <c r="AD818">
        <v>498.5</v>
      </c>
      <c r="AE818">
        <v>288.37</v>
      </c>
      <c r="AF818" t="s">
        <v>30</v>
      </c>
      <c r="AG818" t="str">
        <f t="shared" si="156"/>
        <v>Paid</v>
      </c>
      <c r="AH818" t="s">
        <v>31</v>
      </c>
    </row>
    <row r="819" spans="1:34">
      <c r="A819" t="s">
        <v>2557</v>
      </c>
      <c r="B819">
        <f>COUNTIF($A:$A,A819)</f>
        <v>1</v>
      </c>
      <c r="C819" t="str">
        <f t="shared" si="147"/>
        <v>Unique</v>
      </c>
      <c r="D819" s="4">
        <v>45781</v>
      </c>
      <c r="E819">
        <f t="shared" si="148"/>
        <v>-29</v>
      </c>
      <c r="F819" s="4">
        <v>45752</v>
      </c>
      <c r="G819" t="s">
        <v>2558</v>
      </c>
      <c r="H819" t="s">
        <v>130</v>
      </c>
      <c r="I819" t="str">
        <f t="shared" si="149"/>
        <v>Sneha Kapoor</v>
      </c>
      <c r="J819" t="s">
        <v>22</v>
      </c>
      <c r="K819" t="str">
        <f t="shared" si="150"/>
        <v>Consumer</v>
      </c>
      <c r="L819" t="s">
        <v>36</v>
      </c>
      <c r="M819" t="str">
        <f t="shared" si="158"/>
        <v>East</v>
      </c>
      <c r="N819" t="s">
        <v>143</v>
      </c>
      <c r="O819" t="str">
        <f t="shared" si="151"/>
        <v>Bihar</v>
      </c>
      <c r="P819" t="s">
        <v>144</v>
      </c>
      <c r="Q819" t="str">
        <f t="shared" si="152"/>
        <v>Patna</v>
      </c>
      <c r="R819" t="s">
        <v>26</v>
      </c>
      <c r="S819" t="str">
        <f t="shared" si="153"/>
        <v>Office Supplies</v>
      </c>
      <c r="T819" t="s">
        <v>151</v>
      </c>
      <c r="U819" t="str">
        <f t="shared" si="154"/>
        <v>Binders</v>
      </c>
      <c r="V819" t="s">
        <v>2559</v>
      </c>
      <c r="X819" t="s">
        <v>57</v>
      </c>
      <c r="Y819" t="str">
        <f t="shared" si="155"/>
        <v>Standard Class</v>
      </c>
      <c r="Z819">
        <v>6</v>
      </c>
      <c r="AA819">
        <v>1829.69</v>
      </c>
      <c r="AB819">
        <v>0.25</v>
      </c>
      <c r="AC819">
        <v>8233.6</v>
      </c>
      <c r="AD819">
        <v>4713.79</v>
      </c>
      <c r="AE819">
        <v>3519.81</v>
      </c>
      <c r="AF819" t="s">
        <v>30</v>
      </c>
      <c r="AG819" t="str">
        <f t="shared" si="156"/>
        <v>Paid</v>
      </c>
      <c r="AH819" t="s">
        <v>31</v>
      </c>
    </row>
    <row r="820" spans="1:34">
      <c r="A820" t="s">
        <v>2560</v>
      </c>
      <c r="B820">
        <f>COUNTIF($A:$A,A820)</f>
        <v>1</v>
      </c>
      <c r="C820" t="str">
        <f t="shared" si="147"/>
        <v>Unique</v>
      </c>
      <c r="D820" s="4">
        <v>45564</v>
      </c>
      <c r="E820">
        <f t="shared" si="148"/>
        <v>-142</v>
      </c>
      <c r="F820" s="4">
        <v>45422</v>
      </c>
      <c r="G820" t="s">
        <v>2561</v>
      </c>
      <c r="H820" t="s">
        <v>112</v>
      </c>
      <c r="I820" t="str">
        <f t="shared" si="149"/>
        <v>Priya Menon</v>
      </c>
      <c r="J820" t="s">
        <v>35</v>
      </c>
      <c r="K820" t="str">
        <f t="shared" si="150"/>
        <v>Small Business</v>
      </c>
      <c r="L820" t="s">
        <v>61</v>
      </c>
      <c r="M820" t="str">
        <f t="shared" si="158"/>
        <v>West</v>
      </c>
      <c r="N820" t="s">
        <v>62</v>
      </c>
      <c r="O820" t="str">
        <f t="shared" si="151"/>
        <v>Maharashtra</v>
      </c>
      <c r="P820" t="s">
        <v>63</v>
      </c>
      <c r="Q820" t="str">
        <f t="shared" si="152"/>
        <v>Mumbai</v>
      </c>
      <c r="R820" t="s">
        <v>26</v>
      </c>
      <c r="S820" t="str">
        <f t="shared" si="153"/>
        <v>Office Supplies</v>
      </c>
      <c r="T820" t="s">
        <v>89</v>
      </c>
      <c r="U820" t="str">
        <f t="shared" si="154"/>
        <v>Labels</v>
      </c>
      <c r="V820" t="s">
        <v>2562</v>
      </c>
      <c r="X820" t="s">
        <v>48</v>
      </c>
      <c r="Y820" t="str">
        <f t="shared" si="155"/>
        <v>First Class</v>
      </c>
      <c r="Z820">
        <v>8</v>
      </c>
      <c r="AA820">
        <v>1981.04</v>
      </c>
      <c r="AB820">
        <v>-0.14000000000000001</v>
      </c>
      <c r="AC820">
        <v>12678.66</v>
      </c>
      <c r="AD820">
        <v>10088.65</v>
      </c>
      <c r="AE820">
        <v>2590.0100000000002</v>
      </c>
      <c r="AF820" t="s">
        <v>30</v>
      </c>
      <c r="AG820" t="str">
        <f t="shared" si="156"/>
        <v>Paid</v>
      </c>
      <c r="AH820" t="s">
        <v>31</v>
      </c>
    </row>
    <row r="821" spans="1:34">
      <c r="A821" t="s">
        <v>2563</v>
      </c>
      <c r="B821">
        <f>COUNTIF($A:$A,A821)</f>
        <v>1</v>
      </c>
      <c r="C821" t="str">
        <f t="shared" si="147"/>
        <v>Unique</v>
      </c>
      <c r="D821" s="4">
        <v>45504</v>
      </c>
      <c r="E821">
        <f t="shared" si="148"/>
        <v>0</v>
      </c>
      <c r="F821" s="4">
        <v>45504</v>
      </c>
      <c r="G821" t="s">
        <v>2564</v>
      </c>
      <c r="H821" t="s">
        <v>21</v>
      </c>
      <c r="I821" t="str">
        <f t="shared" si="149"/>
        <v>Karan Malhotra</v>
      </c>
      <c r="J821" t="s">
        <v>93</v>
      </c>
      <c r="K821" t="str">
        <f t="shared" si="150"/>
        <v>Home Office</v>
      </c>
      <c r="L821" t="s">
        <v>52</v>
      </c>
      <c r="M821" t="str">
        <f t="shared" si="158"/>
        <v>South</v>
      </c>
      <c r="N821" t="s">
        <v>183</v>
      </c>
      <c r="O821" t="str">
        <f t="shared" si="151"/>
        <v>Kerala</v>
      </c>
      <c r="P821" t="s">
        <v>184</v>
      </c>
      <c r="Q821" t="str">
        <f t="shared" si="152"/>
        <v>Kochi</v>
      </c>
      <c r="R821" t="s">
        <v>72</v>
      </c>
      <c r="S821" t="str">
        <f t="shared" si="153"/>
        <v>Technology</v>
      </c>
      <c r="T821" t="s">
        <v>2565</v>
      </c>
      <c r="U821" t="str">
        <f t="shared" si="154"/>
        <v>Machines</v>
      </c>
      <c r="V821" t="s">
        <v>2566</v>
      </c>
      <c r="X821" t="s">
        <v>57</v>
      </c>
      <c r="Y821" t="str">
        <f t="shared" si="155"/>
        <v>Standard Class</v>
      </c>
      <c r="Z821">
        <v>8</v>
      </c>
      <c r="AA821">
        <v>4246.01</v>
      </c>
      <c r="AB821">
        <v>0</v>
      </c>
      <c r="AC821">
        <v>33968.080000000002</v>
      </c>
      <c r="AD821">
        <v>26902.44</v>
      </c>
      <c r="AE821">
        <v>7065.64</v>
      </c>
      <c r="AF821" t="s">
        <v>153</v>
      </c>
      <c r="AG821" t="str">
        <f t="shared" si="156"/>
        <v>Failed</v>
      </c>
      <c r="AH821" t="s">
        <v>66</v>
      </c>
    </row>
    <row r="822" spans="1:34">
      <c r="A822" t="s">
        <v>2567</v>
      </c>
      <c r="B822">
        <f>COUNTIF($A:$A,A822)</f>
        <v>1</v>
      </c>
      <c r="C822" t="str">
        <f t="shared" si="147"/>
        <v>Unique</v>
      </c>
      <c r="D822" s="4">
        <v>45810</v>
      </c>
      <c r="E822">
        <f t="shared" si="148"/>
        <v>122</v>
      </c>
      <c r="F822" s="4">
        <v>45932</v>
      </c>
      <c r="G822" t="s">
        <v>2568</v>
      </c>
      <c r="H822" t="s">
        <v>60</v>
      </c>
      <c r="I822" t="str">
        <f t="shared" si="149"/>
        <v>Ananya Rao</v>
      </c>
      <c r="J822" t="s">
        <v>93</v>
      </c>
      <c r="K822" t="str">
        <f t="shared" si="150"/>
        <v>Home Office</v>
      </c>
      <c r="L822" t="s">
        <v>23</v>
      </c>
      <c r="M822" t="str">
        <f t="shared" si="158"/>
        <v>North</v>
      </c>
      <c r="N822" t="s">
        <v>134</v>
      </c>
      <c r="O822" t="str">
        <f t="shared" si="151"/>
        <v>Uttar Pradesh</v>
      </c>
      <c r="P822" t="s">
        <v>135</v>
      </c>
      <c r="Q822" t="str">
        <f t="shared" si="152"/>
        <v>Noida</v>
      </c>
      <c r="R822" t="s">
        <v>39</v>
      </c>
      <c r="S822" t="str">
        <f t="shared" si="153"/>
        <v>Furniture</v>
      </c>
      <c r="T822" t="s">
        <v>156</v>
      </c>
      <c r="U822" t="str">
        <f t="shared" si="154"/>
        <v>Bookcases</v>
      </c>
      <c r="V822" t="s">
        <v>2569</v>
      </c>
      <c r="X822" t="s">
        <v>57</v>
      </c>
      <c r="Y822" t="str">
        <f t="shared" si="155"/>
        <v>Standard Class</v>
      </c>
      <c r="Z822">
        <v>2</v>
      </c>
      <c r="AA822">
        <v>319.57</v>
      </c>
      <c r="AB822">
        <v>0.2</v>
      </c>
      <c r="AC822">
        <v>511.31</v>
      </c>
      <c r="AD822">
        <v>436.43</v>
      </c>
      <c r="AE822">
        <v>74.88</v>
      </c>
      <c r="AF822" t="s">
        <v>30</v>
      </c>
      <c r="AG822" t="str">
        <f t="shared" si="156"/>
        <v>Paid</v>
      </c>
      <c r="AH822" t="s">
        <v>31</v>
      </c>
    </row>
    <row r="823" spans="1:34">
      <c r="A823" t="s">
        <v>2570</v>
      </c>
      <c r="B823">
        <f>COUNTIF($A:$A,A823)</f>
        <v>1</v>
      </c>
      <c r="C823" t="str">
        <f t="shared" si="147"/>
        <v>Unique</v>
      </c>
      <c r="D823" s="4">
        <v>45358</v>
      </c>
      <c r="E823">
        <f t="shared" si="148"/>
        <v>92</v>
      </c>
      <c r="F823" s="4">
        <v>45450</v>
      </c>
      <c r="G823" t="s">
        <v>2571</v>
      </c>
      <c r="H823" t="s">
        <v>126</v>
      </c>
      <c r="I823" t="str">
        <f t="shared" si="149"/>
        <v>Aarav Sharma</v>
      </c>
      <c r="J823" t="s">
        <v>88</v>
      </c>
      <c r="K823" t="str">
        <f t="shared" si="150"/>
        <v>Corporate</v>
      </c>
      <c r="L823" t="s">
        <v>52</v>
      </c>
      <c r="M823" t="str">
        <f t="shared" si="158"/>
        <v>South</v>
      </c>
      <c r="N823" t="s">
        <v>173</v>
      </c>
      <c r="O823" t="str">
        <f t="shared" si="151"/>
        <v>Karnataka</v>
      </c>
      <c r="P823" t="s">
        <v>174</v>
      </c>
      <c r="Q823" t="str">
        <f t="shared" si="152"/>
        <v>Bengaluru</v>
      </c>
      <c r="R823" t="s">
        <v>72</v>
      </c>
      <c r="S823" t="str">
        <f t="shared" si="153"/>
        <v>Technology</v>
      </c>
      <c r="T823" t="s">
        <v>73</v>
      </c>
      <c r="U823" t="str">
        <f t="shared" si="154"/>
        <v>Accessories</v>
      </c>
      <c r="V823" t="s">
        <v>2572</v>
      </c>
      <c r="X823" t="s">
        <v>48</v>
      </c>
      <c r="Y823" t="str">
        <f t="shared" si="155"/>
        <v>First Class</v>
      </c>
      <c r="Z823">
        <v>7</v>
      </c>
      <c r="AA823">
        <v>1942.49</v>
      </c>
      <c r="AB823">
        <v>0.2</v>
      </c>
      <c r="AC823">
        <v>10877.94</v>
      </c>
      <c r="AD823">
        <v>9110.14</v>
      </c>
      <c r="AE823">
        <v>1767.8</v>
      </c>
      <c r="AF823" t="s">
        <v>30</v>
      </c>
      <c r="AG823" t="str">
        <f t="shared" si="156"/>
        <v>Paid</v>
      </c>
      <c r="AH823" t="s">
        <v>31</v>
      </c>
    </row>
    <row r="824" spans="1:34">
      <c r="A824" t="s">
        <v>2573</v>
      </c>
      <c r="B824">
        <f>COUNTIF($A:$A,A824)</f>
        <v>1</v>
      </c>
      <c r="C824" t="str">
        <f t="shared" si="147"/>
        <v>Unique</v>
      </c>
      <c r="D824" s="4">
        <v>45577</v>
      </c>
      <c r="E824">
        <f t="shared" si="148"/>
        <v>-63</v>
      </c>
      <c r="F824" s="4">
        <v>45514</v>
      </c>
      <c r="G824" t="s">
        <v>2574</v>
      </c>
      <c r="H824" t="s">
        <v>34</v>
      </c>
      <c r="I824" t="str">
        <f t="shared" si="149"/>
        <v>Mira Das</v>
      </c>
      <c r="J824" t="s">
        <v>88</v>
      </c>
      <c r="K824" t="str">
        <f t="shared" si="150"/>
        <v>Corporate</v>
      </c>
      <c r="L824" t="s">
        <v>36</v>
      </c>
      <c r="M824" t="str">
        <f t="shared" si="158"/>
        <v>East</v>
      </c>
      <c r="N824" t="s">
        <v>164</v>
      </c>
      <c r="O824" t="str">
        <f t="shared" si="151"/>
        <v>Assam</v>
      </c>
      <c r="P824" t="s">
        <v>165</v>
      </c>
      <c r="Q824" t="str">
        <f t="shared" si="152"/>
        <v>Guwahati</v>
      </c>
      <c r="R824" t="s">
        <v>39</v>
      </c>
      <c r="S824" t="str">
        <f t="shared" si="153"/>
        <v>Furniture</v>
      </c>
      <c r="T824" t="s">
        <v>55</v>
      </c>
      <c r="U824" t="str">
        <f t="shared" si="154"/>
        <v>Furnishings</v>
      </c>
      <c r="V824" t="s">
        <v>2575</v>
      </c>
      <c r="X824" t="s">
        <v>29</v>
      </c>
      <c r="Y824" t="str">
        <f t="shared" si="155"/>
        <v>Second Class</v>
      </c>
      <c r="Z824">
        <v>4</v>
      </c>
      <c r="AA824">
        <v>3202.04</v>
      </c>
      <c r="AB824">
        <v>0.2</v>
      </c>
      <c r="AC824">
        <v>10246.530000000001</v>
      </c>
      <c r="AD824">
        <v>8634.42</v>
      </c>
      <c r="AE824">
        <v>1612.11</v>
      </c>
      <c r="AF824" t="s">
        <v>109</v>
      </c>
      <c r="AG824" t="str">
        <f t="shared" si="156"/>
        <v>Pending</v>
      </c>
      <c r="AH824" t="s">
        <v>101</v>
      </c>
    </row>
    <row r="825" spans="1:34">
      <c r="A825" t="s">
        <v>2576</v>
      </c>
      <c r="B825">
        <f>COUNTIF($A:$A,A825)</f>
        <v>1</v>
      </c>
      <c r="C825" t="str">
        <f t="shared" si="147"/>
        <v>Unique</v>
      </c>
      <c r="D825" s="4">
        <v>45809</v>
      </c>
      <c r="E825">
        <f t="shared" si="148"/>
        <v>183</v>
      </c>
      <c r="F825" s="4">
        <v>45992</v>
      </c>
      <c r="G825" t="s">
        <v>2577</v>
      </c>
      <c r="H825" t="s">
        <v>34</v>
      </c>
      <c r="I825" t="str">
        <f t="shared" si="149"/>
        <v>Mira Das</v>
      </c>
      <c r="J825" t="s">
        <v>93</v>
      </c>
      <c r="K825" t="str">
        <f t="shared" si="150"/>
        <v>Home Office</v>
      </c>
      <c r="L825" t="s">
        <v>61</v>
      </c>
      <c r="M825" t="str">
        <f t="shared" si="158"/>
        <v>West</v>
      </c>
      <c r="N825" t="s">
        <v>188</v>
      </c>
      <c r="O825" t="str">
        <f t="shared" si="151"/>
        <v>Goa</v>
      </c>
      <c r="P825" t="s">
        <v>189</v>
      </c>
      <c r="Q825" t="str">
        <f t="shared" si="152"/>
        <v>Panaji</v>
      </c>
      <c r="R825" t="s">
        <v>26</v>
      </c>
      <c r="S825" t="str">
        <f t="shared" si="153"/>
        <v>Office Supplies</v>
      </c>
      <c r="T825" t="s">
        <v>27</v>
      </c>
      <c r="U825" t="str">
        <f t="shared" si="154"/>
        <v>Paper</v>
      </c>
      <c r="V825" t="s">
        <v>2578</v>
      </c>
      <c r="X825" t="s">
        <v>42</v>
      </c>
      <c r="Y825" t="str">
        <f t="shared" si="155"/>
        <v>Same Day</v>
      </c>
      <c r="Z825">
        <v>3</v>
      </c>
      <c r="AA825">
        <v>668.33</v>
      </c>
      <c r="AB825">
        <v>0.15</v>
      </c>
      <c r="AC825">
        <v>1704.24</v>
      </c>
      <c r="AD825">
        <v>957.55</v>
      </c>
      <c r="AE825">
        <v>746.69</v>
      </c>
      <c r="AF825" t="s">
        <v>30</v>
      </c>
      <c r="AG825" t="str">
        <f t="shared" si="156"/>
        <v>Paid</v>
      </c>
      <c r="AH825" t="s">
        <v>31</v>
      </c>
    </row>
    <row r="826" spans="1:34">
      <c r="A826" t="s">
        <v>2579</v>
      </c>
      <c r="B826">
        <f>COUNTIF($A:$A,A826)</f>
        <v>1</v>
      </c>
      <c r="C826" t="str">
        <f t="shared" si="147"/>
        <v>Unique</v>
      </c>
      <c r="D826" s="4">
        <v>45737</v>
      </c>
      <c r="E826">
        <f t="shared" si="148"/>
        <v>1</v>
      </c>
      <c r="F826" s="4">
        <v>45738</v>
      </c>
      <c r="G826" t="s">
        <v>2580</v>
      </c>
      <c r="H826" t="s">
        <v>112</v>
      </c>
      <c r="I826" t="str">
        <f t="shared" si="149"/>
        <v>Priya Menon</v>
      </c>
      <c r="J826" t="s">
        <v>22</v>
      </c>
      <c r="K826" t="str">
        <f t="shared" si="150"/>
        <v>Consumer</v>
      </c>
      <c r="L826" t="s">
        <v>61</v>
      </c>
      <c r="M826" t="str">
        <f t="shared" si="158"/>
        <v>West</v>
      </c>
      <c r="N826" t="s">
        <v>188</v>
      </c>
      <c r="O826" t="str">
        <f t="shared" si="151"/>
        <v>Goa</v>
      </c>
      <c r="P826" t="s">
        <v>189</v>
      </c>
      <c r="Q826" t="str">
        <f t="shared" si="152"/>
        <v>Panaji</v>
      </c>
      <c r="R826" t="s">
        <v>26</v>
      </c>
      <c r="S826" t="str">
        <f t="shared" si="153"/>
        <v>Office Supplies</v>
      </c>
      <c r="T826" t="s">
        <v>27</v>
      </c>
      <c r="U826" t="str">
        <f t="shared" si="154"/>
        <v>Paper</v>
      </c>
      <c r="V826" t="s">
        <v>2581</v>
      </c>
      <c r="X826" t="s">
        <v>48</v>
      </c>
      <c r="Y826" t="str">
        <f t="shared" si="155"/>
        <v>First Class</v>
      </c>
      <c r="Z826">
        <v>8</v>
      </c>
      <c r="AA826">
        <v>4436.74</v>
      </c>
      <c r="AB826">
        <v>0.05</v>
      </c>
      <c r="AC826">
        <v>33719.22</v>
      </c>
      <c r="AD826">
        <v>28924.43</v>
      </c>
      <c r="AE826">
        <v>4794.79</v>
      </c>
      <c r="AF826" t="s">
        <v>30</v>
      </c>
      <c r="AG826" t="str">
        <f t="shared" si="156"/>
        <v>Paid</v>
      </c>
      <c r="AH826" t="s">
        <v>31</v>
      </c>
    </row>
    <row r="827" spans="1:34">
      <c r="A827" t="s">
        <v>2582</v>
      </c>
      <c r="B827">
        <f>COUNTIF($A:$A,A827)</f>
        <v>1</v>
      </c>
      <c r="C827" t="str">
        <f t="shared" si="147"/>
        <v>Unique</v>
      </c>
      <c r="D827" s="4">
        <v>45763</v>
      </c>
      <c r="E827">
        <f t="shared" si="148"/>
        <v>1</v>
      </c>
      <c r="F827" s="4">
        <v>45764</v>
      </c>
      <c r="G827" t="s">
        <v>2583</v>
      </c>
      <c r="H827" t="s">
        <v>69</v>
      </c>
      <c r="I827" t="str">
        <f t="shared" si="149"/>
        <v>Vikram Iyer</v>
      </c>
      <c r="J827" t="s">
        <v>35</v>
      </c>
      <c r="K827" t="str">
        <f t="shared" si="150"/>
        <v>Small Business</v>
      </c>
      <c r="L827" t="s">
        <v>23</v>
      </c>
      <c r="M827" t="str">
        <f t="shared" si="158"/>
        <v>North</v>
      </c>
      <c r="N827" t="s">
        <v>134</v>
      </c>
      <c r="O827" t="str">
        <f t="shared" si="151"/>
        <v>Uttar Pradesh</v>
      </c>
      <c r="P827" t="s">
        <v>135</v>
      </c>
      <c r="Q827" t="str">
        <f t="shared" si="152"/>
        <v>Noida</v>
      </c>
      <c r="R827" t="s">
        <v>72</v>
      </c>
      <c r="S827" t="str">
        <f t="shared" si="153"/>
        <v>Technology</v>
      </c>
      <c r="T827" t="s">
        <v>273</v>
      </c>
      <c r="U827" t="str">
        <f t="shared" si="154"/>
        <v>Machines</v>
      </c>
      <c r="V827" t="s">
        <v>2584</v>
      </c>
      <c r="X827" t="s">
        <v>48</v>
      </c>
      <c r="Y827" t="str">
        <f t="shared" si="155"/>
        <v>First Class</v>
      </c>
      <c r="Z827">
        <v>1</v>
      </c>
      <c r="AA827">
        <v>2720.17</v>
      </c>
      <c r="AB827">
        <v>0</v>
      </c>
      <c r="AC827">
        <v>2720.17</v>
      </c>
      <c r="AD827">
        <v>1834.23</v>
      </c>
      <c r="AE827">
        <v>885.94</v>
      </c>
      <c r="AF827" t="s">
        <v>30</v>
      </c>
      <c r="AG827" t="str">
        <f t="shared" si="156"/>
        <v>Paid</v>
      </c>
      <c r="AH827" t="s">
        <v>31</v>
      </c>
    </row>
    <row r="828" spans="1:34">
      <c r="A828" t="s">
        <v>2585</v>
      </c>
      <c r="B828">
        <f>COUNTIF($A:$A,A828)</f>
        <v>1</v>
      </c>
      <c r="C828" t="str">
        <f t="shared" si="147"/>
        <v>Unique</v>
      </c>
      <c r="D828" s="4">
        <v>45938</v>
      </c>
      <c r="E828">
        <f t="shared" si="148"/>
        <v>-55</v>
      </c>
      <c r="F828" s="4">
        <v>45883</v>
      </c>
      <c r="G828" t="s">
        <v>2586</v>
      </c>
      <c r="H828" t="s">
        <v>87</v>
      </c>
      <c r="I828" t="str">
        <f t="shared" si="149"/>
        <v>Aditi Sen</v>
      </c>
      <c r="J828" t="s">
        <v>22</v>
      </c>
      <c r="K828" t="str">
        <f t="shared" si="150"/>
        <v>Consumer</v>
      </c>
      <c r="L828" t="s">
        <v>61</v>
      </c>
      <c r="M828" t="str">
        <f t="shared" si="158"/>
        <v>West</v>
      </c>
      <c r="N828" t="s">
        <v>24</v>
      </c>
      <c r="O828" t="str">
        <f t="shared" si="151"/>
        <v>Rajasthan</v>
      </c>
      <c r="P828" t="s">
        <v>107</v>
      </c>
      <c r="Q828" t="str">
        <f t="shared" si="152"/>
        <v>Udaipur</v>
      </c>
      <c r="R828" t="s">
        <v>72</v>
      </c>
      <c r="S828" t="str">
        <f t="shared" si="153"/>
        <v>Technology</v>
      </c>
      <c r="T828" t="s">
        <v>73</v>
      </c>
      <c r="U828" t="str">
        <f t="shared" si="154"/>
        <v>Accessories</v>
      </c>
      <c r="V828" t="s">
        <v>2587</v>
      </c>
      <c r="X828" t="s">
        <v>57</v>
      </c>
      <c r="Y828" t="str">
        <f t="shared" si="155"/>
        <v>Standard Class</v>
      </c>
      <c r="Z828">
        <v>5</v>
      </c>
      <c r="AA828">
        <v>2190.14</v>
      </c>
      <c r="AB828">
        <v>0.25</v>
      </c>
      <c r="AC828">
        <v>8213.02</v>
      </c>
      <c r="AD828">
        <v>5569.3</v>
      </c>
      <c r="AE828">
        <v>2643.72</v>
      </c>
      <c r="AF828" t="s">
        <v>30</v>
      </c>
      <c r="AG828" t="str">
        <f t="shared" si="156"/>
        <v>Paid</v>
      </c>
      <c r="AH828" t="s">
        <v>31</v>
      </c>
    </row>
    <row r="829" spans="1:34">
      <c r="A829" t="s">
        <v>2588</v>
      </c>
      <c r="B829">
        <f>COUNTIF($A:$A,A829)</f>
        <v>1</v>
      </c>
      <c r="C829" t="str">
        <f t="shared" si="147"/>
        <v>Unique</v>
      </c>
      <c r="D829" s="4">
        <v>45620</v>
      </c>
      <c r="E829">
        <f t="shared" si="148"/>
        <v>-317</v>
      </c>
      <c r="F829" s="4">
        <v>45303</v>
      </c>
      <c r="G829" t="s">
        <v>2589</v>
      </c>
      <c r="H829" t="s">
        <v>112</v>
      </c>
      <c r="I829" t="str">
        <f t="shared" si="149"/>
        <v>Priya Menon</v>
      </c>
      <c r="J829" t="s">
        <v>93</v>
      </c>
      <c r="K829" t="str">
        <f t="shared" si="150"/>
        <v>Home Office</v>
      </c>
      <c r="L829" t="s">
        <v>52</v>
      </c>
      <c r="M829" t="str">
        <f t="shared" si="158"/>
        <v>South</v>
      </c>
      <c r="N829" t="s">
        <v>246</v>
      </c>
      <c r="O829" t="str">
        <f t="shared" si="151"/>
        <v>Tamil Nadu</v>
      </c>
      <c r="P829" t="s">
        <v>247</v>
      </c>
      <c r="Q829" t="str">
        <f t="shared" si="152"/>
        <v>Chennai</v>
      </c>
      <c r="R829" t="s">
        <v>26</v>
      </c>
      <c r="S829" t="str">
        <f t="shared" si="153"/>
        <v>Office Supplies</v>
      </c>
      <c r="T829" t="s">
        <v>27</v>
      </c>
      <c r="U829" t="str">
        <f t="shared" si="154"/>
        <v>Paper</v>
      </c>
      <c r="V829" t="s">
        <v>2590</v>
      </c>
      <c r="X829" t="s">
        <v>42</v>
      </c>
      <c r="Y829" t="str">
        <f t="shared" si="155"/>
        <v>Same Day</v>
      </c>
      <c r="Z829">
        <v>1</v>
      </c>
      <c r="AA829">
        <v>844.89</v>
      </c>
      <c r="AB829">
        <v>0.25</v>
      </c>
      <c r="AC829">
        <v>633.66999999999996</v>
      </c>
      <c r="AD829">
        <v>520.47</v>
      </c>
      <c r="AE829">
        <v>113.2</v>
      </c>
      <c r="AF829" t="s">
        <v>30</v>
      </c>
      <c r="AG829" t="str">
        <f t="shared" si="156"/>
        <v>Paid</v>
      </c>
      <c r="AH829" t="s">
        <v>66</v>
      </c>
    </row>
    <row r="830" spans="1:34">
      <c r="A830" t="s">
        <v>2591</v>
      </c>
      <c r="B830">
        <f>COUNTIF($A:$A,A830)</f>
        <v>1</v>
      </c>
      <c r="C830" t="str">
        <f t="shared" si="147"/>
        <v>Unique</v>
      </c>
      <c r="D830" s="4">
        <v>45940</v>
      </c>
      <c r="E830">
        <f t="shared" si="148"/>
        <v>31</v>
      </c>
      <c r="F830" s="4">
        <v>45971</v>
      </c>
      <c r="G830" t="s">
        <v>2592</v>
      </c>
      <c r="H830" t="s">
        <v>21</v>
      </c>
      <c r="I830" t="str">
        <f t="shared" si="149"/>
        <v>Karan Malhotra</v>
      </c>
      <c r="J830" t="s">
        <v>88</v>
      </c>
      <c r="K830" t="str">
        <f t="shared" si="150"/>
        <v>Corporate</v>
      </c>
      <c r="L830" t="s">
        <v>36</v>
      </c>
      <c r="M830" t="str">
        <f t="shared" si="158"/>
        <v>East</v>
      </c>
      <c r="N830" t="s">
        <v>37</v>
      </c>
      <c r="O830" t="str">
        <f t="shared" si="151"/>
        <v>Odisha</v>
      </c>
      <c r="P830" t="s">
        <v>38</v>
      </c>
      <c r="Q830" t="str">
        <f t="shared" si="152"/>
        <v>Bhubaneswar</v>
      </c>
      <c r="R830" t="s">
        <v>39</v>
      </c>
      <c r="S830" t="str">
        <f t="shared" si="153"/>
        <v>Furniture</v>
      </c>
      <c r="T830" t="s">
        <v>64</v>
      </c>
      <c r="U830" t="str">
        <f t="shared" si="154"/>
        <v>Chairs</v>
      </c>
      <c r="V830" t="s">
        <v>2593</v>
      </c>
      <c r="X830" t="s">
        <v>29</v>
      </c>
      <c r="Y830" t="str">
        <f t="shared" si="155"/>
        <v>Second Class</v>
      </c>
      <c r="Z830">
        <v>7</v>
      </c>
      <c r="AA830">
        <v>3791.96</v>
      </c>
      <c r="AB830">
        <v>0.05</v>
      </c>
      <c r="AC830">
        <v>25216.53</v>
      </c>
      <c r="AD830">
        <v>14216.94</v>
      </c>
      <c r="AE830">
        <v>10999.59</v>
      </c>
      <c r="AF830" t="s">
        <v>153</v>
      </c>
      <c r="AG830" t="str">
        <f t="shared" si="156"/>
        <v>Failed</v>
      </c>
      <c r="AH830" t="s">
        <v>66</v>
      </c>
    </row>
    <row r="831" spans="1:34">
      <c r="A831" t="s">
        <v>2594</v>
      </c>
      <c r="B831">
        <f>COUNTIF($A:$A,A831)</f>
        <v>1</v>
      </c>
      <c r="C831" t="str">
        <f t="shared" si="147"/>
        <v>Unique</v>
      </c>
      <c r="D831" s="4">
        <v>45348</v>
      </c>
      <c r="E831">
        <f t="shared" si="148"/>
        <v>2</v>
      </c>
      <c r="F831" s="4">
        <v>45350</v>
      </c>
      <c r="G831" t="s">
        <v>2595</v>
      </c>
      <c r="H831" t="s">
        <v>87</v>
      </c>
      <c r="I831" t="str">
        <f t="shared" si="149"/>
        <v>Aditi Sen</v>
      </c>
      <c r="J831" t="s">
        <v>35</v>
      </c>
      <c r="K831" t="str">
        <f t="shared" si="150"/>
        <v>Small Business</v>
      </c>
      <c r="L831" t="s">
        <v>61</v>
      </c>
      <c r="M831" t="str">
        <f t="shared" si="158"/>
        <v>West</v>
      </c>
      <c r="N831" t="s">
        <v>188</v>
      </c>
      <c r="O831" t="str">
        <f t="shared" si="151"/>
        <v>Goa</v>
      </c>
      <c r="P831" t="s">
        <v>189</v>
      </c>
      <c r="Q831" t="str">
        <f t="shared" si="152"/>
        <v>Panaji</v>
      </c>
      <c r="R831" t="s">
        <v>39</v>
      </c>
      <c r="S831" t="str">
        <f t="shared" si="153"/>
        <v>Furniture</v>
      </c>
      <c r="T831" t="s">
        <v>55</v>
      </c>
      <c r="U831" t="str">
        <f t="shared" si="154"/>
        <v>Furnishings</v>
      </c>
      <c r="V831" t="s">
        <v>2596</v>
      </c>
      <c r="X831" t="s">
        <v>29</v>
      </c>
      <c r="Y831" t="str">
        <f t="shared" si="155"/>
        <v>Second Class</v>
      </c>
      <c r="Z831">
        <v>7</v>
      </c>
      <c r="AA831">
        <v>1035.1400000000001</v>
      </c>
      <c r="AB831">
        <v>0.1</v>
      </c>
      <c r="AC831">
        <v>6521.38</v>
      </c>
      <c r="AD831">
        <v>4511.1000000000004</v>
      </c>
      <c r="AE831">
        <v>2010.28</v>
      </c>
      <c r="AF831" t="s">
        <v>30</v>
      </c>
      <c r="AG831" t="str">
        <f t="shared" si="156"/>
        <v>Paid</v>
      </c>
      <c r="AH831" t="s">
        <v>31</v>
      </c>
    </row>
    <row r="832" spans="1:34">
      <c r="A832" t="s">
        <v>2597</v>
      </c>
      <c r="B832">
        <f>COUNTIF($A:$A,A832)</f>
        <v>1</v>
      </c>
      <c r="C832" t="str">
        <f t="shared" si="147"/>
        <v>Unique</v>
      </c>
      <c r="D832" s="4">
        <v>45853</v>
      </c>
      <c r="E832">
        <f t="shared" si="148"/>
        <v>3</v>
      </c>
      <c r="F832" s="4">
        <v>45856</v>
      </c>
      <c r="G832" t="s">
        <v>2598</v>
      </c>
      <c r="H832" t="s">
        <v>87</v>
      </c>
      <c r="I832" t="str">
        <f t="shared" si="149"/>
        <v>Aditi Sen</v>
      </c>
      <c r="J832" t="s">
        <v>35</v>
      </c>
      <c r="K832" t="str">
        <f t="shared" si="150"/>
        <v>Small Business</v>
      </c>
      <c r="M832" t="s">
        <v>2828</v>
      </c>
      <c r="N832" t="s">
        <v>246</v>
      </c>
      <c r="O832" t="str">
        <f t="shared" si="151"/>
        <v>Tamil Nadu</v>
      </c>
      <c r="P832" t="s">
        <v>247</v>
      </c>
      <c r="Q832" t="str">
        <f t="shared" si="152"/>
        <v>Chennai</v>
      </c>
      <c r="R832" t="s">
        <v>72</v>
      </c>
      <c r="S832" t="str">
        <f t="shared" si="153"/>
        <v>Technology</v>
      </c>
      <c r="T832" t="s">
        <v>273</v>
      </c>
      <c r="U832" t="str">
        <f t="shared" si="154"/>
        <v>Machines</v>
      </c>
      <c r="V832" t="s">
        <v>2599</v>
      </c>
      <c r="X832" t="s">
        <v>48</v>
      </c>
      <c r="Y832" t="str">
        <f t="shared" si="155"/>
        <v>First Class</v>
      </c>
      <c r="Z832">
        <v>6</v>
      </c>
      <c r="AA832">
        <v>2382.88</v>
      </c>
      <c r="AB832">
        <v>0.1</v>
      </c>
      <c r="AC832">
        <v>12867.55</v>
      </c>
      <c r="AD832">
        <v>10068.94</v>
      </c>
      <c r="AE832">
        <v>2798.61</v>
      </c>
      <c r="AF832" t="s">
        <v>30</v>
      </c>
      <c r="AG832" t="str">
        <f t="shared" si="156"/>
        <v>Paid</v>
      </c>
      <c r="AH832" t="s">
        <v>31</v>
      </c>
    </row>
    <row r="833" spans="1:34">
      <c r="A833" t="s">
        <v>2600</v>
      </c>
      <c r="B833">
        <f>COUNTIF($A:$A,A833)</f>
        <v>1</v>
      </c>
      <c r="C833" t="str">
        <f t="shared" si="147"/>
        <v>Unique</v>
      </c>
      <c r="D833" s="4">
        <v>45750</v>
      </c>
      <c r="E833">
        <f t="shared" si="148"/>
        <v>-30</v>
      </c>
      <c r="F833" s="4">
        <v>45720</v>
      </c>
      <c r="G833" t="s">
        <v>2601</v>
      </c>
      <c r="H833" t="s">
        <v>160</v>
      </c>
      <c r="I833" t="str">
        <f t="shared" si="149"/>
        <v>Diya Patel</v>
      </c>
      <c r="J833" t="s">
        <v>93</v>
      </c>
      <c r="K833" t="str">
        <f t="shared" si="150"/>
        <v>Home Office</v>
      </c>
      <c r="M833" t="s">
        <v>2828</v>
      </c>
      <c r="N833" t="s">
        <v>235</v>
      </c>
      <c r="O833" t="str">
        <f t="shared" si="151"/>
        <v>Haryana</v>
      </c>
      <c r="P833" t="s">
        <v>236</v>
      </c>
      <c r="Q833" t="str">
        <f t="shared" si="152"/>
        <v>Gurugram</v>
      </c>
      <c r="R833" t="s">
        <v>39</v>
      </c>
      <c r="S833" t="str">
        <f t="shared" si="153"/>
        <v>Furniture</v>
      </c>
      <c r="T833" t="s">
        <v>64</v>
      </c>
      <c r="U833" t="str">
        <f t="shared" si="154"/>
        <v>Chairs</v>
      </c>
      <c r="V833" t="s">
        <v>2602</v>
      </c>
      <c r="X833" t="s">
        <v>48</v>
      </c>
      <c r="Y833" t="str">
        <f t="shared" si="155"/>
        <v>First Class</v>
      </c>
      <c r="Z833">
        <v>9</v>
      </c>
      <c r="AA833">
        <v>3462.7</v>
      </c>
      <c r="AB833">
        <v>0.15</v>
      </c>
      <c r="AC833">
        <v>26489.65</v>
      </c>
      <c r="AD833">
        <v>15818.46</v>
      </c>
      <c r="AE833">
        <v>10671.19</v>
      </c>
      <c r="AF833" t="s">
        <v>153</v>
      </c>
      <c r="AG833" t="str">
        <f t="shared" si="156"/>
        <v>Failed</v>
      </c>
      <c r="AH833" t="s">
        <v>101</v>
      </c>
    </row>
    <row r="834" spans="1:34">
      <c r="A834" t="s">
        <v>2603</v>
      </c>
      <c r="B834">
        <f>COUNTIF($A:$A,A834)</f>
        <v>1</v>
      </c>
      <c r="C834" t="str">
        <f t="shared" ref="C834:C897" si="159">IF(B834&gt;1,"Review Duplicate ID","Unique")</f>
        <v>Unique</v>
      </c>
      <c r="D834" s="4">
        <v>45803</v>
      </c>
      <c r="E834">
        <f t="shared" ref="E834:E897" si="160">F834-D834</f>
        <v>2</v>
      </c>
      <c r="F834" s="4">
        <v>45805</v>
      </c>
      <c r="G834" t="s">
        <v>2604</v>
      </c>
      <c r="H834" t="s">
        <v>263</v>
      </c>
      <c r="I834" t="str">
        <f t="shared" ref="I834:I897" si="161">PROPER(TRIM(H834))</f>
        <v>Kabir Singh</v>
      </c>
      <c r="J834" t="s">
        <v>35</v>
      </c>
      <c r="K834" t="str">
        <f t="shared" ref="K834:K897" si="162">PROPER(TRIM(J834))</f>
        <v>Small Business</v>
      </c>
      <c r="L834" t="s">
        <v>52</v>
      </c>
      <c r="M834" t="str">
        <f t="shared" ref="M834:M870" si="163">PROPER(TRIM(L834))</f>
        <v>South</v>
      </c>
      <c r="N834" t="s">
        <v>82</v>
      </c>
      <c r="O834" t="str">
        <f t="shared" ref="O834:O897" si="164">PROPER(TRIM(N834))</f>
        <v>Andhra Pradesh</v>
      </c>
      <c r="P834" t="s">
        <v>83</v>
      </c>
      <c r="Q834" t="str">
        <f t="shared" ref="Q834:Q897" si="165">PROPER(TRIM(P834))</f>
        <v>Vijayawada</v>
      </c>
      <c r="R834" t="s">
        <v>72</v>
      </c>
      <c r="S834" t="str">
        <f t="shared" ref="S834:S897" si="166">PROPER(TRIM(R834))</f>
        <v>Technology</v>
      </c>
      <c r="T834" t="s">
        <v>169</v>
      </c>
      <c r="U834" t="str">
        <f t="shared" ref="U834:U897" si="167">PROPER(TRIM(T834))</f>
        <v>Phones</v>
      </c>
      <c r="V834" t="s">
        <v>2605</v>
      </c>
      <c r="X834" t="s">
        <v>29</v>
      </c>
      <c r="Y834" t="str">
        <f t="shared" si="155"/>
        <v>Second Class</v>
      </c>
      <c r="Z834">
        <v>9</v>
      </c>
      <c r="AA834">
        <v>4302.0200000000004</v>
      </c>
      <c r="AB834">
        <v>0.05</v>
      </c>
      <c r="AC834">
        <v>36782.269999999997</v>
      </c>
      <c r="AD834">
        <v>25902.81</v>
      </c>
      <c r="AE834">
        <v>10879.46</v>
      </c>
      <c r="AF834" t="s">
        <v>30</v>
      </c>
      <c r="AG834" t="str">
        <f t="shared" si="156"/>
        <v>Paid</v>
      </c>
      <c r="AH834" t="s">
        <v>31</v>
      </c>
    </row>
    <row r="835" spans="1:34">
      <c r="A835" t="s">
        <v>2606</v>
      </c>
      <c r="B835">
        <f>COUNTIF($A:$A,A835)</f>
        <v>1</v>
      </c>
      <c r="C835" t="str">
        <f t="shared" si="159"/>
        <v>Unique</v>
      </c>
      <c r="D835" s="4">
        <v>45388</v>
      </c>
      <c r="E835">
        <f t="shared" si="160"/>
        <v>59</v>
      </c>
      <c r="F835" s="4">
        <v>45447</v>
      </c>
      <c r="G835" t="s">
        <v>2607</v>
      </c>
      <c r="H835" t="s">
        <v>116</v>
      </c>
      <c r="I835" t="str">
        <f t="shared" si="161"/>
        <v>Rahul Verma</v>
      </c>
      <c r="J835" t="s">
        <v>93</v>
      </c>
      <c r="K835" t="str">
        <f t="shared" si="162"/>
        <v>Home Office</v>
      </c>
      <c r="L835" t="s">
        <v>36</v>
      </c>
      <c r="M835" t="str">
        <f t="shared" si="163"/>
        <v>East</v>
      </c>
      <c r="N835" t="s">
        <v>97</v>
      </c>
      <c r="O835" t="str">
        <f t="shared" si="164"/>
        <v>West Bengal</v>
      </c>
      <c r="P835" t="s">
        <v>98</v>
      </c>
      <c r="Q835" t="str">
        <f t="shared" si="165"/>
        <v>Kolkata</v>
      </c>
      <c r="R835" t="s">
        <v>39</v>
      </c>
      <c r="S835" t="str">
        <f t="shared" si="166"/>
        <v>Furniture</v>
      </c>
      <c r="T835" t="s">
        <v>156</v>
      </c>
      <c r="U835" t="str">
        <f t="shared" si="167"/>
        <v>Bookcases</v>
      </c>
      <c r="V835" t="s">
        <v>2608</v>
      </c>
      <c r="X835" t="s">
        <v>48</v>
      </c>
      <c r="Y835" t="str">
        <f t="shared" ref="Y835:Y898" si="168">PROPER(TRIM(X835))</f>
        <v>First Class</v>
      </c>
      <c r="Z835">
        <v>6</v>
      </c>
      <c r="AA835">
        <v>3949.4</v>
      </c>
      <c r="AB835">
        <v>0</v>
      </c>
      <c r="AC835">
        <v>23696.400000000001</v>
      </c>
      <c r="AD835">
        <v>18109.77</v>
      </c>
      <c r="AE835">
        <v>5586.63</v>
      </c>
      <c r="AF835" t="s">
        <v>30</v>
      </c>
      <c r="AG835" t="str">
        <f t="shared" ref="AG835:AG898" si="169">PROPER(TRIM(AF835))</f>
        <v>Paid</v>
      </c>
      <c r="AH835" t="s">
        <v>31</v>
      </c>
    </row>
    <row r="836" spans="1:34">
      <c r="A836" t="s">
        <v>2609</v>
      </c>
      <c r="B836">
        <f>COUNTIF($A:$A,A836)</f>
        <v>1</v>
      </c>
      <c r="C836" t="str">
        <f t="shared" si="159"/>
        <v>Unique</v>
      </c>
      <c r="D836" s="4">
        <v>45583</v>
      </c>
      <c r="E836">
        <f t="shared" si="160"/>
        <v>4</v>
      </c>
      <c r="F836" s="4">
        <v>45587</v>
      </c>
      <c r="G836" t="s">
        <v>2610</v>
      </c>
      <c r="H836" t="s">
        <v>126</v>
      </c>
      <c r="I836" t="str">
        <f t="shared" si="161"/>
        <v>Aarav Sharma</v>
      </c>
      <c r="J836" t="s">
        <v>93</v>
      </c>
      <c r="K836" t="str">
        <f t="shared" si="162"/>
        <v>Home Office</v>
      </c>
      <c r="L836" t="s">
        <v>52</v>
      </c>
      <c r="M836" t="str">
        <f t="shared" si="163"/>
        <v>South</v>
      </c>
      <c r="N836" t="s">
        <v>53</v>
      </c>
      <c r="O836" t="str">
        <f t="shared" si="164"/>
        <v>Telangana</v>
      </c>
      <c r="P836" t="s">
        <v>54</v>
      </c>
      <c r="Q836" t="str">
        <f t="shared" si="165"/>
        <v>Hyderabad</v>
      </c>
      <c r="R836" t="s">
        <v>26</v>
      </c>
      <c r="S836" t="str">
        <f t="shared" si="166"/>
        <v>Office Supplies</v>
      </c>
      <c r="T836" t="s">
        <v>46</v>
      </c>
      <c r="U836" t="str">
        <f t="shared" si="167"/>
        <v>Art</v>
      </c>
      <c r="V836" t="s">
        <v>2611</v>
      </c>
      <c r="X836" t="s">
        <v>48</v>
      </c>
      <c r="Y836" t="str">
        <f t="shared" si="168"/>
        <v>First Class</v>
      </c>
      <c r="Z836">
        <v>6</v>
      </c>
      <c r="AA836">
        <v>674.61</v>
      </c>
      <c r="AB836">
        <v>0</v>
      </c>
      <c r="AC836">
        <v>4047.66</v>
      </c>
      <c r="AD836">
        <v>3078.93</v>
      </c>
      <c r="AE836">
        <v>1279.79</v>
      </c>
      <c r="AF836" t="s">
        <v>30</v>
      </c>
      <c r="AG836" t="str">
        <f t="shared" si="169"/>
        <v>Paid</v>
      </c>
      <c r="AH836" t="s">
        <v>31</v>
      </c>
    </row>
    <row r="837" spans="1:34">
      <c r="A837" t="s">
        <v>2612</v>
      </c>
      <c r="B837">
        <f>COUNTIF($A:$A,A837)</f>
        <v>1</v>
      </c>
      <c r="C837" t="str">
        <f t="shared" si="159"/>
        <v>Unique</v>
      </c>
      <c r="D837" s="4">
        <v>45926</v>
      </c>
      <c r="E837">
        <f t="shared" si="160"/>
        <v>-169</v>
      </c>
      <c r="F837" s="4">
        <v>45757</v>
      </c>
      <c r="G837" t="s">
        <v>2613</v>
      </c>
      <c r="H837" t="s">
        <v>112</v>
      </c>
      <c r="I837" t="str">
        <f t="shared" si="161"/>
        <v>Priya Menon</v>
      </c>
      <c r="J837" t="s">
        <v>35</v>
      </c>
      <c r="K837" t="str">
        <f t="shared" si="162"/>
        <v>Small Business</v>
      </c>
      <c r="L837" t="s">
        <v>36</v>
      </c>
      <c r="M837" t="str">
        <f t="shared" si="163"/>
        <v>East</v>
      </c>
      <c r="N837" t="s">
        <v>164</v>
      </c>
      <c r="O837" t="str">
        <f t="shared" si="164"/>
        <v>Assam</v>
      </c>
      <c r="P837" t="s">
        <v>165</v>
      </c>
      <c r="Q837" t="str">
        <f t="shared" si="165"/>
        <v>Guwahati</v>
      </c>
      <c r="R837" t="s">
        <v>72</v>
      </c>
      <c r="S837" t="str">
        <f t="shared" si="166"/>
        <v>Technology</v>
      </c>
      <c r="T837" t="s">
        <v>169</v>
      </c>
      <c r="U837" t="str">
        <f t="shared" si="167"/>
        <v>Phones</v>
      </c>
      <c r="V837" t="s">
        <v>2614</v>
      </c>
      <c r="X837" t="s">
        <v>29</v>
      </c>
      <c r="Y837" t="str">
        <f t="shared" si="168"/>
        <v>Second Class</v>
      </c>
      <c r="Z837">
        <v>7</v>
      </c>
      <c r="AA837">
        <v>1509.59</v>
      </c>
      <c r="AB837">
        <v>0.05</v>
      </c>
      <c r="AC837">
        <v>10038.77</v>
      </c>
      <c r="AD837">
        <v>5673.1</v>
      </c>
      <c r="AE837">
        <v>4365.67</v>
      </c>
      <c r="AF837" t="s">
        <v>30</v>
      </c>
      <c r="AG837" t="str">
        <f t="shared" si="169"/>
        <v>Paid</v>
      </c>
      <c r="AH837" t="s">
        <v>31</v>
      </c>
    </row>
    <row r="838" spans="1:34">
      <c r="A838" t="s">
        <v>2615</v>
      </c>
      <c r="B838">
        <f>COUNTIF($A:$A,A838)</f>
        <v>1</v>
      </c>
      <c r="C838" t="str">
        <f t="shared" si="159"/>
        <v>Unique</v>
      </c>
      <c r="D838" s="4">
        <v>45641</v>
      </c>
      <c r="E838">
        <f t="shared" si="160"/>
        <v>3</v>
      </c>
      <c r="F838" s="4">
        <v>45644</v>
      </c>
      <c r="G838" t="s">
        <v>2616</v>
      </c>
      <c r="H838" t="s">
        <v>45</v>
      </c>
      <c r="I838" t="str">
        <f t="shared" si="161"/>
        <v>Isha Nair</v>
      </c>
      <c r="J838" t="s">
        <v>35</v>
      </c>
      <c r="K838" t="str">
        <f t="shared" si="162"/>
        <v>Small Business</v>
      </c>
      <c r="L838" t="s">
        <v>23</v>
      </c>
      <c r="M838" t="str">
        <f t="shared" si="163"/>
        <v>North</v>
      </c>
      <c r="N838" t="s">
        <v>24</v>
      </c>
      <c r="O838" t="str">
        <f t="shared" si="164"/>
        <v>Rajasthan</v>
      </c>
      <c r="P838" t="s">
        <v>25</v>
      </c>
      <c r="Q838" t="str">
        <f t="shared" si="165"/>
        <v>Jaipur</v>
      </c>
      <c r="R838" t="s">
        <v>26</v>
      </c>
      <c r="S838" t="str">
        <f t="shared" si="166"/>
        <v>Office Supplies</v>
      </c>
      <c r="T838" t="s">
        <v>89</v>
      </c>
      <c r="U838" t="str">
        <f t="shared" si="167"/>
        <v>Labels</v>
      </c>
      <c r="V838" t="s">
        <v>2617</v>
      </c>
      <c r="X838" t="s">
        <v>29</v>
      </c>
      <c r="Y838" t="str">
        <f t="shared" si="168"/>
        <v>Second Class</v>
      </c>
      <c r="Z838">
        <v>2</v>
      </c>
      <c r="AA838">
        <v>537.11</v>
      </c>
      <c r="AB838">
        <v>0</v>
      </c>
      <c r="AC838">
        <v>1074.22</v>
      </c>
      <c r="AD838">
        <v>850.86</v>
      </c>
      <c r="AE838">
        <v>223.36</v>
      </c>
      <c r="AF838" t="s">
        <v>30</v>
      </c>
      <c r="AG838" t="str">
        <f t="shared" si="169"/>
        <v>Paid</v>
      </c>
      <c r="AH838" t="s">
        <v>31</v>
      </c>
    </row>
    <row r="839" spans="1:34">
      <c r="A839" t="s">
        <v>2618</v>
      </c>
      <c r="B839">
        <f>COUNTIF($A:$A,A839)</f>
        <v>1</v>
      </c>
      <c r="C839" t="str">
        <f t="shared" si="159"/>
        <v>Unique</v>
      </c>
      <c r="D839" s="4">
        <v>45927</v>
      </c>
      <c r="E839">
        <f t="shared" si="160"/>
        <v>1</v>
      </c>
      <c r="F839" s="4">
        <v>45928</v>
      </c>
      <c r="G839" t="s">
        <v>2619</v>
      </c>
      <c r="H839" t="s">
        <v>21</v>
      </c>
      <c r="I839" t="str">
        <f t="shared" si="161"/>
        <v>Karan Malhotra</v>
      </c>
      <c r="J839" t="s">
        <v>93</v>
      </c>
      <c r="K839" t="str">
        <f t="shared" si="162"/>
        <v>Home Office</v>
      </c>
      <c r="L839" t="s">
        <v>61</v>
      </c>
      <c r="M839" t="str">
        <f t="shared" si="163"/>
        <v>West</v>
      </c>
      <c r="N839" t="s">
        <v>62</v>
      </c>
      <c r="O839" t="str">
        <f t="shared" si="164"/>
        <v>Maharashtra</v>
      </c>
      <c r="P839" t="s">
        <v>63</v>
      </c>
      <c r="Q839" t="str">
        <f t="shared" si="165"/>
        <v>Mumbai</v>
      </c>
      <c r="R839" t="s">
        <v>26</v>
      </c>
      <c r="S839" t="str">
        <f t="shared" si="166"/>
        <v>Office Supplies</v>
      </c>
      <c r="T839" t="s">
        <v>27</v>
      </c>
      <c r="U839" t="str">
        <f t="shared" si="167"/>
        <v>Paper</v>
      </c>
      <c r="V839" t="s">
        <v>2620</v>
      </c>
      <c r="X839" t="s">
        <v>48</v>
      </c>
      <c r="Y839" t="str">
        <f t="shared" si="168"/>
        <v>First Class</v>
      </c>
      <c r="Z839">
        <v>3</v>
      </c>
      <c r="AA839">
        <v>4177.63</v>
      </c>
      <c r="AB839">
        <v>0.25</v>
      </c>
      <c r="AC839">
        <v>9399.67</v>
      </c>
      <c r="AD839">
        <v>6540.37</v>
      </c>
      <c r="AE839">
        <v>2859.3</v>
      </c>
      <c r="AF839" t="s">
        <v>30</v>
      </c>
      <c r="AG839" t="str">
        <f t="shared" si="169"/>
        <v>Paid</v>
      </c>
      <c r="AH839" t="s">
        <v>31</v>
      </c>
    </row>
    <row r="840" spans="1:34">
      <c r="A840" t="s">
        <v>2621</v>
      </c>
      <c r="B840">
        <f>COUNTIF($A:$A,A840)</f>
        <v>1</v>
      </c>
      <c r="C840" t="str">
        <f t="shared" si="159"/>
        <v>Unique</v>
      </c>
      <c r="D840" s="4">
        <v>45750</v>
      </c>
      <c r="E840">
        <f t="shared" si="160"/>
        <v>92</v>
      </c>
      <c r="F840" s="4">
        <v>45842</v>
      </c>
      <c r="G840" t="s">
        <v>2622</v>
      </c>
      <c r="H840" t="s">
        <v>60</v>
      </c>
      <c r="I840" t="str">
        <f t="shared" si="161"/>
        <v>Ananya Rao</v>
      </c>
      <c r="J840" t="s">
        <v>35</v>
      </c>
      <c r="K840" t="str">
        <f t="shared" si="162"/>
        <v>Small Business</v>
      </c>
      <c r="L840" t="s">
        <v>61</v>
      </c>
      <c r="M840" t="str">
        <f t="shared" si="163"/>
        <v>West</v>
      </c>
      <c r="N840" t="s">
        <v>188</v>
      </c>
      <c r="O840" t="str">
        <f t="shared" si="164"/>
        <v>Goa</v>
      </c>
      <c r="P840" t="s">
        <v>189</v>
      </c>
      <c r="Q840" t="str">
        <f t="shared" si="165"/>
        <v>Panaji</v>
      </c>
      <c r="R840" t="s">
        <v>26</v>
      </c>
      <c r="S840" t="str">
        <f t="shared" si="166"/>
        <v>Office Supplies</v>
      </c>
      <c r="T840" t="s">
        <v>27</v>
      </c>
      <c r="U840" t="str">
        <f t="shared" si="167"/>
        <v>Paper</v>
      </c>
      <c r="V840" t="s">
        <v>2623</v>
      </c>
      <c r="X840" t="s">
        <v>42</v>
      </c>
      <c r="Y840" t="str">
        <f t="shared" si="168"/>
        <v>Same Day</v>
      </c>
      <c r="Z840">
        <v>1</v>
      </c>
      <c r="AA840">
        <v>1470.57</v>
      </c>
      <c r="AB840">
        <v>0</v>
      </c>
      <c r="AC840">
        <v>1470.57</v>
      </c>
      <c r="AD840">
        <v>834.02</v>
      </c>
      <c r="AE840">
        <v>636.54999999999995</v>
      </c>
      <c r="AF840" t="s">
        <v>30</v>
      </c>
      <c r="AG840" t="str">
        <f t="shared" si="169"/>
        <v>Paid</v>
      </c>
      <c r="AH840" t="s">
        <v>101</v>
      </c>
    </row>
    <row r="841" spans="1:34">
      <c r="A841" t="s">
        <v>2624</v>
      </c>
      <c r="B841">
        <f>COUNTIF($A:$A,A841)</f>
        <v>1</v>
      </c>
      <c r="C841" t="str">
        <f t="shared" si="159"/>
        <v>Unique</v>
      </c>
      <c r="D841" s="4">
        <v>45555</v>
      </c>
      <c r="E841">
        <f t="shared" si="160"/>
        <v>2</v>
      </c>
      <c r="F841" s="4">
        <v>45557</v>
      </c>
      <c r="G841" t="s">
        <v>2625</v>
      </c>
      <c r="H841" t="s">
        <v>139</v>
      </c>
      <c r="I841" t="str">
        <f t="shared" si="161"/>
        <v>Rohan Mehta</v>
      </c>
      <c r="J841" t="s">
        <v>93</v>
      </c>
      <c r="K841" t="str">
        <f t="shared" si="162"/>
        <v>Home Office</v>
      </c>
      <c r="L841" t="s">
        <v>36</v>
      </c>
      <c r="M841" t="str">
        <f t="shared" si="163"/>
        <v>East</v>
      </c>
      <c r="N841" t="s">
        <v>37</v>
      </c>
      <c r="O841" t="str">
        <f t="shared" si="164"/>
        <v>Odisha</v>
      </c>
      <c r="P841" t="s">
        <v>38</v>
      </c>
      <c r="Q841" t="str">
        <f t="shared" si="165"/>
        <v>Bhubaneswar</v>
      </c>
      <c r="R841" t="s">
        <v>72</v>
      </c>
      <c r="S841" t="str">
        <f t="shared" si="166"/>
        <v>Technology</v>
      </c>
      <c r="T841" t="s">
        <v>169</v>
      </c>
      <c r="U841" t="str">
        <f t="shared" si="167"/>
        <v>Phones</v>
      </c>
      <c r="V841" t="s">
        <v>2626</v>
      </c>
      <c r="X841" t="s">
        <v>57</v>
      </c>
      <c r="Y841" t="str">
        <f t="shared" si="168"/>
        <v>Standard Class</v>
      </c>
      <c r="Z841">
        <v>8</v>
      </c>
      <c r="AA841">
        <v>531.42999999999995</v>
      </c>
      <c r="AB841">
        <v>0.1</v>
      </c>
      <c r="AC841">
        <v>3826.3</v>
      </c>
      <c r="AD841">
        <v>2194.12</v>
      </c>
      <c r="AE841">
        <v>1632.18</v>
      </c>
      <c r="AF841" t="s">
        <v>30</v>
      </c>
      <c r="AG841" t="str">
        <f t="shared" si="169"/>
        <v>Paid</v>
      </c>
      <c r="AH841" t="s">
        <v>31</v>
      </c>
    </row>
    <row r="842" spans="1:34">
      <c r="A842" t="s">
        <v>2627</v>
      </c>
      <c r="B842">
        <f>COUNTIF($A:$A,A842)</f>
        <v>1</v>
      </c>
      <c r="C842" t="str">
        <f t="shared" si="159"/>
        <v>Unique</v>
      </c>
      <c r="D842" s="4">
        <v>45919</v>
      </c>
      <c r="E842">
        <f t="shared" si="160"/>
        <v>0</v>
      </c>
      <c r="F842" s="4">
        <v>45919</v>
      </c>
      <c r="G842" t="s">
        <v>2628</v>
      </c>
      <c r="H842" t="s">
        <v>77</v>
      </c>
      <c r="I842" t="str">
        <f t="shared" si="161"/>
        <v>Neha Gupta</v>
      </c>
      <c r="J842" t="s">
        <v>93</v>
      </c>
      <c r="K842" t="str">
        <f t="shared" si="162"/>
        <v>Home Office</v>
      </c>
      <c r="L842" t="s">
        <v>23</v>
      </c>
      <c r="M842" t="str">
        <f t="shared" si="163"/>
        <v>North</v>
      </c>
      <c r="N842" t="s">
        <v>349</v>
      </c>
      <c r="O842" t="str">
        <f t="shared" si="164"/>
        <v>Delhi</v>
      </c>
      <c r="P842" t="s">
        <v>350</v>
      </c>
      <c r="Q842" t="str">
        <f t="shared" si="165"/>
        <v>New Delhi</v>
      </c>
      <c r="R842" t="s">
        <v>39</v>
      </c>
      <c r="S842" t="str">
        <f t="shared" si="166"/>
        <v>Furniture</v>
      </c>
      <c r="T842" t="s">
        <v>64</v>
      </c>
      <c r="U842" t="str">
        <f t="shared" si="167"/>
        <v>Chairs</v>
      </c>
      <c r="V842" t="s">
        <v>2629</v>
      </c>
      <c r="X842" t="s">
        <v>42</v>
      </c>
      <c r="Y842" t="str">
        <f t="shared" si="168"/>
        <v>Same Day</v>
      </c>
      <c r="Z842">
        <v>4</v>
      </c>
      <c r="AA842">
        <v>1584.11</v>
      </c>
      <c r="AB842">
        <v>0</v>
      </c>
      <c r="AC842">
        <v>6336.44</v>
      </c>
      <c r="AD842">
        <v>4680.68</v>
      </c>
      <c r="AE842">
        <v>1655.76</v>
      </c>
      <c r="AF842" t="s">
        <v>30</v>
      </c>
      <c r="AG842" t="str">
        <f t="shared" si="169"/>
        <v>Paid</v>
      </c>
      <c r="AH842" t="s">
        <v>31</v>
      </c>
    </row>
    <row r="843" spans="1:34">
      <c r="A843" t="s">
        <v>2630</v>
      </c>
      <c r="B843">
        <f>COUNTIF($A:$A,A843)</f>
        <v>1</v>
      </c>
      <c r="C843" t="str">
        <f t="shared" si="159"/>
        <v>Unique</v>
      </c>
      <c r="D843" s="4">
        <v>45810</v>
      </c>
      <c r="E843">
        <f t="shared" si="160"/>
        <v>183</v>
      </c>
      <c r="F843" s="4">
        <v>45993</v>
      </c>
      <c r="G843" t="s">
        <v>2631</v>
      </c>
      <c r="H843" t="s">
        <v>60</v>
      </c>
      <c r="I843" t="str">
        <f t="shared" si="161"/>
        <v>Ananya Rao</v>
      </c>
      <c r="J843" t="s">
        <v>35</v>
      </c>
      <c r="K843" t="str">
        <f t="shared" si="162"/>
        <v>Small Business</v>
      </c>
      <c r="L843" t="s">
        <v>36</v>
      </c>
      <c r="M843" t="str">
        <f t="shared" si="163"/>
        <v>East</v>
      </c>
      <c r="N843" t="s">
        <v>143</v>
      </c>
      <c r="O843" t="str">
        <f t="shared" si="164"/>
        <v>Bihar</v>
      </c>
      <c r="P843" t="s">
        <v>144</v>
      </c>
      <c r="Q843" t="str">
        <f t="shared" si="165"/>
        <v>Patna</v>
      </c>
      <c r="R843" t="s">
        <v>26</v>
      </c>
      <c r="S843" t="str">
        <f t="shared" si="166"/>
        <v>Office Supplies</v>
      </c>
      <c r="T843" t="s">
        <v>46</v>
      </c>
      <c r="U843" t="str">
        <f t="shared" si="167"/>
        <v>Art</v>
      </c>
      <c r="V843" t="s">
        <v>2632</v>
      </c>
      <c r="X843" t="s">
        <v>57</v>
      </c>
      <c r="Y843" t="str">
        <f t="shared" si="168"/>
        <v>Standard Class</v>
      </c>
      <c r="Z843">
        <v>9</v>
      </c>
      <c r="AA843">
        <v>3237.16</v>
      </c>
      <c r="AB843">
        <v>0.25</v>
      </c>
      <c r="AC843">
        <v>21850.83</v>
      </c>
      <c r="AD843">
        <v>16600.13</v>
      </c>
      <c r="AE843">
        <v>5250.7</v>
      </c>
      <c r="AF843" t="s">
        <v>30</v>
      </c>
      <c r="AG843" t="str">
        <f t="shared" si="169"/>
        <v>Paid</v>
      </c>
      <c r="AH843" t="s">
        <v>31</v>
      </c>
    </row>
    <row r="844" spans="1:34">
      <c r="A844" t="s">
        <v>2633</v>
      </c>
      <c r="B844">
        <f>COUNTIF($A:$A,A844)</f>
        <v>1</v>
      </c>
      <c r="C844" t="str">
        <f t="shared" si="159"/>
        <v>Unique</v>
      </c>
      <c r="D844" s="4">
        <v>45382</v>
      </c>
      <c r="E844">
        <f t="shared" si="160"/>
        <v>-1</v>
      </c>
      <c r="F844" s="4">
        <v>45381</v>
      </c>
      <c r="G844" t="s">
        <v>2634</v>
      </c>
      <c r="H844" t="s">
        <v>2635</v>
      </c>
      <c r="I844" t="str">
        <f t="shared" si="161"/>
        <v>Kabir Singh</v>
      </c>
      <c r="J844" t="s">
        <v>22</v>
      </c>
      <c r="K844" t="str">
        <f t="shared" si="162"/>
        <v>Consumer</v>
      </c>
      <c r="L844" t="s">
        <v>23</v>
      </c>
      <c r="M844" t="str">
        <f t="shared" si="163"/>
        <v>North</v>
      </c>
      <c r="N844" t="s">
        <v>235</v>
      </c>
      <c r="O844" t="str">
        <f t="shared" si="164"/>
        <v>Haryana</v>
      </c>
      <c r="P844" t="s">
        <v>236</v>
      </c>
      <c r="Q844" t="str">
        <f t="shared" si="165"/>
        <v>Gurugram</v>
      </c>
      <c r="R844" t="s">
        <v>72</v>
      </c>
      <c r="S844" t="str">
        <f t="shared" si="166"/>
        <v>Technology</v>
      </c>
      <c r="T844" t="s">
        <v>273</v>
      </c>
      <c r="U844" t="str">
        <f t="shared" si="167"/>
        <v>Machines</v>
      </c>
      <c r="V844" t="s">
        <v>2636</v>
      </c>
      <c r="X844" t="s">
        <v>48</v>
      </c>
      <c r="Y844" t="str">
        <f t="shared" si="168"/>
        <v>First Class</v>
      </c>
      <c r="Z844">
        <v>4</v>
      </c>
      <c r="AA844">
        <v>2192.08</v>
      </c>
      <c r="AB844">
        <v>0.15</v>
      </c>
      <c r="AC844">
        <v>7453.07</v>
      </c>
      <c r="AD844">
        <v>5133.78</v>
      </c>
      <c r="AE844">
        <v>2319.29</v>
      </c>
      <c r="AF844" t="s">
        <v>30</v>
      </c>
      <c r="AG844" t="str">
        <f t="shared" si="169"/>
        <v>Paid</v>
      </c>
      <c r="AH844" t="s">
        <v>101</v>
      </c>
    </row>
    <row r="845" spans="1:34">
      <c r="A845" t="s">
        <v>2637</v>
      </c>
      <c r="B845">
        <f>COUNTIF($A:$A,A845)</f>
        <v>1</v>
      </c>
      <c r="C845" t="str">
        <f t="shared" si="159"/>
        <v>Unique</v>
      </c>
      <c r="D845" s="4">
        <v>45856</v>
      </c>
      <c r="E845">
        <f t="shared" si="160"/>
        <v>7</v>
      </c>
      <c r="F845" s="4">
        <v>45863</v>
      </c>
      <c r="G845" t="s">
        <v>2638</v>
      </c>
      <c r="H845" t="s">
        <v>112</v>
      </c>
      <c r="I845" t="str">
        <f t="shared" si="161"/>
        <v>Priya Menon</v>
      </c>
      <c r="J845" t="s">
        <v>35</v>
      </c>
      <c r="K845" t="str">
        <f t="shared" si="162"/>
        <v>Small Business</v>
      </c>
      <c r="L845" t="s">
        <v>23</v>
      </c>
      <c r="M845" t="str">
        <f t="shared" si="163"/>
        <v>North</v>
      </c>
      <c r="N845" t="s">
        <v>134</v>
      </c>
      <c r="O845" t="str">
        <f t="shared" si="164"/>
        <v>Uttar Pradesh</v>
      </c>
      <c r="P845" t="s">
        <v>135</v>
      </c>
      <c r="Q845" t="str">
        <f t="shared" si="165"/>
        <v>Noida</v>
      </c>
      <c r="R845" t="s">
        <v>72</v>
      </c>
      <c r="S845" t="str">
        <f t="shared" si="166"/>
        <v>Technology</v>
      </c>
      <c r="T845" t="s">
        <v>169</v>
      </c>
      <c r="U845" t="str">
        <f t="shared" si="167"/>
        <v>Phones</v>
      </c>
      <c r="V845" t="s">
        <v>2639</v>
      </c>
      <c r="X845" t="s">
        <v>48</v>
      </c>
      <c r="Y845" t="str">
        <f t="shared" si="168"/>
        <v>First Class</v>
      </c>
      <c r="Z845">
        <v>9</v>
      </c>
      <c r="AA845">
        <v>3989.52</v>
      </c>
      <c r="AB845">
        <v>-0.02</v>
      </c>
      <c r="AC845">
        <v>35905.68</v>
      </c>
      <c r="AD845">
        <v>23916.1</v>
      </c>
      <c r="AE845">
        <v>11989.58</v>
      </c>
      <c r="AF845" t="s">
        <v>30</v>
      </c>
      <c r="AG845" t="str">
        <f t="shared" si="169"/>
        <v>Paid</v>
      </c>
      <c r="AH845" t="s">
        <v>31</v>
      </c>
    </row>
    <row r="846" spans="1:34">
      <c r="A846" t="s">
        <v>2640</v>
      </c>
      <c r="B846">
        <f>COUNTIF($A:$A,A846)</f>
        <v>1</v>
      </c>
      <c r="C846" t="str">
        <f t="shared" si="159"/>
        <v>Unique</v>
      </c>
      <c r="D846" s="4">
        <v>45677</v>
      </c>
      <c r="E846">
        <f t="shared" si="160"/>
        <v>5</v>
      </c>
      <c r="F846" s="4">
        <v>45682</v>
      </c>
      <c r="G846" t="s">
        <v>2641</v>
      </c>
      <c r="H846" t="s">
        <v>87</v>
      </c>
      <c r="I846" t="str">
        <f t="shared" si="161"/>
        <v>Aditi Sen</v>
      </c>
      <c r="J846" t="s">
        <v>93</v>
      </c>
      <c r="K846" t="str">
        <f t="shared" si="162"/>
        <v>Home Office</v>
      </c>
      <c r="L846" t="s">
        <v>61</v>
      </c>
      <c r="M846" t="str">
        <f t="shared" si="163"/>
        <v>West</v>
      </c>
      <c r="N846" t="s">
        <v>188</v>
      </c>
      <c r="O846" t="str">
        <f t="shared" si="164"/>
        <v>Goa</v>
      </c>
      <c r="P846" t="s">
        <v>189</v>
      </c>
      <c r="Q846" t="str">
        <f t="shared" si="165"/>
        <v>Panaji</v>
      </c>
      <c r="R846" t="s">
        <v>26</v>
      </c>
      <c r="S846" t="str">
        <f t="shared" si="166"/>
        <v>Office Supplies</v>
      </c>
      <c r="T846" t="s">
        <v>46</v>
      </c>
      <c r="U846" t="str">
        <f t="shared" si="167"/>
        <v>Art</v>
      </c>
      <c r="V846" t="s">
        <v>2642</v>
      </c>
      <c r="X846" t="s">
        <v>48</v>
      </c>
      <c r="Y846" t="str">
        <f t="shared" si="168"/>
        <v>First Class</v>
      </c>
      <c r="Z846">
        <v>1</v>
      </c>
      <c r="AA846">
        <v>3515.15</v>
      </c>
      <c r="AB846">
        <v>0</v>
      </c>
      <c r="AC846">
        <v>3515.15</v>
      </c>
      <c r="AD846">
        <v>2216.34</v>
      </c>
      <c r="AE846">
        <v>1298.81</v>
      </c>
      <c r="AF846" t="s">
        <v>30</v>
      </c>
      <c r="AG846" t="str">
        <f t="shared" si="169"/>
        <v>Paid</v>
      </c>
      <c r="AH846" t="s">
        <v>31</v>
      </c>
    </row>
    <row r="847" spans="1:34">
      <c r="A847" t="s">
        <v>2643</v>
      </c>
      <c r="B847">
        <f>COUNTIF($A:$A,A847)</f>
        <v>1</v>
      </c>
      <c r="C847" t="str">
        <f t="shared" si="159"/>
        <v>Unique</v>
      </c>
      <c r="D847" s="4">
        <v>45345</v>
      </c>
      <c r="E847">
        <f t="shared" si="160"/>
        <v>4</v>
      </c>
      <c r="F847" s="4">
        <v>45349</v>
      </c>
      <c r="G847" t="s">
        <v>597</v>
      </c>
      <c r="H847" t="s">
        <v>21</v>
      </c>
      <c r="I847" t="str">
        <f t="shared" si="161"/>
        <v>Karan Malhotra</v>
      </c>
      <c r="J847" t="s">
        <v>22</v>
      </c>
      <c r="K847" t="str">
        <f t="shared" si="162"/>
        <v>Consumer</v>
      </c>
      <c r="L847" t="s">
        <v>36</v>
      </c>
      <c r="M847" t="str">
        <f t="shared" si="163"/>
        <v>East</v>
      </c>
      <c r="N847" t="s">
        <v>37</v>
      </c>
      <c r="O847" t="str">
        <f t="shared" si="164"/>
        <v>Odisha</v>
      </c>
      <c r="P847" t="s">
        <v>38</v>
      </c>
      <c r="Q847" t="str">
        <f t="shared" si="165"/>
        <v>Bhubaneswar</v>
      </c>
      <c r="R847" t="s">
        <v>39</v>
      </c>
      <c r="S847" t="str">
        <f t="shared" si="166"/>
        <v>Furniture</v>
      </c>
      <c r="T847" t="s">
        <v>40</v>
      </c>
      <c r="U847" t="str">
        <f t="shared" si="167"/>
        <v>Tables</v>
      </c>
      <c r="V847" t="s">
        <v>2644</v>
      </c>
      <c r="X847" t="s">
        <v>48</v>
      </c>
      <c r="Y847" t="str">
        <f t="shared" si="168"/>
        <v>First Class</v>
      </c>
      <c r="Z847">
        <v>9</v>
      </c>
      <c r="AA847">
        <v>3616.23</v>
      </c>
      <c r="AB847">
        <v>0.25</v>
      </c>
      <c r="AC847">
        <v>24409.55</v>
      </c>
      <c r="AD847">
        <v>17157.580000000002</v>
      </c>
      <c r="AE847">
        <v>7251.97</v>
      </c>
      <c r="AF847" t="s">
        <v>109</v>
      </c>
      <c r="AG847" t="str">
        <f t="shared" si="169"/>
        <v>Pending</v>
      </c>
      <c r="AH847" t="s">
        <v>101</v>
      </c>
    </row>
    <row r="848" spans="1:34">
      <c r="A848" t="s">
        <v>2645</v>
      </c>
      <c r="B848">
        <f>COUNTIF($A:$A,A848)</f>
        <v>1</v>
      </c>
      <c r="C848" t="str">
        <f t="shared" si="159"/>
        <v>Unique</v>
      </c>
      <c r="D848" s="4">
        <v>45396</v>
      </c>
      <c r="E848">
        <f t="shared" si="160"/>
        <v>8</v>
      </c>
      <c r="F848" s="4">
        <v>45404</v>
      </c>
      <c r="G848" t="s">
        <v>2646</v>
      </c>
      <c r="H848" t="s">
        <v>112</v>
      </c>
      <c r="I848" t="str">
        <f t="shared" si="161"/>
        <v>Priya Menon</v>
      </c>
      <c r="J848" t="s">
        <v>35</v>
      </c>
      <c r="K848" t="str">
        <f t="shared" si="162"/>
        <v>Small Business</v>
      </c>
      <c r="L848" t="s">
        <v>61</v>
      </c>
      <c r="M848" t="str">
        <f t="shared" si="163"/>
        <v>West</v>
      </c>
      <c r="N848" t="s">
        <v>178</v>
      </c>
      <c r="O848" t="str">
        <f t="shared" si="164"/>
        <v>Gujarat</v>
      </c>
      <c r="P848" t="s">
        <v>179</v>
      </c>
      <c r="Q848" t="str">
        <f t="shared" si="165"/>
        <v>Ahmedabad</v>
      </c>
      <c r="R848" t="s">
        <v>39</v>
      </c>
      <c r="S848" t="str">
        <f t="shared" si="166"/>
        <v>Furniture</v>
      </c>
      <c r="T848" t="s">
        <v>156</v>
      </c>
      <c r="U848" t="str">
        <f t="shared" si="167"/>
        <v>Bookcases</v>
      </c>
      <c r="V848" t="s">
        <v>2647</v>
      </c>
      <c r="X848" t="s">
        <v>57</v>
      </c>
      <c r="Y848" t="str">
        <f t="shared" si="168"/>
        <v>Standard Class</v>
      </c>
      <c r="Z848">
        <v>2</v>
      </c>
      <c r="AA848">
        <v>3977.52</v>
      </c>
      <c r="AB848">
        <v>0</v>
      </c>
      <c r="AC848">
        <v>7955.04</v>
      </c>
      <c r="AD848">
        <v>5580.68</v>
      </c>
      <c r="AE848">
        <v>2374.36</v>
      </c>
      <c r="AF848" t="s">
        <v>109</v>
      </c>
      <c r="AG848" t="str">
        <f t="shared" si="169"/>
        <v>Pending</v>
      </c>
      <c r="AH848" t="s">
        <v>101</v>
      </c>
    </row>
    <row r="849" spans="1:34">
      <c r="A849" t="s">
        <v>2648</v>
      </c>
      <c r="B849">
        <f>COUNTIF($A:$A,A849)</f>
        <v>1</v>
      </c>
      <c r="C849" t="str">
        <f t="shared" si="159"/>
        <v>Unique</v>
      </c>
      <c r="D849" s="4">
        <v>45797</v>
      </c>
      <c r="E849">
        <f t="shared" si="160"/>
        <v>2</v>
      </c>
      <c r="F849" s="4">
        <v>45799</v>
      </c>
      <c r="G849" t="s">
        <v>2649</v>
      </c>
      <c r="H849" t="s">
        <v>160</v>
      </c>
      <c r="I849" t="str">
        <f t="shared" si="161"/>
        <v>Diya Patel</v>
      </c>
      <c r="J849" t="s">
        <v>93</v>
      </c>
      <c r="K849" t="str">
        <f t="shared" si="162"/>
        <v>Home Office</v>
      </c>
      <c r="L849" t="s">
        <v>36</v>
      </c>
      <c r="M849" t="str">
        <f t="shared" si="163"/>
        <v>East</v>
      </c>
      <c r="N849" t="s">
        <v>37</v>
      </c>
      <c r="O849" t="str">
        <f t="shared" si="164"/>
        <v>Odisha</v>
      </c>
      <c r="P849" t="s">
        <v>38</v>
      </c>
      <c r="Q849" t="str">
        <f t="shared" si="165"/>
        <v>Bhubaneswar</v>
      </c>
      <c r="R849" t="s">
        <v>39</v>
      </c>
      <c r="S849" t="str">
        <f t="shared" si="166"/>
        <v>Furniture</v>
      </c>
      <c r="T849" t="s">
        <v>40</v>
      </c>
      <c r="U849" t="str">
        <f t="shared" si="167"/>
        <v>Tables</v>
      </c>
      <c r="V849" t="s">
        <v>2650</v>
      </c>
      <c r="X849" t="s">
        <v>29</v>
      </c>
      <c r="Y849" t="str">
        <f t="shared" si="168"/>
        <v>Second Class</v>
      </c>
      <c r="Z849">
        <v>2</v>
      </c>
      <c r="AA849">
        <v>210.08</v>
      </c>
      <c r="AB849">
        <v>0.2</v>
      </c>
      <c r="AC849">
        <v>336.13</v>
      </c>
      <c r="AD849">
        <v>242.19</v>
      </c>
      <c r="AE849">
        <v>93.94</v>
      </c>
      <c r="AF849" t="s">
        <v>30</v>
      </c>
      <c r="AG849" t="str">
        <f t="shared" si="169"/>
        <v>Paid</v>
      </c>
      <c r="AH849" t="s">
        <v>31</v>
      </c>
    </row>
    <row r="850" spans="1:34">
      <c r="A850" t="s">
        <v>2651</v>
      </c>
      <c r="B850">
        <f>COUNTIF($A:$A,A850)</f>
        <v>1</v>
      </c>
      <c r="C850" t="str">
        <f t="shared" si="159"/>
        <v>Unique</v>
      </c>
      <c r="D850" s="4">
        <v>45804</v>
      </c>
      <c r="E850">
        <f t="shared" si="160"/>
        <v>2</v>
      </c>
      <c r="F850" s="4">
        <v>45806</v>
      </c>
      <c r="G850" t="s">
        <v>2652</v>
      </c>
      <c r="H850" t="s">
        <v>116</v>
      </c>
      <c r="I850" t="str">
        <f t="shared" si="161"/>
        <v>Rahul Verma</v>
      </c>
      <c r="J850" t="s">
        <v>93</v>
      </c>
      <c r="K850" t="str">
        <f t="shared" si="162"/>
        <v>Home Office</v>
      </c>
      <c r="L850" t="s">
        <v>52</v>
      </c>
      <c r="M850" t="str">
        <f t="shared" si="163"/>
        <v>South</v>
      </c>
      <c r="N850" t="s">
        <v>246</v>
      </c>
      <c r="O850" t="str">
        <f t="shared" si="164"/>
        <v>Tamil Nadu</v>
      </c>
      <c r="P850" t="s">
        <v>247</v>
      </c>
      <c r="Q850" t="str">
        <f t="shared" si="165"/>
        <v>Chennai</v>
      </c>
      <c r="R850" t="s">
        <v>39</v>
      </c>
      <c r="S850" t="str">
        <f t="shared" si="166"/>
        <v>Furniture</v>
      </c>
      <c r="T850" t="s">
        <v>55</v>
      </c>
      <c r="U850" t="str">
        <f t="shared" si="167"/>
        <v>Furnishings</v>
      </c>
      <c r="V850" t="s">
        <v>2653</v>
      </c>
      <c r="X850" t="s">
        <v>29</v>
      </c>
      <c r="Y850" t="str">
        <f t="shared" si="168"/>
        <v>Second Class</v>
      </c>
      <c r="Z850">
        <v>1</v>
      </c>
      <c r="AA850">
        <v>1744.35</v>
      </c>
      <c r="AB850">
        <v>0.25</v>
      </c>
      <c r="AC850">
        <v>1308.26</v>
      </c>
      <c r="AD850">
        <v>1083.56</v>
      </c>
      <c r="AE850">
        <v>224.7</v>
      </c>
      <c r="AF850" t="s">
        <v>30</v>
      </c>
      <c r="AG850" t="str">
        <f t="shared" si="169"/>
        <v>Paid</v>
      </c>
      <c r="AH850" t="s">
        <v>31</v>
      </c>
    </row>
    <row r="851" spans="1:34">
      <c r="A851" t="s">
        <v>2654</v>
      </c>
      <c r="B851">
        <f>COUNTIF($A:$A,A851)</f>
        <v>1</v>
      </c>
      <c r="C851" t="str">
        <f t="shared" si="159"/>
        <v>Unique</v>
      </c>
      <c r="D851" s="4">
        <v>45446</v>
      </c>
      <c r="E851">
        <f t="shared" si="160"/>
        <v>183</v>
      </c>
      <c r="F851" s="4">
        <v>45629</v>
      </c>
      <c r="G851" t="s">
        <v>2655</v>
      </c>
      <c r="H851" t="s">
        <v>45</v>
      </c>
      <c r="I851" t="str">
        <f t="shared" si="161"/>
        <v>Isha Nair</v>
      </c>
      <c r="J851" t="s">
        <v>93</v>
      </c>
      <c r="K851" t="str">
        <f t="shared" si="162"/>
        <v>Home Office</v>
      </c>
      <c r="L851" t="s">
        <v>61</v>
      </c>
      <c r="M851" t="str">
        <f t="shared" si="163"/>
        <v>West</v>
      </c>
      <c r="N851" t="s">
        <v>178</v>
      </c>
      <c r="O851" t="str">
        <f t="shared" si="164"/>
        <v>Gujarat</v>
      </c>
      <c r="P851" t="s">
        <v>179</v>
      </c>
      <c r="Q851" t="str">
        <f t="shared" si="165"/>
        <v>Ahmedabad</v>
      </c>
      <c r="R851" t="s">
        <v>39</v>
      </c>
      <c r="S851" t="str">
        <f t="shared" si="166"/>
        <v>Furniture</v>
      </c>
      <c r="T851" t="s">
        <v>156</v>
      </c>
      <c r="U851" t="str">
        <f t="shared" si="167"/>
        <v>Bookcases</v>
      </c>
      <c r="V851" t="s">
        <v>2656</v>
      </c>
      <c r="X851" t="s">
        <v>57</v>
      </c>
      <c r="Y851" t="str">
        <f t="shared" si="168"/>
        <v>Standard Class</v>
      </c>
      <c r="Z851">
        <v>3</v>
      </c>
      <c r="AA851">
        <v>679.63</v>
      </c>
      <c r="AB851">
        <v>0.2</v>
      </c>
      <c r="AC851">
        <v>1631.11</v>
      </c>
      <c r="AD851">
        <v>898.73</v>
      </c>
      <c r="AE851">
        <v>396.58</v>
      </c>
      <c r="AF851" t="s">
        <v>30</v>
      </c>
      <c r="AG851" t="str">
        <f t="shared" si="169"/>
        <v>Paid</v>
      </c>
      <c r="AH851" t="s">
        <v>31</v>
      </c>
    </row>
    <row r="852" spans="1:34">
      <c r="A852" t="s">
        <v>2657</v>
      </c>
      <c r="B852">
        <f>COUNTIF($A:$A,A852)</f>
        <v>1</v>
      </c>
      <c r="C852" t="str">
        <f t="shared" si="159"/>
        <v>Unique</v>
      </c>
      <c r="D852" s="4">
        <v>45473</v>
      </c>
      <c r="E852">
        <f t="shared" si="160"/>
        <v>-115</v>
      </c>
      <c r="F852" s="4">
        <v>45358</v>
      </c>
      <c r="G852" t="s">
        <v>2658</v>
      </c>
      <c r="H852" t="s">
        <v>112</v>
      </c>
      <c r="I852" t="str">
        <f t="shared" si="161"/>
        <v>Priya Menon</v>
      </c>
      <c r="J852" t="s">
        <v>93</v>
      </c>
      <c r="K852" t="str">
        <f t="shared" si="162"/>
        <v>Home Office</v>
      </c>
      <c r="L852" t="s">
        <v>36</v>
      </c>
      <c r="M852" t="str">
        <f t="shared" si="163"/>
        <v>East</v>
      </c>
      <c r="N852" t="s">
        <v>97</v>
      </c>
      <c r="O852" t="str">
        <f t="shared" si="164"/>
        <v>West Bengal</v>
      </c>
      <c r="P852" t="s">
        <v>98</v>
      </c>
      <c r="Q852" t="str">
        <f t="shared" si="165"/>
        <v>Kolkata</v>
      </c>
      <c r="R852" t="s">
        <v>26</v>
      </c>
      <c r="S852" t="str">
        <f t="shared" si="166"/>
        <v>Office Supplies</v>
      </c>
      <c r="T852" t="s">
        <v>27</v>
      </c>
      <c r="U852" t="str">
        <f t="shared" si="167"/>
        <v>Paper</v>
      </c>
      <c r="V852" t="s">
        <v>2659</v>
      </c>
      <c r="X852" t="s">
        <v>48</v>
      </c>
      <c r="Y852" t="str">
        <f t="shared" si="168"/>
        <v>First Class</v>
      </c>
      <c r="Z852">
        <v>6</v>
      </c>
      <c r="AA852">
        <v>1211.01</v>
      </c>
      <c r="AB852">
        <v>0</v>
      </c>
      <c r="AC852">
        <v>7266.06</v>
      </c>
      <c r="AD852">
        <v>6216.89</v>
      </c>
      <c r="AE852">
        <v>1049.17</v>
      </c>
      <c r="AF852" t="s">
        <v>30</v>
      </c>
      <c r="AG852" t="str">
        <f t="shared" si="169"/>
        <v>Paid</v>
      </c>
      <c r="AH852" t="s">
        <v>31</v>
      </c>
    </row>
    <row r="853" spans="1:34">
      <c r="A853" t="s">
        <v>2660</v>
      </c>
      <c r="B853">
        <f>COUNTIF($A:$A,A853)</f>
        <v>1</v>
      </c>
      <c r="C853" t="str">
        <f t="shared" si="159"/>
        <v>Unique</v>
      </c>
      <c r="D853" s="4">
        <v>45377</v>
      </c>
      <c r="E853">
        <f t="shared" si="160"/>
        <v>-82</v>
      </c>
      <c r="F853" s="4">
        <v>45295</v>
      </c>
      <c r="G853" t="s">
        <v>2661</v>
      </c>
      <c r="H853" t="s">
        <v>21</v>
      </c>
      <c r="I853" t="str">
        <f t="shared" si="161"/>
        <v>Karan Malhotra</v>
      </c>
      <c r="J853" t="s">
        <v>35</v>
      </c>
      <c r="K853" t="str">
        <f t="shared" si="162"/>
        <v>Small Business</v>
      </c>
      <c r="L853" t="s">
        <v>61</v>
      </c>
      <c r="M853" t="str">
        <f t="shared" si="163"/>
        <v>West</v>
      </c>
      <c r="N853" t="s">
        <v>178</v>
      </c>
      <c r="O853" t="str">
        <f t="shared" si="164"/>
        <v>Gujarat</v>
      </c>
      <c r="P853" t="s">
        <v>179</v>
      </c>
      <c r="Q853" t="str">
        <f t="shared" si="165"/>
        <v>Ahmedabad</v>
      </c>
      <c r="R853" t="s">
        <v>72</v>
      </c>
      <c r="S853" t="str">
        <f t="shared" si="166"/>
        <v>Technology</v>
      </c>
      <c r="T853" t="s">
        <v>73</v>
      </c>
      <c r="U853" t="str">
        <f t="shared" si="167"/>
        <v>Accessories</v>
      </c>
      <c r="V853" t="s">
        <v>2662</v>
      </c>
      <c r="X853" t="s">
        <v>48</v>
      </c>
      <c r="Y853" t="str">
        <f t="shared" si="168"/>
        <v>First Class</v>
      </c>
      <c r="Z853">
        <v>2</v>
      </c>
      <c r="AA853">
        <v>1161.3</v>
      </c>
      <c r="AB853">
        <v>0.2</v>
      </c>
      <c r="AC853">
        <v>1858.08</v>
      </c>
      <c r="AD853">
        <v>1590.75</v>
      </c>
      <c r="AE853">
        <v>267.33</v>
      </c>
      <c r="AF853" t="s">
        <v>30</v>
      </c>
      <c r="AG853" t="str">
        <f t="shared" si="169"/>
        <v>Paid</v>
      </c>
      <c r="AH853" t="s">
        <v>31</v>
      </c>
    </row>
    <row r="854" spans="1:34">
      <c r="A854" t="s">
        <v>2663</v>
      </c>
      <c r="B854">
        <f>COUNTIF($A:$A,A854)</f>
        <v>1</v>
      </c>
      <c r="C854" t="str">
        <f t="shared" si="159"/>
        <v>Unique</v>
      </c>
      <c r="D854" s="4">
        <v>45295</v>
      </c>
      <c r="E854">
        <f t="shared" si="160"/>
        <v>213</v>
      </c>
      <c r="F854" s="4">
        <v>45508</v>
      </c>
      <c r="G854" t="s">
        <v>2664</v>
      </c>
      <c r="H854" t="s">
        <v>60</v>
      </c>
      <c r="I854" t="str">
        <f t="shared" si="161"/>
        <v>Ananya Rao</v>
      </c>
      <c r="J854" t="s">
        <v>22</v>
      </c>
      <c r="K854" t="str">
        <f t="shared" si="162"/>
        <v>Consumer</v>
      </c>
      <c r="L854" t="s">
        <v>36</v>
      </c>
      <c r="M854" t="str">
        <f t="shared" si="163"/>
        <v>East</v>
      </c>
      <c r="N854" t="s">
        <v>164</v>
      </c>
      <c r="O854" t="str">
        <f t="shared" si="164"/>
        <v>Assam</v>
      </c>
      <c r="P854" t="s">
        <v>165</v>
      </c>
      <c r="Q854" t="str">
        <f t="shared" si="165"/>
        <v>Guwahati</v>
      </c>
      <c r="R854" t="s">
        <v>39</v>
      </c>
      <c r="S854" t="str">
        <f t="shared" si="166"/>
        <v>Furniture</v>
      </c>
      <c r="T854" t="s">
        <v>40</v>
      </c>
      <c r="U854" t="str">
        <f t="shared" si="167"/>
        <v>Tables</v>
      </c>
      <c r="V854" t="s">
        <v>2665</v>
      </c>
      <c r="X854" t="s">
        <v>29</v>
      </c>
      <c r="Y854" t="str">
        <f t="shared" si="168"/>
        <v>Second Class</v>
      </c>
      <c r="Z854">
        <v>7</v>
      </c>
      <c r="AA854">
        <v>4205.3500000000004</v>
      </c>
      <c r="AB854">
        <v>0.15</v>
      </c>
      <c r="AC854">
        <v>25021.83</v>
      </c>
      <c r="AD854">
        <v>15544.44</v>
      </c>
      <c r="AE854">
        <v>9477.39</v>
      </c>
      <c r="AF854" t="s">
        <v>109</v>
      </c>
      <c r="AG854" t="str">
        <f t="shared" si="169"/>
        <v>Pending</v>
      </c>
      <c r="AH854" t="s">
        <v>66</v>
      </c>
    </row>
    <row r="855" spans="1:34">
      <c r="A855" t="s">
        <v>2666</v>
      </c>
      <c r="B855">
        <f>COUNTIF($A:$A,A855)</f>
        <v>1</v>
      </c>
      <c r="C855" t="str">
        <f t="shared" si="159"/>
        <v>Unique</v>
      </c>
      <c r="D855" s="4">
        <v>45793</v>
      </c>
      <c r="E855">
        <f t="shared" si="160"/>
        <v>6</v>
      </c>
      <c r="F855" s="4">
        <v>45799</v>
      </c>
      <c r="G855" t="s">
        <v>2667</v>
      </c>
      <c r="H855" t="s">
        <v>51</v>
      </c>
      <c r="I855" t="str">
        <f t="shared" si="161"/>
        <v>Arjun Bose</v>
      </c>
      <c r="J855" t="s">
        <v>88</v>
      </c>
      <c r="K855" t="str">
        <f t="shared" si="162"/>
        <v>Corporate</v>
      </c>
      <c r="L855" t="s">
        <v>52</v>
      </c>
      <c r="M855" t="str">
        <f t="shared" si="163"/>
        <v>South</v>
      </c>
      <c r="N855" t="s">
        <v>246</v>
      </c>
      <c r="O855" t="str">
        <f t="shared" si="164"/>
        <v>Tamil Nadu</v>
      </c>
      <c r="P855" t="s">
        <v>247</v>
      </c>
      <c r="Q855" t="str">
        <f t="shared" si="165"/>
        <v>Chennai</v>
      </c>
      <c r="R855" t="s">
        <v>72</v>
      </c>
      <c r="S855" t="str">
        <f t="shared" si="166"/>
        <v>Technology</v>
      </c>
      <c r="T855" t="s">
        <v>73</v>
      </c>
      <c r="U855" t="str">
        <f t="shared" si="167"/>
        <v>Accessories</v>
      </c>
      <c r="V855" t="s">
        <v>2668</v>
      </c>
      <c r="X855" t="s">
        <v>42</v>
      </c>
      <c r="Y855" t="str">
        <f t="shared" si="168"/>
        <v>Same Day</v>
      </c>
      <c r="Z855">
        <v>8</v>
      </c>
      <c r="AA855">
        <v>579.79999999999995</v>
      </c>
      <c r="AB855">
        <v>0.2</v>
      </c>
      <c r="AC855">
        <v>3710.72</v>
      </c>
      <c r="AD855">
        <v>3115.29</v>
      </c>
      <c r="AE855">
        <v>595.42999999999995</v>
      </c>
      <c r="AF855" t="s">
        <v>30</v>
      </c>
      <c r="AG855" t="str">
        <f t="shared" si="169"/>
        <v>Paid</v>
      </c>
      <c r="AH855" t="s">
        <v>31</v>
      </c>
    </row>
    <row r="856" spans="1:34">
      <c r="A856" t="s">
        <v>2669</v>
      </c>
      <c r="B856">
        <f>COUNTIF($A:$A,A856)</f>
        <v>1</v>
      </c>
      <c r="C856" t="str">
        <f t="shared" si="159"/>
        <v>Unique</v>
      </c>
      <c r="D856" s="4">
        <v>45741</v>
      </c>
      <c r="E856">
        <f t="shared" si="160"/>
        <v>8</v>
      </c>
      <c r="F856" s="4">
        <v>45749</v>
      </c>
      <c r="G856" t="s">
        <v>2670</v>
      </c>
      <c r="H856" t="s">
        <v>112</v>
      </c>
      <c r="I856" t="str">
        <f t="shared" si="161"/>
        <v>Priya Menon</v>
      </c>
      <c r="J856" t="s">
        <v>22</v>
      </c>
      <c r="K856" t="str">
        <f t="shared" si="162"/>
        <v>Consumer</v>
      </c>
      <c r="L856" t="s">
        <v>52</v>
      </c>
      <c r="M856" t="str">
        <f t="shared" si="163"/>
        <v>South</v>
      </c>
      <c r="N856" t="s">
        <v>173</v>
      </c>
      <c r="O856" t="str">
        <f t="shared" si="164"/>
        <v>Karnataka</v>
      </c>
      <c r="P856" t="s">
        <v>174</v>
      </c>
      <c r="Q856" t="str">
        <f t="shared" si="165"/>
        <v>Bengaluru</v>
      </c>
      <c r="R856" t="s">
        <v>39</v>
      </c>
      <c r="S856" t="str">
        <f t="shared" si="166"/>
        <v>Furniture</v>
      </c>
      <c r="T856" t="s">
        <v>156</v>
      </c>
      <c r="U856" t="str">
        <f t="shared" si="167"/>
        <v>Bookcases</v>
      </c>
      <c r="V856" t="s">
        <v>2671</v>
      </c>
      <c r="X856" t="s">
        <v>29</v>
      </c>
      <c r="Y856" t="str">
        <f t="shared" si="168"/>
        <v>Second Class</v>
      </c>
      <c r="Z856">
        <v>4</v>
      </c>
      <c r="AA856">
        <v>2233.64</v>
      </c>
      <c r="AB856">
        <v>0.05</v>
      </c>
      <c r="AC856">
        <v>8487.83</v>
      </c>
      <c r="AD856">
        <v>5245.72</v>
      </c>
      <c r="AE856">
        <v>3242.11</v>
      </c>
      <c r="AF856" t="s">
        <v>30</v>
      </c>
      <c r="AG856" t="str">
        <f t="shared" si="169"/>
        <v>Paid</v>
      </c>
      <c r="AH856" t="s">
        <v>31</v>
      </c>
    </row>
    <row r="857" spans="1:34">
      <c r="A857" t="s">
        <v>2672</v>
      </c>
      <c r="B857">
        <f>COUNTIF($A:$A,A857)</f>
        <v>1</v>
      </c>
      <c r="C857" t="str">
        <f t="shared" si="159"/>
        <v>Unique</v>
      </c>
      <c r="D857" s="4">
        <v>45498</v>
      </c>
      <c r="E857">
        <f t="shared" si="160"/>
        <v>-168</v>
      </c>
      <c r="F857" s="4">
        <v>45330</v>
      </c>
      <c r="G857" t="s">
        <v>1137</v>
      </c>
      <c r="H857" t="s">
        <v>116</v>
      </c>
      <c r="I857" t="str">
        <f t="shared" si="161"/>
        <v>Rahul Verma</v>
      </c>
      <c r="J857" t="s">
        <v>22</v>
      </c>
      <c r="K857" t="str">
        <f t="shared" si="162"/>
        <v>Consumer</v>
      </c>
      <c r="L857" t="s">
        <v>23</v>
      </c>
      <c r="M857" t="str">
        <f t="shared" si="163"/>
        <v>North</v>
      </c>
      <c r="N857" t="s">
        <v>24</v>
      </c>
      <c r="O857" t="str">
        <f t="shared" si="164"/>
        <v>Rajasthan</v>
      </c>
      <c r="P857" t="s">
        <v>25</v>
      </c>
      <c r="Q857" t="str">
        <f t="shared" si="165"/>
        <v>Jaipur</v>
      </c>
      <c r="R857" t="s">
        <v>26</v>
      </c>
      <c r="S857" t="str">
        <f t="shared" si="166"/>
        <v>Office Supplies</v>
      </c>
      <c r="T857" t="s">
        <v>2673</v>
      </c>
      <c r="U857" t="str">
        <f t="shared" si="167"/>
        <v>Labels</v>
      </c>
      <c r="V857" t="s">
        <v>2674</v>
      </c>
      <c r="X857" t="s">
        <v>29</v>
      </c>
      <c r="Y857" t="str">
        <f t="shared" si="168"/>
        <v>Second Class</v>
      </c>
      <c r="Z857">
        <v>2</v>
      </c>
      <c r="AA857">
        <v>2073.5300000000002</v>
      </c>
      <c r="AB857">
        <v>0.25</v>
      </c>
      <c r="AC857">
        <v>3110.3</v>
      </c>
      <c r="AD857">
        <v>2101.0300000000002</v>
      </c>
      <c r="AE857">
        <v>1009.27</v>
      </c>
      <c r="AF857" t="s">
        <v>30</v>
      </c>
      <c r="AG857" t="str">
        <f t="shared" si="169"/>
        <v>Paid</v>
      </c>
      <c r="AH857" t="s">
        <v>31</v>
      </c>
    </row>
    <row r="858" spans="1:34">
      <c r="A858" t="s">
        <v>2675</v>
      </c>
      <c r="B858">
        <f>COUNTIF($A:$A,A858)</f>
        <v>1</v>
      </c>
      <c r="C858" t="str">
        <f t="shared" si="159"/>
        <v>Unique</v>
      </c>
      <c r="D858" s="4">
        <v>45632</v>
      </c>
      <c r="E858">
        <f t="shared" si="160"/>
        <v>-170</v>
      </c>
      <c r="F858" s="4">
        <v>45462</v>
      </c>
      <c r="G858" t="s">
        <v>1319</v>
      </c>
      <c r="H858" t="s">
        <v>139</v>
      </c>
      <c r="I858" t="str">
        <f t="shared" si="161"/>
        <v>Rohan Mehta</v>
      </c>
      <c r="J858" t="s">
        <v>93</v>
      </c>
      <c r="K858" t="str">
        <f t="shared" si="162"/>
        <v>Home Office</v>
      </c>
      <c r="L858" t="s">
        <v>52</v>
      </c>
      <c r="M858" t="str">
        <f t="shared" si="163"/>
        <v>South</v>
      </c>
      <c r="N858" t="s">
        <v>246</v>
      </c>
      <c r="O858" t="str">
        <f t="shared" si="164"/>
        <v>Tamil Nadu</v>
      </c>
      <c r="P858" t="s">
        <v>247</v>
      </c>
      <c r="Q858" t="str">
        <f t="shared" si="165"/>
        <v>Chennai</v>
      </c>
      <c r="R858" t="s">
        <v>26</v>
      </c>
      <c r="S858" t="str">
        <f t="shared" si="166"/>
        <v>Office Supplies</v>
      </c>
      <c r="T858" t="s">
        <v>122</v>
      </c>
      <c r="U858" t="str">
        <f t="shared" si="167"/>
        <v>Storage</v>
      </c>
      <c r="V858" t="s">
        <v>2676</v>
      </c>
      <c r="X858" t="s">
        <v>57</v>
      </c>
      <c r="Y858" t="str">
        <f t="shared" si="168"/>
        <v>Standard Class</v>
      </c>
      <c r="Z858">
        <v>4</v>
      </c>
      <c r="AA858">
        <v>395.1</v>
      </c>
      <c r="AB858">
        <v>-0.16</v>
      </c>
      <c r="AC858">
        <v>1185.3</v>
      </c>
      <c r="AD858">
        <v>966.55</v>
      </c>
      <c r="AE858">
        <v>218.75</v>
      </c>
      <c r="AF858" t="s">
        <v>153</v>
      </c>
      <c r="AG858" t="str">
        <f t="shared" si="169"/>
        <v>Failed</v>
      </c>
      <c r="AH858" t="s">
        <v>66</v>
      </c>
    </row>
    <row r="859" spans="1:34">
      <c r="A859" t="s">
        <v>2677</v>
      </c>
      <c r="B859">
        <f>COUNTIF($A:$A,A859)</f>
        <v>1</v>
      </c>
      <c r="C859" t="str">
        <f t="shared" si="159"/>
        <v>Unique</v>
      </c>
      <c r="D859" s="4">
        <v>45388</v>
      </c>
      <c r="E859">
        <f t="shared" si="160"/>
        <v>0</v>
      </c>
      <c r="F859" s="4">
        <v>45388</v>
      </c>
      <c r="G859" t="s">
        <v>2177</v>
      </c>
      <c r="H859" t="s">
        <v>130</v>
      </c>
      <c r="I859" t="str">
        <f t="shared" si="161"/>
        <v>Sneha Kapoor</v>
      </c>
      <c r="J859" t="s">
        <v>93</v>
      </c>
      <c r="K859" t="str">
        <f t="shared" si="162"/>
        <v>Home Office</v>
      </c>
      <c r="L859" t="s">
        <v>52</v>
      </c>
      <c r="M859" t="str">
        <f t="shared" si="163"/>
        <v>South</v>
      </c>
      <c r="N859" t="s">
        <v>183</v>
      </c>
      <c r="O859" t="str">
        <f t="shared" si="164"/>
        <v>Kerala</v>
      </c>
      <c r="P859" t="s">
        <v>184</v>
      </c>
      <c r="Q859" t="str">
        <f t="shared" si="165"/>
        <v>Kochi</v>
      </c>
      <c r="R859" t="s">
        <v>26</v>
      </c>
      <c r="S859" t="str">
        <f t="shared" si="166"/>
        <v>Office Supplies</v>
      </c>
      <c r="T859" t="s">
        <v>122</v>
      </c>
      <c r="U859" t="str">
        <f t="shared" si="167"/>
        <v>Storage</v>
      </c>
      <c r="V859" t="s">
        <v>2678</v>
      </c>
      <c r="X859" t="s">
        <v>48</v>
      </c>
      <c r="Y859" t="str">
        <f t="shared" si="168"/>
        <v>First Class</v>
      </c>
      <c r="Z859">
        <v>6</v>
      </c>
      <c r="AA859">
        <v>2708.97</v>
      </c>
      <c r="AB859">
        <v>0.25</v>
      </c>
      <c r="AC859">
        <v>12190.36</v>
      </c>
      <c r="AD859">
        <v>10176.99</v>
      </c>
      <c r="AE859">
        <v>2013.37</v>
      </c>
      <c r="AF859" t="s">
        <v>30</v>
      </c>
      <c r="AG859" t="str">
        <f t="shared" si="169"/>
        <v>Paid</v>
      </c>
      <c r="AH859" t="s">
        <v>31</v>
      </c>
    </row>
    <row r="860" spans="1:34">
      <c r="A860" t="s">
        <v>2679</v>
      </c>
      <c r="B860">
        <f>COUNTIF($A:$A,A860)</f>
        <v>1</v>
      </c>
      <c r="C860" t="str">
        <f t="shared" si="159"/>
        <v>Unique</v>
      </c>
      <c r="D860" s="4">
        <v>45414</v>
      </c>
      <c r="E860">
        <f t="shared" si="160"/>
        <v>126</v>
      </c>
      <c r="F860" s="4">
        <v>45540</v>
      </c>
      <c r="G860" t="s">
        <v>2680</v>
      </c>
      <c r="H860" t="s">
        <v>51</v>
      </c>
      <c r="I860" t="str">
        <f t="shared" si="161"/>
        <v>Arjun Bose</v>
      </c>
      <c r="J860" t="s">
        <v>22</v>
      </c>
      <c r="K860" t="str">
        <f t="shared" si="162"/>
        <v>Consumer</v>
      </c>
      <c r="L860" t="s">
        <v>36</v>
      </c>
      <c r="M860" t="str">
        <f t="shared" si="163"/>
        <v>East</v>
      </c>
      <c r="N860" t="s">
        <v>37</v>
      </c>
      <c r="O860" t="str">
        <f t="shared" si="164"/>
        <v>Odisha</v>
      </c>
      <c r="P860" t="s">
        <v>38</v>
      </c>
      <c r="Q860" t="str">
        <f t="shared" si="165"/>
        <v>Bhubaneswar</v>
      </c>
      <c r="R860" t="s">
        <v>72</v>
      </c>
      <c r="S860" t="str">
        <f t="shared" si="166"/>
        <v>Technology</v>
      </c>
      <c r="T860" t="s">
        <v>73</v>
      </c>
      <c r="U860" t="str">
        <f t="shared" si="167"/>
        <v>Accessories</v>
      </c>
      <c r="V860" t="s">
        <v>2681</v>
      </c>
      <c r="X860" t="s">
        <v>29</v>
      </c>
      <c r="Y860" t="str">
        <f t="shared" si="168"/>
        <v>Second Class</v>
      </c>
      <c r="Z860">
        <v>4</v>
      </c>
      <c r="AA860">
        <v>2904.86</v>
      </c>
      <c r="AB860">
        <v>0</v>
      </c>
      <c r="AC860">
        <v>11619.44</v>
      </c>
      <c r="AD860">
        <v>7184.32</v>
      </c>
      <c r="AE860">
        <v>4494.6400000000003</v>
      </c>
      <c r="AF860" t="s">
        <v>30</v>
      </c>
      <c r="AG860" t="str">
        <f t="shared" si="169"/>
        <v>Paid</v>
      </c>
      <c r="AH860" t="s">
        <v>31</v>
      </c>
    </row>
    <row r="861" spans="1:34">
      <c r="A861" t="s">
        <v>2682</v>
      </c>
      <c r="B861">
        <f>COUNTIF($A:$A,A861)</f>
        <v>1</v>
      </c>
      <c r="C861" t="str">
        <f t="shared" si="159"/>
        <v>Unique</v>
      </c>
      <c r="D861" s="4">
        <v>45592</v>
      </c>
      <c r="E861">
        <f t="shared" si="160"/>
        <v>-290</v>
      </c>
      <c r="F861" s="4">
        <v>45302</v>
      </c>
      <c r="G861" t="s">
        <v>2683</v>
      </c>
      <c r="H861" t="s">
        <v>87</v>
      </c>
      <c r="I861" t="str">
        <f t="shared" si="161"/>
        <v>Aditi Sen</v>
      </c>
      <c r="J861" t="s">
        <v>88</v>
      </c>
      <c r="K861" t="str">
        <f t="shared" si="162"/>
        <v>Corporate</v>
      </c>
      <c r="L861" t="s">
        <v>52</v>
      </c>
      <c r="M861" t="str">
        <f t="shared" si="163"/>
        <v>South</v>
      </c>
      <c r="N861" t="s">
        <v>246</v>
      </c>
      <c r="O861" t="str">
        <f t="shared" si="164"/>
        <v>Tamil Nadu</v>
      </c>
      <c r="P861" t="s">
        <v>247</v>
      </c>
      <c r="Q861" t="str">
        <f t="shared" si="165"/>
        <v>Chennai</v>
      </c>
      <c r="R861" t="s">
        <v>72</v>
      </c>
      <c r="S861" t="str">
        <f t="shared" si="166"/>
        <v>Technology</v>
      </c>
      <c r="T861" t="s">
        <v>169</v>
      </c>
      <c r="U861" t="str">
        <f t="shared" si="167"/>
        <v>Phones</v>
      </c>
      <c r="V861" t="s">
        <v>2684</v>
      </c>
      <c r="X861" t="s">
        <v>57</v>
      </c>
      <c r="Y861" t="str">
        <f t="shared" si="168"/>
        <v>Standard Class</v>
      </c>
      <c r="Z861">
        <v>6</v>
      </c>
      <c r="AA861">
        <v>4399.2</v>
      </c>
      <c r="AB861">
        <v>0.05</v>
      </c>
      <c r="AC861">
        <v>25075.439999999999</v>
      </c>
      <c r="AD861">
        <v>16282.74</v>
      </c>
      <c r="AE861">
        <v>8792.7000000000007</v>
      </c>
      <c r="AF861" t="s">
        <v>30</v>
      </c>
      <c r="AG861" t="str">
        <f t="shared" si="169"/>
        <v>Paid</v>
      </c>
      <c r="AH861" t="s">
        <v>31</v>
      </c>
    </row>
    <row r="862" spans="1:34">
      <c r="A862" t="s">
        <v>2685</v>
      </c>
      <c r="B862">
        <f>COUNTIF($A:$A,A862)</f>
        <v>1</v>
      </c>
      <c r="C862" t="str">
        <f t="shared" si="159"/>
        <v>Unique</v>
      </c>
      <c r="D862" s="4">
        <v>45324</v>
      </c>
      <c r="E862">
        <f t="shared" si="160"/>
        <v>60</v>
      </c>
      <c r="F862" s="4">
        <v>45384</v>
      </c>
      <c r="G862" t="s">
        <v>2686</v>
      </c>
      <c r="H862" t="s">
        <v>69</v>
      </c>
      <c r="I862" t="str">
        <f t="shared" si="161"/>
        <v>Vikram Iyer</v>
      </c>
      <c r="J862" t="s">
        <v>93</v>
      </c>
      <c r="K862" t="str">
        <f t="shared" si="162"/>
        <v>Home Office</v>
      </c>
      <c r="L862" t="s">
        <v>23</v>
      </c>
      <c r="M862" t="str">
        <f t="shared" si="163"/>
        <v>North</v>
      </c>
      <c r="N862" t="s">
        <v>134</v>
      </c>
      <c r="O862" t="str">
        <f t="shared" si="164"/>
        <v>Uttar Pradesh</v>
      </c>
      <c r="P862" t="s">
        <v>135</v>
      </c>
      <c r="Q862" t="str">
        <f t="shared" si="165"/>
        <v>Noida</v>
      </c>
      <c r="R862" t="s">
        <v>26</v>
      </c>
      <c r="S862" t="str">
        <f t="shared" si="166"/>
        <v>Office Supplies</v>
      </c>
      <c r="T862" t="s">
        <v>122</v>
      </c>
      <c r="U862" t="str">
        <f t="shared" si="167"/>
        <v>Storage</v>
      </c>
      <c r="V862" t="s">
        <v>2687</v>
      </c>
      <c r="X862" t="s">
        <v>29</v>
      </c>
      <c r="Y862" t="str">
        <f t="shared" si="168"/>
        <v>Second Class</v>
      </c>
      <c r="Z862">
        <v>1</v>
      </c>
      <c r="AA862">
        <v>4397.32</v>
      </c>
      <c r="AB862">
        <v>0.05</v>
      </c>
      <c r="AC862">
        <v>4177.45</v>
      </c>
      <c r="AD862">
        <v>2299.5</v>
      </c>
      <c r="AE862">
        <v>1877.95</v>
      </c>
      <c r="AF862" t="s">
        <v>30</v>
      </c>
      <c r="AG862" t="str">
        <f t="shared" si="169"/>
        <v>Paid</v>
      </c>
      <c r="AH862" t="s">
        <v>31</v>
      </c>
    </row>
    <row r="863" spans="1:34">
      <c r="A863" t="s">
        <v>2688</v>
      </c>
      <c r="B863">
        <f>COUNTIF($A:$A,A863)</f>
        <v>1</v>
      </c>
      <c r="C863" t="str">
        <f t="shared" si="159"/>
        <v>Unique</v>
      </c>
      <c r="D863" s="4">
        <v>45872</v>
      </c>
      <c r="E863">
        <f t="shared" si="160"/>
        <v>31</v>
      </c>
      <c r="F863" s="4">
        <v>45903</v>
      </c>
      <c r="G863" t="s">
        <v>2689</v>
      </c>
      <c r="H863" t="s">
        <v>112</v>
      </c>
      <c r="I863" t="str">
        <f t="shared" si="161"/>
        <v>Priya Menon</v>
      </c>
      <c r="J863" t="s">
        <v>93</v>
      </c>
      <c r="K863" t="str">
        <f t="shared" si="162"/>
        <v>Home Office</v>
      </c>
      <c r="L863" t="s">
        <v>23</v>
      </c>
      <c r="M863" t="str">
        <f t="shared" si="163"/>
        <v>North</v>
      </c>
      <c r="N863" t="s">
        <v>349</v>
      </c>
      <c r="O863" t="str">
        <f t="shared" si="164"/>
        <v>Delhi</v>
      </c>
      <c r="P863" t="s">
        <v>350</v>
      </c>
      <c r="Q863" t="str">
        <f t="shared" si="165"/>
        <v>New Delhi</v>
      </c>
      <c r="R863" t="s">
        <v>39</v>
      </c>
      <c r="S863" t="str">
        <f t="shared" si="166"/>
        <v>Furniture</v>
      </c>
      <c r="T863" t="s">
        <v>55</v>
      </c>
      <c r="U863" t="str">
        <f t="shared" si="167"/>
        <v>Furnishings</v>
      </c>
      <c r="V863" t="s">
        <v>2690</v>
      </c>
      <c r="X863" t="s">
        <v>42</v>
      </c>
      <c r="Y863" t="str">
        <f t="shared" si="168"/>
        <v>Same Day</v>
      </c>
      <c r="Z863">
        <v>4</v>
      </c>
      <c r="AA863">
        <v>3405.68</v>
      </c>
      <c r="AB863">
        <v>0.2</v>
      </c>
      <c r="AC863">
        <v>10898.18</v>
      </c>
      <c r="AD863">
        <v>6231.41</v>
      </c>
      <c r="AE863">
        <v>4666.7700000000004</v>
      </c>
      <c r="AF863" t="s">
        <v>30</v>
      </c>
      <c r="AG863" t="str">
        <f t="shared" si="169"/>
        <v>Paid</v>
      </c>
      <c r="AH863" t="s">
        <v>31</v>
      </c>
    </row>
    <row r="864" spans="1:34">
      <c r="A864" t="s">
        <v>2691</v>
      </c>
      <c r="B864">
        <f>COUNTIF($A:$A,A864)</f>
        <v>1</v>
      </c>
      <c r="C864" t="str">
        <f t="shared" si="159"/>
        <v>Unique</v>
      </c>
      <c r="D864" s="4">
        <v>45742</v>
      </c>
      <c r="E864">
        <f t="shared" si="160"/>
        <v>5</v>
      </c>
      <c r="F864" s="4">
        <v>45747</v>
      </c>
      <c r="G864" t="s">
        <v>2692</v>
      </c>
      <c r="H864" t="s">
        <v>112</v>
      </c>
      <c r="I864" t="str">
        <f t="shared" si="161"/>
        <v>Priya Menon</v>
      </c>
      <c r="J864" t="s">
        <v>35</v>
      </c>
      <c r="K864" t="str">
        <f t="shared" si="162"/>
        <v>Small Business</v>
      </c>
      <c r="L864" t="s">
        <v>36</v>
      </c>
      <c r="M864" t="str">
        <f t="shared" si="163"/>
        <v>East</v>
      </c>
      <c r="N864" t="s">
        <v>227</v>
      </c>
      <c r="O864" t="str">
        <f t="shared" si="164"/>
        <v>Jharkhand</v>
      </c>
      <c r="P864" t="s">
        <v>228</v>
      </c>
      <c r="Q864" t="str">
        <f t="shared" si="165"/>
        <v>Ranchi</v>
      </c>
      <c r="R864" t="s">
        <v>26</v>
      </c>
      <c r="S864" t="str">
        <f t="shared" si="166"/>
        <v>Office Supplies</v>
      </c>
      <c r="T864" t="s">
        <v>151</v>
      </c>
      <c r="U864" t="str">
        <f t="shared" si="167"/>
        <v>Binders</v>
      </c>
      <c r="V864" t="s">
        <v>2693</v>
      </c>
      <c r="X864" t="s">
        <v>48</v>
      </c>
      <c r="Y864" t="str">
        <f t="shared" si="168"/>
        <v>First Class</v>
      </c>
      <c r="Z864">
        <v>5</v>
      </c>
      <c r="AA864">
        <v>1395.14</v>
      </c>
      <c r="AB864">
        <v>0</v>
      </c>
      <c r="AC864">
        <v>6975.7</v>
      </c>
      <c r="AD864">
        <v>4797.88</v>
      </c>
      <c r="AE864">
        <v>2177.8200000000002</v>
      </c>
      <c r="AF864" t="s">
        <v>30</v>
      </c>
      <c r="AG864" t="str">
        <f t="shared" si="169"/>
        <v>Paid</v>
      </c>
      <c r="AH864" t="s">
        <v>66</v>
      </c>
    </row>
    <row r="865" spans="1:34">
      <c r="A865" t="s">
        <v>2694</v>
      </c>
      <c r="B865">
        <f>COUNTIF($A:$A,A865)</f>
        <v>1</v>
      </c>
      <c r="C865" t="str">
        <f t="shared" si="159"/>
        <v>Unique</v>
      </c>
      <c r="D865" s="4">
        <v>45906</v>
      </c>
      <c r="E865">
        <f t="shared" si="160"/>
        <v>2</v>
      </c>
      <c r="F865" s="4">
        <v>45908</v>
      </c>
      <c r="G865" t="s">
        <v>2695</v>
      </c>
      <c r="H865" t="s">
        <v>126</v>
      </c>
      <c r="I865" t="str">
        <f t="shared" si="161"/>
        <v>Aarav Sharma</v>
      </c>
      <c r="J865" t="s">
        <v>93</v>
      </c>
      <c r="K865" t="str">
        <f t="shared" si="162"/>
        <v>Home Office</v>
      </c>
      <c r="L865" t="s">
        <v>61</v>
      </c>
      <c r="M865" t="str">
        <f t="shared" si="163"/>
        <v>West</v>
      </c>
      <c r="N865" t="s">
        <v>70</v>
      </c>
      <c r="O865" t="str">
        <f t="shared" si="164"/>
        <v>Madhya Pradesh</v>
      </c>
      <c r="P865" t="s">
        <v>71</v>
      </c>
      <c r="Q865" t="str">
        <f t="shared" si="165"/>
        <v>Indore</v>
      </c>
      <c r="R865" t="s">
        <v>39</v>
      </c>
      <c r="S865" t="str">
        <f t="shared" si="166"/>
        <v>Furniture</v>
      </c>
      <c r="T865" t="s">
        <v>55</v>
      </c>
      <c r="U865" t="str">
        <f t="shared" si="167"/>
        <v>Furnishings</v>
      </c>
      <c r="V865" t="s">
        <v>2696</v>
      </c>
      <c r="X865" t="s">
        <v>42</v>
      </c>
      <c r="Y865" t="str">
        <f t="shared" si="168"/>
        <v>Same Day</v>
      </c>
      <c r="Z865">
        <v>3</v>
      </c>
      <c r="AA865">
        <v>2937.23</v>
      </c>
      <c r="AB865">
        <v>0</v>
      </c>
      <c r="AC865">
        <v>8811.69</v>
      </c>
      <c r="AD865">
        <v>6765.91</v>
      </c>
      <c r="AE865">
        <v>2045.78</v>
      </c>
      <c r="AF865" t="s">
        <v>30</v>
      </c>
      <c r="AG865" t="str">
        <f t="shared" si="169"/>
        <v>Paid</v>
      </c>
      <c r="AH865" t="s">
        <v>31</v>
      </c>
    </row>
    <row r="866" spans="1:34">
      <c r="A866" t="s">
        <v>2697</v>
      </c>
      <c r="B866">
        <f>COUNTIF($A:$A,A866)</f>
        <v>1</v>
      </c>
      <c r="C866" t="str">
        <f t="shared" si="159"/>
        <v>Unique</v>
      </c>
      <c r="D866" s="4">
        <v>45697</v>
      </c>
      <c r="E866">
        <f t="shared" si="160"/>
        <v>89</v>
      </c>
      <c r="F866" s="4">
        <v>45786</v>
      </c>
      <c r="G866" t="s">
        <v>2698</v>
      </c>
      <c r="H866" t="s">
        <v>69</v>
      </c>
      <c r="I866" t="str">
        <f t="shared" si="161"/>
        <v>Vikram Iyer</v>
      </c>
      <c r="J866" t="s">
        <v>22</v>
      </c>
      <c r="K866" t="str">
        <f t="shared" si="162"/>
        <v>Consumer</v>
      </c>
      <c r="L866" t="s">
        <v>52</v>
      </c>
      <c r="M866" t="str">
        <f t="shared" si="163"/>
        <v>South</v>
      </c>
      <c r="N866" t="s">
        <v>246</v>
      </c>
      <c r="O866" t="str">
        <f t="shared" si="164"/>
        <v>Tamil Nadu</v>
      </c>
      <c r="P866" t="s">
        <v>247</v>
      </c>
      <c r="Q866" t="str">
        <f t="shared" si="165"/>
        <v>Chennai</v>
      </c>
      <c r="R866" t="s">
        <v>72</v>
      </c>
      <c r="S866" t="str">
        <f t="shared" si="166"/>
        <v>Technology</v>
      </c>
      <c r="T866" t="s">
        <v>169</v>
      </c>
      <c r="U866" t="str">
        <f t="shared" si="167"/>
        <v>Phones</v>
      </c>
      <c r="V866" t="s">
        <v>2699</v>
      </c>
      <c r="X866" t="s">
        <v>48</v>
      </c>
      <c r="Y866" t="str">
        <f t="shared" si="168"/>
        <v>First Class</v>
      </c>
      <c r="Z866">
        <v>5</v>
      </c>
      <c r="AA866">
        <v>3406.87</v>
      </c>
      <c r="AB866">
        <v>0</v>
      </c>
      <c r="AC866">
        <v>17034.349999999999</v>
      </c>
      <c r="AD866">
        <v>14631.36</v>
      </c>
      <c r="AE866">
        <v>2402.9899999999998</v>
      </c>
      <c r="AF866" t="s">
        <v>30</v>
      </c>
      <c r="AG866" t="str">
        <f t="shared" si="169"/>
        <v>Paid</v>
      </c>
      <c r="AH866" t="s">
        <v>31</v>
      </c>
    </row>
    <row r="867" spans="1:34">
      <c r="A867" t="s">
        <v>2700</v>
      </c>
      <c r="B867">
        <f>COUNTIF($A:$A,A867)</f>
        <v>1</v>
      </c>
      <c r="C867" t="str">
        <f t="shared" si="159"/>
        <v>Unique</v>
      </c>
      <c r="D867" s="4">
        <v>45810</v>
      </c>
      <c r="E867">
        <f t="shared" si="160"/>
        <v>-108</v>
      </c>
      <c r="F867" s="4">
        <v>45702</v>
      </c>
      <c r="G867" t="s">
        <v>2701</v>
      </c>
      <c r="H867" t="s">
        <v>263</v>
      </c>
      <c r="I867" t="str">
        <f t="shared" si="161"/>
        <v>Kabir Singh</v>
      </c>
      <c r="J867" t="s">
        <v>22</v>
      </c>
      <c r="K867" t="str">
        <f t="shared" si="162"/>
        <v>Consumer</v>
      </c>
      <c r="L867" t="s">
        <v>61</v>
      </c>
      <c r="M867" t="str">
        <f t="shared" si="163"/>
        <v>West</v>
      </c>
      <c r="N867" t="s">
        <v>62</v>
      </c>
      <c r="O867" t="str">
        <f t="shared" si="164"/>
        <v>Maharashtra</v>
      </c>
      <c r="P867" t="s">
        <v>63</v>
      </c>
      <c r="Q867" t="str">
        <f t="shared" si="165"/>
        <v>Mumbai</v>
      </c>
      <c r="R867" t="s">
        <v>26</v>
      </c>
      <c r="S867" t="str">
        <f t="shared" si="166"/>
        <v>Office Supplies</v>
      </c>
      <c r="T867" t="s">
        <v>89</v>
      </c>
      <c r="U867" t="str">
        <f t="shared" si="167"/>
        <v>Labels</v>
      </c>
      <c r="V867" t="s">
        <v>2702</v>
      </c>
      <c r="X867" t="s">
        <v>29</v>
      </c>
      <c r="Y867" t="str">
        <f t="shared" si="168"/>
        <v>Second Class</v>
      </c>
      <c r="Z867">
        <v>2</v>
      </c>
      <c r="AA867">
        <v>3992.04</v>
      </c>
      <c r="AB867">
        <v>0</v>
      </c>
      <c r="AC867">
        <v>7984.08</v>
      </c>
      <c r="AD867">
        <v>5658.05</v>
      </c>
      <c r="AE867">
        <v>2326.0300000000002</v>
      </c>
      <c r="AF867" t="s">
        <v>30</v>
      </c>
      <c r="AG867" t="str">
        <f t="shared" si="169"/>
        <v>Paid</v>
      </c>
      <c r="AH867" t="s">
        <v>31</v>
      </c>
    </row>
    <row r="868" spans="1:34">
      <c r="A868" t="s">
        <v>2703</v>
      </c>
      <c r="B868">
        <f>COUNTIF($A:$A,A868)</f>
        <v>1</v>
      </c>
      <c r="C868" t="str">
        <f t="shared" si="159"/>
        <v>Unique</v>
      </c>
      <c r="D868" s="4">
        <v>45714</v>
      </c>
      <c r="E868">
        <f t="shared" si="160"/>
        <v>97</v>
      </c>
      <c r="F868" s="4">
        <v>45811</v>
      </c>
      <c r="G868" t="s">
        <v>2704</v>
      </c>
      <c r="H868" t="s">
        <v>112</v>
      </c>
      <c r="I868" t="str">
        <f t="shared" si="161"/>
        <v>Priya Menon</v>
      </c>
      <c r="J868" t="s">
        <v>22</v>
      </c>
      <c r="K868" t="str">
        <f t="shared" si="162"/>
        <v>Consumer</v>
      </c>
      <c r="L868" t="s">
        <v>36</v>
      </c>
      <c r="M868" t="str">
        <f t="shared" si="163"/>
        <v>East</v>
      </c>
      <c r="N868" t="s">
        <v>143</v>
      </c>
      <c r="O868" t="str">
        <f t="shared" si="164"/>
        <v>Bihar</v>
      </c>
      <c r="P868" t="s">
        <v>144</v>
      </c>
      <c r="Q868" t="str">
        <f t="shared" si="165"/>
        <v>Patna</v>
      </c>
      <c r="R868" t="s">
        <v>39</v>
      </c>
      <c r="S868" t="str">
        <f t="shared" si="166"/>
        <v>Furniture</v>
      </c>
      <c r="T868" t="s">
        <v>156</v>
      </c>
      <c r="U868" t="str">
        <f t="shared" si="167"/>
        <v>Bookcases</v>
      </c>
      <c r="V868" t="s">
        <v>2705</v>
      </c>
      <c r="X868" t="s">
        <v>48</v>
      </c>
      <c r="Y868" t="str">
        <f t="shared" si="168"/>
        <v>First Class</v>
      </c>
      <c r="Z868">
        <v>9</v>
      </c>
      <c r="AA868">
        <v>3043.37</v>
      </c>
      <c r="AB868">
        <v>0.2</v>
      </c>
      <c r="AC868">
        <v>21912.26</v>
      </c>
      <c r="AD868">
        <v>16367.78</v>
      </c>
      <c r="AE868">
        <v>5544.48</v>
      </c>
      <c r="AF868" t="s">
        <v>109</v>
      </c>
      <c r="AG868" t="str">
        <f t="shared" si="169"/>
        <v>Pending</v>
      </c>
      <c r="AH868" t="s">
        <v>66</v>
      </c>
    </row>
    <row r="869" spans="1:34">
      <c r="A869" t="s">
        <v>2706</v>
      </c>
      <c r="B869">
        <f>COUNTIF($A:$A,A869)</f>
        <v>1</v>
      </c>
      <c r="C869" t="str">
        <f t="shared" si="159"/>
        <v>Unique</v>
      </c>
      <c r="D869" s="4">
        <v>45617</v>
      </c>
      <c r="E869">
        <f t="shared" si="160"/>
        <v>1</v>
      </c>
      <c r="F869" s="4">
        <v>45618</v>
      </c>
      <c r="G869" t="s">
        <v>2707</v>
      </c>
      <c r="H869" t="s">
        <v>116</v>
      </c>
      <c r="I869" t="str">
        <f t="shared" si="161"/>
        <v>Rahul Verma</v>
      </c>
      <c r="J869" t="s">
        <v>93</v>
      </c>
      <c r="K869" t="str">
        <f t="shared" si="162"/>
        <v>Home Office</v>
      </c>
      <c r="L869" t="s">
        <v>52</v>
      </c>
      <c r="M869" t="str">
        <f t="shared" si="163"/>
        <v>South</v>
      </c>
      <c r="N869" t="s">
        <v>82</v>
      </c>
      <c r="O869" t="str">
        <f t="shared" si="164"/>
        <v>Andhra Pradesh</v>
      </c>
      <c r="P869" t="s">
        <v>83</v>
      </c>
      <c r="Q869" t="str">
        <f t="shared" si="165"/>
        <v>Vijayawada</v>
      </c>
      <c r="R869" t="s">
        <v>72</v>
      </c>
      <c r="S869" t="str">
        <f t="shared" si="166"/>
        <v>Technology</v>
      </c>
      <c r="T869" t="s">
        <v>73</v>
      </c>
      <c r="U869" t="str">
        <f t="shared" si="167"/>
        <v>Accessories</v>
      </c>
      <c r="V869" t="s">
        <v>2708</v>
      </c>
      <c r="X869" t="s">
        <v>42</v>
      </c>
      <c r="Y869" t="str">
        <f t="shared" si="168"/>
        <v>Same Day</v>
      </c>
      <c r="Z869">
        <v>6</v>
      </c>
      <c r="AA869">
        <v>1043.49</v>
      </c>
      <c r="AB869">
        <v>0.25</v>
      </c>
      <c r="AC869">
        <v>4695.7</v>
      </c>
      <c r="AD869">
        <v>3871.69</v>
      </c>
      <c r="AE869">
        <v>824.01</v>
      </c>
      <c r="AF869" t="s">
        <v>153</v>
      </c>
      <c r="AG869" t="str">
        <f t="shared" si="169"/>
        <v>Failed</v>
      </c>
      <c r="AH869" t="s">
        <v>66</v>
      </c>
    </row>
    <row r="870" spans="1:34">
      <c r="A870" t="s">
        <v>2709</v>
      </c>
      <c r="B870">
        <f>COUNTIF($A:$A,A870)</f>
        <v>1</v>
      </c>
      <c r="C870" t="str">
        <f t="shared" si="159"/>
        <v>Unique</v>
      </c>
      <c r="D870" s="4">
        <v>45965</v>
      </c>
      <c r="E870">
        <f t="shared" si="160"/>
        <v>-203</v>
      </c>
      <c r="F870" s="4">
        <v>45762</v>
      </c>
      <c r="G870" t="s">
        <v>2710</v>
      </c>
      <c r="H870" t="s">
        <v>69</v>
      </c>
      <c r="I870" t="str">
        <f t="shared" si="161"/>
        <v>Vikram Iyer</v>
      </c>
      <c r="J870" t="s">
        <v>93</v>
      </c>
      <c r="K870" t="str">
        <f t="shared" si="162"/>
        <v>Home Office</v>
      </c>
      <c r="L870" t="s">
        <v>52</v>
      </c>
      <c r="M870" t="str">
        <f t="shared" si="163"/>
        <v>South</v>
      </c>
      <c r="N870" t="s">
        <v>173</v>
      </c>
      <c r="O870" t="str">
        <f t="shared" si="164"/>
        <v>Karnataka</v>
      </c>
      <c r="P870" t="s">
        <v>174</v>
      </c>
      <c r="Q870" t="str">
        <f t="shared" si="165"/>
        <v>Bengaluru</v>
      </c>
      <c r="R870" t="s">
        <v>26</v>
      </c>
      <c r="S870" t="str">
        <f t="shared" si="166"/>
        <v>Office Supplies</v>
      </c>
      <c r="T870" t="s">
        <v>122</v>
      </c>
      <c r="U870" t="str">
        <f t="shared" si="167"/>
        <v>Storage</v>
      </c>
      <c r="V870" t="s">
        <v>2711</v>
      </c>
      <c r="X870" t="s">
        <v>42</v>
      </c>
      <c r="Y870" t="str">
        <f t="shared" si="168"/>
        <v>Same Day</v>
      </c>
      <c r="Z870">
        <v>9</v>
      </c>
      <c r="AA870">
        <v>224.94</v>
      </c>
      <c r="AB870">
        <v>0.05</v>
      </c>
      <c r="AC870">
        <v>1923.24</v>
      </c>
      <c r="AD870">
        <v>1093.6600000000001</v>
      </c>
      <c r="AE870">
        <v>829.58</v>
      </c>
      <c r="AF870" t="s">
        <v>30</v>
      </c>
      <c r="AG870" t="str">
        <f t="shared" si="169"/>
        <v>Paid</v>
      </c>
      <c r="AH870" t="s">
        <v>31</v>
      </c>
    </row>
    <row r="871" spans="1:34">
      <c r="A871" t="s">
        <v>2712</v>
      </c>
      <c r="B871">
        <f>COUNTIF($A:$A,A871)</f>
        <v>1</v>
      </c>
      <c r="C871" t="str">
        <f t="shared" si="159"/>
        <v>Unique</v>
      </c>
      <c r="D871" s="4">
        <v>45722</v>
      </c>
      <c r="E871">
        <f t="shared" si="160"/>
        <v>119</v>
      </c>
      <c r="F871" s="4">
        <v>45841</v>
      </c>
      <c r="G871" t="s">
        <v>2713</v>
      </c>
      <c r="H871" t="s">
        <v>139</v>
      </c>
      <c r="I871" t="str">
        <f t="shared" si="161"/>
        <v>Rohan Mehta</v>
      </c>
      <c r="J871" t="s">
        <v>93</v>
      </c>
      <c r="K871" t="str">
        <f t="shared" si="162"/>
        <v>Home Office</v>
      </c>
      <c r="M871" t="s">
        <v>2828</v>
      </c>
      <c r="N871" t="s">
        <v>349</v>
      </c>
      <c r="O871" t="str">
        <f t="shared" si="164"/>
        <v>Delhi</v>
      </c>
      <c r="P871" t="s">
        <v>350</v>
      </c>
      <c r="Q871" t="str">
        <f t="shared" si="165"/>
        <v>New Delhi</v>
      </c>
      <c r="R871" t="s">
        <v>39</v>
      </c>
      <c r="S871" t="str">
        <f t="shared" si="166"/>
        <v>Furniture</v>
      </c>
      <c r="T871" t="s">
        <v>64</v>
      </c>
      <c r="U871" t="str">
        <f t="shared" si="167"/>
        <v>Chairs</v>
      </c>
      <c r="V871" t="s">
        <v>1162</v>
      </c>
      <c r="X871" t="s">
        <v>42</v>
      </c>
      <c r="Y871" t="str">
        <f t="shared" si="168"/>
        <v>Same Day</v>
      </c>
      <c r="Z871">
        <v>6</v>
      </c>
      <c r="AA871">
        <v>796.65</v>
      </c>
      <c r="AB871">
        <v>0.1</v>
      </c>
      <c r="AC871">
        <v>4301.91</v>
      </c>
      <c r="AD871">
        <v>2374.4</v>
      </c>
      <c r="AE871">
        <v>1927.51</v>
      </c>
      <c r="AF871" t="s">
        <v>30</v>
      </c>
      <c r="AG871" t="str">
        <f t="shared" si="169"/>
        <v>Paid</v>
      </c>
      <c r="AH871" t="s">
        <v>31</v>
      </c>
    </row>
    <row r="872" spans="1:34">
      <c r="A872" t="s">
        <v>2714</v>
      </c>
      <c r="B872">
        <f>COUNTIF($A:$A,A872)</f>
        <v>1</v>
      </c>
      <c r="C872" t="str">
        <f t="shared" si="159"/>
        <v>Unique</v>
      </c>
      <c r="D872" s="4">
        <v>45814</v>
      </c>
      <c r="E872">
        <f t="shared" si="160"/>
        <v>30</v>
      </c>
      <c r="F872" s="4">
        <v>45844</v>
      </c>
      <c r="G872" t="s">
        <v>2715</v>
      </c>
      <c r="H872" t="s">
        <v>69</v>
      </c>
      <c r="I872" t="str">
        <f t="shared" si="161"/>
        <v>Vikram Iyer</v>
      </c>
      <c r="J872" t="s">
        <v>88</v>
      </c>
      <c r="K872" t="str">
        <f t="shared" si="162"/>
        <v>Corporate</v>
      </c>
      <c r="L872" t="s">
        <v>61</v>
      </c>
      <c r="M872" t="str">
        <f t="shared" ref="M872:M881" si="170">PROPER(TRIM(L872))</f>
        <v>West</v>
      </c>
      <c r="N872" t="s">
        <v>188</v>
      </c>
      <c r="O872" t="str">
        <f t="shared" si="164"/>
        <v>Goa</v>
      </c>
      <c r="P872" t="s">
        <v>189</v>
      </c>
      <c r="Q872" t="str">
        <f t="shared" si="165"/>
        <v>Panaji</v>
      </c>
      <c r="R872" t="s">
        <v>39</v>
      </c>
      <c r="S872" t="str">
        <f t="shared" si="166"/>
        <v>Furniture</v>
      </c>
      <c r="T872" t="s">
        <v>40</v>
      </c>
      <c r="U872" t="str">
        <f t="shared" si="167"/>
        <v>Tables</v>
      </c>
      <c r="V872" t="s">
        <v>2716</v>
      </c>
      <c r="X872" t="s">
        <v>57</v>
      </c>
      <c r="Y872" t="str">
        <f t="shared" si="168"/>
        <v>Standard Class</v>
      </c>
      <c r="Z872">
        <v>9</v>
      </c>
      <c r="AA872">
        <v>2932.92</v>
      </c>
      <c r="AB872">
        <v>0.15</v>
      </c>
      <c r="AC872">
        <v>22436.84</v>
      </c>
      <c r="AD872">
        <v>17454.669999999998</v>
      </c>
      <c r="AE872">
        <v>4982.17</v>
      </c>
      <c r="AF872" t="s">
        <v>30</v>
      </c>
      <c r="AG872" t="str">
        <f t="shared" si="169"/>
        <v>Paid</v>
      </c>
      <c r="AH872" t="s">
        <v>66</v>
      </c>
    </row>
    <row r="873" spans="1:34">
      <c r="A873" t="s">
        <v>2717</v>
      </c>
      <c r="B873">
        <f>COUNTIF($A:$A,A873)</f>
        <v>1</v>
      </c>
      <c r="C873" t="str">
        <f t="shared" si="159"/>
        <v>Unique</v>
      </c>
      <c r="D873" s="4">
        <v>45342</v>
      </c>
      <c r="E873">
        <f t="shared" si="160"/>
        <v>2</v>
      </c>
      <c r="F873" s="4">
        <v>45344</v>
      </c>
      <c r="G873" t="s">
        <v>2586</v>
      </c>
      <c r="H873" t="s">
        <v>77</v>
      </c>
      <c r="I873" t="str">
        <f t="shared" si="161"/>
        <v>Neha Gupta</v>
      </c>
      <c r="J873" t="s">
        <v>35</v>
      </c>
      <c r="K873" t="str">
        <f t="shared" si="162"/>
        <v>Small Business</v>
      </c>
      <c r="L873" t="s">
        <v>52</v>
      </c>
      <c r="M873" t="str">
        <f t="shared" si="170"/>
        <v>South</v>
      </c>
      <c r="N873" t="s">
        <v>53</v>
      </c>
      <c r="O873" t="str">
        <f t="shared" si="164"/>
        <v>Telangana</v>
      </c>
      <c r="P873" t="s">
        <v>54</v>
      </c>
      <c r="Q873" t="str">
        <f t="shared" si="165"/>
        <v>Hyderabad</v>
      </c>
      <c r="R873" t="s">
        <v>72</v>
      </c>
      <c r="S873" t="str">
        <f t="shared" si="166"/>
        <v>Technology</v>
      </c>
      <c r="T873" t="s">
        <v>73</v>
      </c>
      <c r="U873" t="str">
        <f t="shared" si="167"/>
        <v>Accessories</v>
      </c>
      <c r="V873" t="s">
        <v>2718</v>
      </c>
      <c r="X873" t="s">
        <v>48</v>
      </c>
      <c r="Y873" t="str">
        <f t="shared" si="168"/>
        <v>First Class</v>
      </c>
      <c r="Z873">
        <v>9</v>
      </c>
      <c r="AA873">
        <v>2186.23</v>
      </c>
      <c r="AB873">
        <v>0</v>
      </c>
      <c r="AC873">
        <v>19676.07</v>
      </c>
      <c r="AD873">
        <v>12458.62</v>
      </c>
      <c r="AE873">
        <v>7217.45</v>
      </c>
      <c r="AF873" t="s">
        <v>100</v>
      </c>
      <c r="AG873" t="str">
        <f t="shared" si="169"/>
        <v>Refunded</v>
      </c>
      <c r="AH873" t="s">
        <v>66</v>
      </c>
    </row>
    <row r="874" spans="1:34">
      <c r="A874" t="s">
        <v>2719</v>
      </c>
      <c r="B874">
        <f>COUNTIF($A:$A,A874)</f>
        <v>1</v>
      </c>
      <c r="C874" t="str">
        <f t="shared" si="159"/>
        <v>Unique</v>
      </c>
      <c r="D874" s="4">
        <v>45597</v>
      </c>
      <c r="E874">
        <f t="shared" si="160"/>
        <v>-264</v>
      </c>
      <c r="F874" s="4">
        <v>45333</v>
      </c>
      <c r="G874" t="s">
        <v>1986</v>
      </c>
      <c r="H874" t="s">
        <v>21</v>
      </c>
      <c r="I874" t="str">
        <f t="shared" si="161"/>
        <v>Karan Malhotra</v>
      </c>
      <c r="J874" t="s">
        <v>88</v>
      </c>
      <c r="K874" t="str">
        <f t="shared" si="162"/>
        <v>Corporate</v>
      </c>
      <c r="L874" t="s">
        <v>36</v>
      </c>
      <c r="M874" t="str">
        <f t="shared" si="170"/>
        <v>East</v>
      </c>
      <c r="N874" t="s">
        <v>97</v>
      </c>
      <c r="O874" t="str">
        <f t="shared" si="164"/>
        <v>West Bengal</v>
      </c>
      <c r="P874" t="s">
        <v>98</v>
      </c>
      <c r="Q874" t="str">
        <f t="shared" si="165"/>
        <v>Kolkata</v>
      </c>
      <c r="R874" t="s">
        <v>39</v>
      </c>
      <c r="S874" t="str">
        <f t="shared" si="166"/>
        <v>Furniture</v>
      </c>
      <c r="T874" t="s">
        <v>55</v>
      </c>
      <c r="U874" t="str">
        <f t="shared" si="167"/>
        <v>Furnishings</v>
      </c>
      <c r="V874" t="s">
        <v>2720</v>
      </c>
      <c r="X874" t="s">
        <v>57</v>
      </c>
      <c r="Y874" t="str">
        <f t="shared" si="168"/>
        <v>Standard Class</v>
      </c>
      <c r="Z874">
        <v>5</v>
      </c>
      <c r="AA874">
        <v>2212.02</v>
      </c>
      <c r="AB874">
        <v>0.2</v>
      </c>
      <c r="AC874">
        <v>8848.08</v>
      </c>
      <c r="AD874">
        <v>5691.56</v>
      </c>
      <c r="AE874">
        <v>3156.52</v>
      </c>
      <c r="AF874" t="s">
        <v>30</v>
      </c>
      <c r="AG874" t="str">
        <f t="shared" si="169"/>
        <v>Paid</v>
      </c>
      <c r="AH874" t="s">
        <v>31</v>
      </c>
    </row>
    <row r="875" spans="1:34">
      <c r="A875" t="s">
        <v>2721</v>
      </c>
      <c r="B875">
        <f>COUNTIF($A:$A,A875)</f>
        <v>1</v>
      </c>
      <c r="C875" t="str">
        <f t="shared" si="159"/>
        <v>Unique</v>
      </c>
      <c r="D875" s="4">
        <v>45659</v>
      </c>
      <c r="E875">
        <f t="shared" si="160"/>
        <v>212</v>
      </c>
      <c r="F875" s="4">
        <v>45871</v>
      </c>
      <c r="G875" t="s">
        <v>2722</v>
      </c>
      <c r="H875" t="s">
        <v>87</v>
      </c>
      <c r="I875" t="str">
        <f t="shared" si="161"/>
        <v>Aditi Sen</v>
      </c>
      <c r="J875" t="s">
        <v>93</v>
      </c>
      <c r="K875" t="str">
        <f t="shared" si="162"/>
        <v>Home Office</v>
      </c>
      <c r="L875" t="s">
        <v>61</v>
      </c>
      <c r="M875" t="str">
        <f t="shared" si="170"/>
        <v>West</v>
      </c>
      <c r="N875" t="s">
        <v>178</v>
      </c>
      <c r="O875" t="str">
        <f t="shared" si="164"/>
        <v>Gujarat</v>
      </c>
      <c r="P875" t="s">
        <v>179</v>
      </c>
      <c r="Q875" t="str">
        <f t="shared" si="165"/>
        <v>Ahmedabad</v>
      </c>
      <c r="R875" t="s">
        <v>26</v>
      </c>
      <c r="S875" t="str">
        <f t="shared" si="166"/>
        <v>Office Supplies</v>
      </c>
      <c r="T875" t="s">
        <v>122</v>
      </c>
      <c r="U875" t="str">
        <f t="shared" si="167"/>
        <v>Storage</v>
      </c>
      <c r="V875" t="s">
        <v>2723</v>
      </c>
      <c r="X875" t="s">
        <v>29</v>
      </c>
      <c r="Y875" t="str">
        <f t="shared" si="168"/>
        <v>Second Class</v>
      </c>
      <c r="Z875">
        <v>8</v>
      </c>
      <c r="AA875">
        <v>623.30999999999995</v>
      </c>
      <c r="AB875">
        <v>0.1</v>
      </c>
      <c r="AC875">
        <v>4487.83</v>
      </c>
      <c r="AD875">
        <v>2633.78</v>
      </c>
      <c r="AE875">
        <v>1854.05</v>
      </c>
      <c r="AF875" t="s">
        <v>30</v>
      </c>
      <c r="AG875" t="str">
        <f t="shared" si="169"/>
        <v>Paid</v>
      </c>
      <c r="AH875" t="s">
        <v>31</v>
      </c>
    </row>
    <row r="876" spans="1:34">
      <c r="A876" t="s">
        <v>2724</v>
      </c>
      <c r="B876">
        <f>COUNTIF($A:$A,A876)</f>
        <v>1</v>
      </c>
      <c r="C876" t="str">
        <f t="shared" si="159"/>
        <v>Unique</v>
      </c>
      <c r="D876" s="4">
        <v>45853</v>
      </c>
      <c r="E876">
        <f t="shared" si="160"/>
        <v>1</v>
      </c>
      <c r="F876" s="4">
        <v>45854</v>
      </c>
      <c r="G876" t="s">
        <v>2725</v>
      </c>
      <c r="H876" t="s">
        <v>69</v>
      </c>
      <c r="I876" t="str">
        <f t="shared" si="161"/>
        <v>Vikram Iyer</v>
      </c>
      <c r="J876" t="s">
        <v>35</v>
      </c>
      <c r="K876" t="str">
        <f t="shared" si="162"/>
        <v>Small Business</v>
      </c>
      <c r="L876" t="s">
        <v>61</v>
      </c>
      <c r="M876" t="str">
        <f t="shared" si="170"/>
        <v>West</v>
      </c>
      <c r="N876" t="s">
        <v>62</v>
      </c>
      <c r="O876" t="str">
        <f t="shared" si="164"/>
        <v>Maharashtra</v>
      </c>
      <c r="P876" t="s">
        <v>63</v>
      </c>
      <c r="Q876" t="str">
        <f t="shared" si="165"/>
        <v>Mumbai</v>
      </c>
      <c r="R876" t="s">
        <v>26</v>
      </c>
      <c r="S876" t="str">
        <f t="shared" si="166"/>
        <v>Office Supplies</v>
      </c>
      <c r="T876" t="s">
        <v>27</v>
      </c>
      <c r="U876" t="str">
        <f t="shared" si="167"/>
        <v>Paper</v>
      </c>
      <c r="V876" t="s">
        <v>2726</v>
      </c>
      <c r="X876" t="s">
        <v>57</v>
      </c>
      <c r="Y876" t="str">
        <f t="shared" si="168"/>
        <v>Standard Class</v>
      </c>
      <c r="Z876">
        <v>8</v>
      </c>
      <c r="AA876">
        <v>3924.88</v>
      </c>
      <c r="AB876">
        <v>0.05</v>
      </c>
      <c r="AC876">
        <v>29829.09</v>
      </c>
      <c r="AD876">
        <v>20710.18</v>
      </c>
      <c r="AE876">
        <v>9118.91</v>
      </c>
      <c r="AF876" t="s">
        <v>30</v>
      </c>
      <c r="AG876" t="str">
        <f t="shared" si="169"/>
        <v>Paid</v>
      </c>
      <c r="AH876" t="s">
        <v>31</v>
      </c>
    </row>
    <row r="877" spans="1:34">
      <c r="A877" t="s">
        <v>2727</v>
      </c>
      <c r="B877">
        <f>COUNTIF($A:$A,A877)</f>
        <v>1</v>
      </c>
      <c r="C877" t="str">
        <f t="shared" si="159"/>
        <v>Unique</v>
      </c>
      <c r="D877" s="4">
        <v>45573</v>
      </c>
      <c r="E877">
        <f t="shared" si="160"/>
        <v>-58</v>
      </c>
      <c r="F877" s="4">
        <v>45515</v>
      </c>
      <c r="G877" t="s">
        <v>2728</v>
      </c>
      <c r="H877" t="s">
        <v>34</v>
      </c>
      <c r="I877" t="str">
        <f t="shared" si="161"/>
        <v>Mira Das</v>
      </c>
      <c r="J877" t="s">
        <v>88</v>
      </c>
      <c r="K877" t="str">
        <f t="shared" si="162"/>
        <v>Corporate</v>
      </c>
      <c r="L877" t="s">
        <v>61</v>
      </c>
      <c r="M877" t="str">
        <f t="shared" si="170"/>
        <v>West</v>
      </c>
      <c r="N877" t="s">
        <v>62</v>
      </c>
      <c r="O877" t="str">
        <f t="shared" si="164"/>
        <v>Maharashtra</v>
      </c>
      <c r="P877" t="s">
        <v>63</v>
      </c>
      <c r="Q877" t="str">
        <f t="shared" si="165"/>
        <v>Mumbai</v>
      </c>
      <c r="R877" t="s">
        <v>72</v>
      </c>
      <c r="S877" t="str">
        <f t="shared" si="166"/>
        <v>Technology</v>
      </c>
      <c r="T877" t="s">
        <v>78</v>
      </c>
      <c r="U877" t="str">
        <f t="shared" si="167"/>
        <v>Copiers</v>
      </c>
      <c r="V877" t="s">
        <v>2729</v>
      </c>
      <c r="X877" t="s">
        <v>48</v>
      </c>
      <c r="Y877" t="str">
        <f t="shared" si="168"/>
        <v>First Class</v>
      </c>
      <c r="Z877">
        <v>7</v>
      </c>
      <c r="AA877">
        <v>3852.62</v>
      </c>
      <c r="AB877">
        <v>0.2</v>
      </c>
      <c r="AC877">
        <v>21574.67</v>
      </c>
      <c r="AD877">
        <v>14672.83</v>
      </c>
      <c r="AE877">
        <v>6901.84</v>
      </c>
      <c r="AF877" t="s">
        <v>30</v>
      </c>
      <c r="AG877" t="str">
        <f t="shared" si="169"/>
        <v>Paid</v>
      </c>
      <c r="AH877" t="s">
        <v>31</v>
      </c>
    </row>
    <row r="878" spans="1:34">
      <c r="A878" t="s">
        <v>2730</v>
      </c>
      <c r="B878">
        <f>COUNTIF($A:$A,A878)</f>
        <v>1</v>
      </c>
      <c r="C878" t="str">
        <f t="shared" si="159"/>
        <v>Unique</v>
      </c>
      <c r="D878" s="4">
        <v>45614</v>
      </c>
      <c r="E878">
        <f t="shared" si="160"/>
        <v>2</v>
      </c>
      <c r="F878" s="4">
        <v>45616</v>
      </c>
      <c r="G878" t="s">
        <v>2731</v>
      </c>
      <c r="H878" t="s">
        <v>112</v>
      </c>
      <c r="I878" t="str">
        <f t="shared" si="161"/>
        <v>Priya Menon</v>
      </c>
      <c r="J878" t="s">
        <v>22</v>
      </c>
      <c r="K878" t="str">
        <f t="shared" si="162"/>
        <v>Consumer</v>
      </c>
      <c r="L878" t="s">
        <v>61</v>
      </c>
      <c r="M878" t="str">
        <f t="shared" si="170"/>
        <v>West</v>
      </c>
      <c r="N878" t="s">
        <v>24</v>
      </c>
      <c r="O878" t="str">
        <f t="shared" si="164"/>
        <v>Rajasthan</v>
      </c>
      <c r="P878" t="s">
        <v>107</v>
      </c>
      <c r="Q878" t="str">
        <f t="shared" si="165"/>
        <v>Udaipur</v>
      </c>
      <c r="R878" t="s">
        <v>39</v>
      </c>
      <c r="S878" t="str">
        <f t="shared" si="166"/>
        <v>Furniture</v>
      </c>
      <c r="T878" t="s">
        <v>64</v>
      </c>
      <c r="U878" t="str">
        <f t="shared" si="167"/>
        <v>Chairs</v>
      </c>
      <c r="V878" t="s">
        <v>858</v>
      </c>
      <c r="X878" t="s">
        <v>48</v>
      </c>
      <c r="Y878" t="str">
        <f t="shared" si="168"/>
        <v>First Class</v>
      </c>
      <c r="Z878">
        <v>6</v>
      </c>
      <c r="AA878">
        <v>3790.22</v>
      </c>
      <c r="AB878">
        <v>0</v>
      </c>
      <c r="AC878">
        <v>22741.32</v>
      </c>
      <c r="AD878">
        <v>16388.57</v>
      </c>
      <c r="AE878">
        <v>6352.75</v>
      </c>
      <c r="AF878" t="s">
        <v>30</v>
      </c>
      <c r="AG878" t="str">
        <f t="shared" si="169"/>
        <v>Paid</v>
      </c>
      <c r="AH878" t="s">
        <v>31</v>
      </c>
    </row>
    <row r="879" spans="1:34">
      <c r="A879" t="s">
        <v>2732</v>
      </c>
      <c r="B879">
        <f>COUNTIF($A:$A,A879)</f>
        <v>1</v>
      </c>
      <c r="C879" t="str">
        <f t="shared" si="159"/>
        <v>Unique</v>
      </c>
      <c r="D879" s="4">
        <v>45895</v>
      </c>
      <c r="E879">
        <f t="shared" si="160"/>
        <v>-170</v>
      </c>
      <c r="F879" s="4">
        <v>45725</v>
      </c>
      <c r="G879" t="s">
        <v>2733</v>
      </c>
      <c r="H879" t="s">
        <v>126</v>
      </c>
      <c r="I879" t="str">
        <f t="shared" si="161"/>
        <v>Aarav Sharma</v>
      </c>
      <c r="J879" t="s">
        <v>22</v>
      </c>
      <c r="K879" t="str">
        <f t="shared" si="162"/>
        <v>Consumer</v>
      </c>
      <c r="L879" t="s">
        <v>61</v>
      </c>
      <c r="M879" t="str">
        <f t="shared" si="170"/>
        <v>West</v>
      </c>
      <c r="N879" t="s">
        <v>24</v>
      </c>
      <c r="O879" t="str">
        <f t="shared" si="164"/>
        <v>Rajasthan</v>
      </c>
      <c r="P879" t="s">
        <v>107</v>
      </c>
      <c r="Q879" t="str">
        <f t="shared" si="165"/>
        <v>Udaipur</v>
      </c>
      <c r="R879" t="s">
        <v>26</v>
      </c>
      <c r="S879" t="str">
        <f t="shared" si="166"/>
        <v>Office Supplies</v>
      </c>
      <c r="T879" t="s">
        <v>122</v>
      </c>
      <c r="U879" t="str">
        <f t="shared" si="167"/>
        <v>Storage</v>
      </c>
      <c r="V879" t="s">
        <v>2734</v>
      </c>
      <c r="X879" t="s">
        <v>29</v>
      </c>
      <c r="Y879" t="str">
        <f t="shared" si="168"/>
        <v>Second Class</v>
      </c>
      <c r="Z879">
        <v>6</v>
      </c>
      <c r="AA879">
        <v>674.36</v>
      </c>
      <c r="AB879">
        <v>0.1</v>
      </c>
      <c r="AC879">
        <v>3641.54</v>
      </c>
      <c r="AD879">
        <v>2690.37</v>
      </c>
      <c r="AE879">
        <v>951.17</v>
      </c>
      <c r="AF879" t="s">
        <v>30</v>
      </c>
      <c r="AG879" t="str">
        <f t="shared" si="169"/>
        <v>Paid</v>
      </c>
      <c r="AH879" t="s">
        <v>31</v>
      </c>
    </row>
    <row r="880" spans="1:34">
      <c r="A880" t="s">
        <v>2735</v>
      </c>
      <c r="B880">
        <f>COUNTIF($A:$A,A880)</f>
        <v>1</v>
      </c>
      <c r="C880" t="str">
        <f t="shared" si="159"/>
        <v>Unique</v>
      </c>
      <c r="D880" s="4">
        <v>45313</v>
      </c>
      <c r="E880">
        <f t="shared" si="160"/>
        <v>0</v>
      </c>
      <c r="F880" s="4">
        <v>45313</v>
      </c>
      <c r="G880" t="s">
        <v>2736</v>
      </c>
      <c r="H880" t="s">
        <v>21</v>
      </c>
      <c r="I880" t="str">
        <f t="shared" si="161"/>
        <v>Karan Malhotra</v>
      </c>
      <c r="J880" t="s">
        <v>88</v>
      </c>
      <c r="K880" t="str">
        <f t="shared" si="162"/>
        <v>Corporate</v>
      </c>
      <c r="L880" t="s">
        <v>36</v>
      </c>
      <c r="M880" t="str">
        <f t="shared" si="170"/>
        <v>East</v>
      </c>
      <c r="N880" t="s">
        <v>97</v>
      </c>
      <c r="O880" t="str">
        <f t="shared" si="164"/>
        <v>West Bengal</v>
      </c>
      <c r="P880" t="s">
        <v>98</v>
      </c>
      <c r="Q880" t="str">
        <f t="shared" si="165"/>
        <v>Kolkata</v>
      </c>
      <c r="R880" t="s">
        <v>26</v>
      </c>
      <c r="S880" t="str">
        <f t="shared" si="166"/>
        <v>Office Supplies</v>
      </c>
      <c r="T880" t="s">
        <v>27</v>
      </c>
      <c r="U880" t="str">
        <f t="shared" si="167"/>
        <v>Paper</v>
      </c>
      <c r="V880" t="s">
        <v>2737</v>
      </c>
      <c r="X880" t="s">
        <v>48</v>
      </c>
      <c r="Y880" t="str">
        <f t="shared" si="168"/>
        <v>First Class</v>
      </c>
      <c r="Z880">
        <v>8</v>
      </c>
      <c r="AA880">
        <v>1557.21</v>
      </c>
      <c r="AB880">
        <v>0.05</v>
      </c>
      <c r="AC880">
        <v>11834.8</v>
      </c>
      <c r="AD880">
        <v>9322.36</v>
      </c>
      <c r="AE880">
        <v>2512.44</v>
      </c>
      <c r="AF880" t="s">
        <v>30</v>
      </c>
      <c r="AG880" t="str">
        <f t="shared" si="169"/>
        <v>Paid</v>
      </c>
      <c r="AH880" t="s">
        <v>31</v>
      </c>
    </row>
    <row r="881" spans="1:34">
      <c r="A881" t="s">
        <v>2738</v>
      </c>
      <c r="B881">
        <f>COUNTIF($A:$A,A881)</f>
        <v>1</v>
      </c>
      <c r="C881" t="str">
        <f t="shared" si="159"/>
        <v>Unique</v>
      </c>
      <c r="D881" s="4">
        <v>45896</v>
      </c>
      <c r="E881">
        <f t="shared" si="160"/>
        <v>1</v>
      </c>
      <c r="F881" s="4">
        <v>45897</v>
      </c>
      <c r="G881" t="s">
        <v>2739</v>
      </c>
      <c r="H881" t="s">
        <v>60</v>
      </c>
      <c r="I881" t="str">
        <f t="shared" si="161"/>
        <v>Ananya Rao</v>
      </c>
      <c r="J881" t="s">
        <v>93</v>
      </c>
      <c r="K881" t="str">
        <f t="shared" si="162"/>
        <v>Home Office</v>
      </c>
      <c r="L881" t="s">
        <v>23</v>
      </c>
      <c r="M881" t="str">
        <f t="shared" si="170"/>
        <v>North</v>
      </c>
      <c r="N881" t="s">
        <v>134</v>
      </c>
      <c r="O881" t="str">
        <f t="shared" si="164"/>
        <v>Uttar Pradesh</v>
      </c>
      <c r="P881" t="s">
        <v>135</v>
      </c>
      <c r="Q881" t="str">
        <f t="shared" si="165"/>
        <v>Noida</v>
      </c>
      <c r="R881" t="s">
        <v>26</v>
      </c>
      <c r="S881" t="str">
        <f t="shared" si="166"/>
        <v>Office Supplies</v>
      </c>
      <c r="T881" t="s">
        <v>46</v>
      </c>
      <c r="U881" t="str">
        <f t="shared" si="167"/>
        <v>Art</v>
      </c>
      <c r="V881" t="s">
        <v>2740</v>
      </c>
      <c r="X881" t="s">
        <v>57</v>
      </c>
      <c r="Y881" t="str">
        <f t="shared" si="168"/>
        <v>Standard Class</v>
      </c>
      <c r="Z881">
        <v>6</v>
      </c>
      <c r="AA881">
        <v>1182.03</v>
      </c>
      <c r="AB881">
        <v>0.15</v>
      </c>
      <c r="AC881">
        <v>6028.35</v>
      </c>
      <c r="AD881">
        <v>4433.63</v>
      </c>
      <c r="AE881">
        <v>1594.72</v>
      </c>
      <c r="AF881" t="s">
        <v>30</v>
      </c>
      <c r="AG881" t="str">
        <f t="shared" si="169"/>
        <v>Paid</v>
      </c>
      <c r="AH881" t="s">
        <v>31</v>
      </c>
    </row>
    <row r="882" spans="1:34">
      <c r="A882" t="s">
        <v>2741</v>
      </c>
      <c r="B882">
        <f>COUNTIF($A:$A,A882)</f>
        <v>1</v>
      </c>
      <c r="C882" t="str">
        <f t="shared" si="159"/>
        <v>Unique</v>
      </c>
      <c r="D882" s="4">
        <v>45507</v>
      </c>
      <c r="E882">
        <f t="shared" si="160"/>
        <v>-141</v>
      </c>
      <c r="F882" s="4">
        <v>45366</v>
      </c>
      <c r="G882" t="s">
        <v>2742</v>
      </c>
      <c r="H882" t="s">
        <v>126</v>
      </c>
      <c r="I882" t="str">
        <f t="shared" si="161"/>
        <v>Aarav Sharma</v>
      </c>
      <c r="J882" t="s">
        <v>35</v>
      </c>
      <c r="K882" t="str">
        <f t="shared" si="162"/>
        <v>Small Business</v>
      </c>
      <c r="M882" t="s">
        <v>2828</v>
      </c>
      <c r="N882" t="s">
        <v>120</v>
      </c>
      <c r="O882" t="str">
        <f t="shared" si="164"/>
        <v>Punjab</v>
      </c>
      <c r="P882" t="s">
        <v>121</v>
      </c>
      <c r="Q882" t="str">
        <f t="shared" si="165"/>
        <v>Ludhiana</v>
      </c>
      <c r="R882" t="s">
        <v>39</v>
      </c>
      <c r="S882" t="str">
        <f t="shared" si="166"/>
        <v>Furniture</v>
      </c>
      <c r="T882" t="s">
        <v>64</v>
      </c>
      <c r="U882" t="str">
        <f t="shared" si="167"/>
        <v>Chairs</v>
      </c>
      <c r="V882" t="s">
        <v>2743</v>
      </c>
      <c r="X882" t="s">
        <v>48</v>
      </c>
      <c r="Y882" t="str">
        <f t="shared" si="168"/>
        <v>First Class</v>
      </c>
      <c r="Z882">
        <v>5</v>
      </c>
      <c r="AA882">
        <v>3234.77</v>
      </c>
      <c r="AB882">
        <v>0</v>
      </c>
      <c r="AC882">
        <v>16173.85</v>
      </c>
      <c r="AD882">
        <v>13636.34</v>
      </c>
      <c r="AE882">
        <v>2537.5100000000002</v>
      </c>
      <c r="AF882" t="s">
        <v>30</v>
      </c>
      <c r="AG882" t="str">
        <f t="shared" si="169"/>
        <v>Paid</v>
      </c>
      <c r="AH882" t="s">
        <v>31</v>
      </c>
    </row>
    <row r="883" spans="1:34">
      <c r="A883" t="s">
        <v>2744</v>
      </c>
      <c r="B883">
        <f>COUNTIF($A:$A,A883)</f>
        <v>1</v>
      </c>
      <c r="C883" t="str">
        <f t="shared" si="159"/>
        <v>Unique</v>
      </c>
      <c r="D883" s="4">
        <v>45303</v>
      </c>
      <c r="E883">
        <f t="shared" si="160"/>
        <v>121</v>
      </c>
      <c r="F883" s="4">
        <v>45424</v>
      </c>
      <c r="G883" t="s">
        <v>2745</v>
      </c>
      <c r="H883" t="s">
        <v>60</v>
      </c>
      <c r="I883" t="str">
        <f t="shared" si="161"/>
        <v>Ananya Rao</v>
      </c>
      <c r="J883" t="s">
        <v>35</v>
      </c>
      <c r="K883" t="str">
        <f t="shared" si="162"/>
        <v>Small Business</v>
      </c>
      <c r="L883" t="s">
        <v>52</v>
      </c>
      <c r="M883" t="str">
        <f t="shared" ref="M883:M901" si="171">PROPER(TRIM(L883))</f>
        <v>South</v>
      </c>
      <c r="N883" t="s">
        <v>82</v>
      </c>
      <c r="O883" t="str">
        <f t="shared" si="164"/>
        <v>Andhra Pradesh</v>
      </c>
      <c r="P883" t="s">
        <v>83</v>
      </c>
      <c r="Q883" t="str">
        <f t="shared" si="165"/>
        <v>Vijayawada</v>
      </c>
      <c r="R883" t="s">
        <v>72</v>
      </c>
      <c r="S883" t="str">
        <f t="shared" si="166"/>
        <v>Technology</v>
      </c>
      <c r="T883" t="s">
        <v>78</v>
      </c>
      <c r="U883" t="str">
        <f t="shared" si="167"/>
        <v>Copiers</v>
      </c>
      <c r="V883" t="s">
        <v>2746</v>
      </c>
      <c r="X883" t="s">
        <v>29</v>
      </c>
      <c r="Y883" t="str">
        <f t="shared" si="168"/>
        <v>Second Class</v>
      </c>
      <c r="Z883">
        <v>9</v>
      </c>
      <c r="AA883">
        <v>3726.75</v>
      </c>
      <c r="AB883">
        <v>0.25</v>
      </c>
      <c r="AC883">
        <v>25155.56</v>
      </c>
      <c r="AD883">
        <v>17592.689999999999</v>
      </c>
      <c r="AE883">
        <v>7562.87</v>
      </c>
      <c r="AF883" t="s">
        <v>30</v>
      </c>
      <c r="AG883" t="str">
        <f t="shared" si="169"/>
        <v>Paid</v>
      </c>
      <c r="AH883" t="s">
        <v>31</v>
      </c>
    </row>
    <row r="884" spans="1:34">
      <c r="A884" t="s">
        <v>2747</v>
      </c>
      <c r="B884">
        <f>COUNTIF($A:$A,A884)</f>
        <v>1</v>
      </c>
      <c r="C884" t="str">
        <f t="shared" si="159"/>
        <v>Unique</v>
      </c>
      <c r="D884" s="4">
        <v>45690</v>
      </c>
      <c r="E884">
        <f t="shared" si="160"/>
        <v>8</v>
      </c>
      <c r="F884" s="4">
        <v>45698</v>
      </c>
      <c r="G884" t="s">
        <v>2748</v>
      </c>
      <c r="H884" t="s">
        <v>130</v>
      </c>
      <c r="I884" t="str">
        <f t="shared" si="161"/>
        <v>Sneha Kapoor</v>
      </c>
      <c r="J884" t="s">
        <v>88</v>
      </c>
      <c r="K884" t="str">
        <f t="shared" si="162"/>
        <v>Corporate</v>
      </c>
      <c r="L884" t="s">
        <v>36</v>
      </c>
      <c r="M884" t="str">
        <f t="shared" si="171"/>
        <v>East</v>
      </c>
      <c r="N884" t="s">
        <v>143</v>
      </c>
      <c r="O884" t="str">
        <f t="shared" si="164"/>
        <v>Bihar</v>
      </c>
      <c r="P884" t="s">
        <v>144</v>
      </c>
      <c r="Q884" t="str">
        <f t="shared" si="165"/>
        <v>Patna</v>
      </c>
      <c r="R884" t="s">
        <v>72</v>
      </c>
      <c r="S884" t="str">
        <f t="shared" si="166"/>
        <v>Technology</v>
      </c>
      <c r="T884" t="s">
        <v>73</v>
      </c>
      <c r="U884" t="str">
        <f t="shared" si="167"/>
        <v>Accessories</v>
      </c>
      <c r="V884" t="s">
        <v>2749</v>
      </c>
      <c r="X884" t="s">
        <v>57</v>
      </c>
      <c r="Y884" t="str">
        <f t="shared" si="168"/>
        <v>Standard Class</v>
      </c>
      <c r="Z884">
        <v>4</v>
      </c>
      <c r="AA884">
        <v>1912.45</v>
      </c>
      <c r="AB884">
        <v>0</v>
      </c>
      <c r="AC884">
        <v>7649.8</v>
      </c>
      <c r="AD884">
        <v>4894.53</v>
      </c>
      <c r="AE884">
        <v>2755.27</v>
      </c>
      <c r="AF884" t="s">
        <v>109</v>
      </c>
      <c r="AG884" t="str">
        <f t="shared" si="169"/>
        <v>Pending</v>
      </c>
      <c r="AH884" t="s">
        <v>101</v>
      </c>
    </row>
    <row r="885" spans="1:34">
      <c r="A885" t="s">
        <v>2750</v>
      </c>
      <c r="B885">
        <f>COUNTIF($A:$A,A885)</f>
        <v>1</v>
      </c>
      <c r="C885" t="str">
        <f t="shared" si="159"/>
        <v>Unique</v>
      </c>
      <c r="D885" s="4">
        <v>45775</v>
      </c>
      <c r="E885">
        <f t="shared" si="160"/>
        <v>3</v>
      </c>
      <c r="F885" s="4">
        <v>45778</v>
      </c>
      <c r="G885" t="s">
        <v>2751</v>
      </c>
      <c r="H885" t="s">
        <v>126</v>
      </c>
      <c r="I885" t="str">
        <f t="shared" si="161"/>
        <v>Aarav Sharma</v>
      </c>
      <c r="J885" t="s">
        <v>35</v>
      </c>
      <c r="K885" t="str">
        <f t="shared" si="162"/>
        <v>Small Business</v>
      </c>
      <c r="L885" t="s">
        <v>61</v>
      </c>
      <c r="M885" t="str">
        <f t="shared" si="171"/>
        <v>West</v>
      </c>
      <c r="N885" t="s">
        <v>188</v>
      </c>
      <c r="O885" t="str">
        <f t="shared" si="164"/>
        <v>Goa</v>
      </c>
      <c r="P885" t="s">
        <v>189</v>
      </c>
      <c r="Q885" t="str">
        <f t="shared" si="165"/>
        <v>Panaji</v>
      </c>
      <c r="R885" t="s">
        <v>26</v>
      </c>
      <c r="S885" t="str">
        <f t="shared" si="166"/>
        <v>Office Supplies</v>
      </c>
      <c r="T885" t="s">
        <v>122</v>
      </c>
      <c r="U885" t="str">
        <f t="shared" si="167"/>
        <v>Storage</v>
      </c>
      <c r="V885" t="s">
        <v>2752</v>
      </c>
      <c r="X885" t="s">
        <v>42</v>
      </c>
      <c r="Y885" t="str">
        <f t="shared" si="168"/>
        <v>Same Day</v>
      </c>
      <c r="Z885">
        <v>1</v>
      </c>
      <c r="AA885">
        <v>1620.87</v>
      </c>
      <c r="AB885">
        <v>0</v>
      </c>
      <c r="AC885">
        <v>1620.87</v>
      </c>
      <c r="AD885">
        <v>1103.6099999999999</v>
      </c>
      <c r="AE885">
        <v>517.26</v>
      </c>
      <c r="AF885" t="s">
        <v>30</v>
      </c>
      <c r="AG885" t="str">
        <f t="shared" si="169"/>
        <v>Paid</v>
      </c>
      <c r="AH885" t="s">
        <v>31</v>
      </c>
    </row>
    <row r="886" spans="1:34">
      <c r="A886" t="s">
        <v>2753</v>
      </c>
      <c r="B886">
        <f>COUNTIF($A:$A,A886)</f>
        <v>1</v>
      </c>
      <c r="C886" t="str">
        <f t="shared" si="159"/>
        <v>Unique</v>
      </c>
      <c r="D886" s="4">
        <v>45675</v>
      </c>
      <c r="E886">
        <f t="shared" si="160"/>
        <v>7</v>
      </c>
      <c r="F886" s="4">
        <v>45682</v>
      </c>
      <c r="G886" t="s">
        <v>2754</v>
      </c>
      <c r="H886" t="s">
        <v>77</v>
      </c>
      <c r="I886" t="str">
        <f t="shared" si="161"/>
        <v>Neha Gupta</v>
      </c>
      <c r="J886" t="s">
        <v>93</v>
      </c>
      <c r="K886" t="str">
        <f t="shared" si="162"/>
        <v>Home Office</v>
      </c>
      <c r="L886" t="s">
        <v>52</v>
      </c>
      <c r="M886" t="str">
        <f t="shared" si="171"/>
        <v>South</v>
      </c>
      <c r="N886" t="s">
        <v>173</v>
      </c>
      <c r="O886" t="str">
        <f t="shared" si="164"/>
        <v>Karnataka</v>
      </c>
      <c r="P886" t="s">
        <v>174</v>
      </c>
      <c r="Q886" t="str">
        <f t="shared" si="165"/>
        <v>Bengaluru</v>
      </c>
      <c r="R886" t="s">
        <v>26</v>
      </c>
      <c r="S886" t="str">
        <f t="shared" si="166"/>
        <v>Office Supplies</v>
      </c>
      <c r="T886" t="s">
        <v>122</v>
      </c>
      <c r="U886" t="str">
        <f t="shared" si="167"/>
        <v>Storage</v>
      </c>
      <c r="V886" t="s">
        <v>2755</v>
      </c>
      <c r="X886" t="s">
        <v>42</v>
      </c>
      <c r="Y886" t="str">
        <f t="shared" si="168"/>
        <v>Same Day</v>
      </c>
      <c r="Z886">
        <v>2</v>
      </c>
      <c r="AA886">
        <v>2098.54</v>
      </c>
      <c r="AB886">
        <v>0.15</v>
      </c>
      <c r="AC886">
        <v>3567.52</v>
      </c>
      <c r="AD886">
        <v>2411.8000000000002</v>
      </c>
      <c r="AE886">
        <v>1155.72</v>
      </c>
      <c r="AF886" t="s">
        <v>30</v>
      </c>
      <c r="AG886" t="str">
        <f t="shared" si="169"/>
        <v>Paid</v>
      </c>
      <c r="AH886" t="s">
        <v>31</v>
      </c>
    </row>
    <row r="887" spans="1:34">
      <c r="A887" t="s">
        <v>2756</v>
      </c>
      <c r="B887">
        <f>COUNTIF($A:$A,A887)</f>
        <v>1</v>
      </c>
      <c r="C887" t="str">
        <f t="shared" si="159"/>
        <v>Unique</v>
      </c>
      <c r="D887" s="4">
        <v>45413</v>
      </c>
      <c r="E887">
        <f t="shared" si="160"/>
        <v>0</v>
      </c>
      <c r="F887" s="4">
        <v>45413</v>
      </c>
      <c r="G887" t="s">
        <v>2757</v>
      </c>
      <c r="H887" t="s">
        <v>160</v>
      </c>
      <c r="I887" t="str">
        <f t="shared" si="161"/>
        <v>Diya Patel</v>
      </c>
      <c r="J887" t="s">
        <v>22</v>
      </c>
      <c r="K887" t="str">
        <f t="shared" si="162"/>
        <v>Consumer</v>
      </c>
      <c r="L887" t="s">
        <v>23</v>
      </c>
      <c r="M887" t="str">
        <f t="shared" si="171"/>
        <v>North</v>
      </c>
      <c r="N887" t="s">
        <v>24</v>
      </c>
      <c r="O887" t="str">
        <f t="shared" si="164"/>
        <v>Rajasthan</v>
      </c>
      <c r="P887" t="s">
        <v>25</v>
      </c>
      <c r="Q887" t="str">
        <f t="shared" si="165"/>
        <v>Jaipur</v>
      </c>
      <c r="R887" t="s">
        <v>39</v>
      </c>
      <c r="S887" t="str">
        <f t="shared" si="166"/>
        <v>Furniture</v>
      </c>
      <c r="T887" t="s">
        <v>40</v>
      </c>
      <c r="U887" t="str">
        <f t="shared" si="167"/>
        <v>Tables</v>
      </c>
      <c r="V887" t="s">
        <v>2758</v>
      </c>
      <c r="X887" t="s">
        <v>57</v>
      </c>
      <c r="Y887" t="str">
        <f t="shared" si="168"/>
        <v>Standard Class</v>
      </c>
      <c r="Z887">
        <v>1</v>
      </c>
      <c r="AA887">
        <v>2167.08</v>
      </c>
      <c r="AB887">
        <v>0.25</v>
      </c>
      <c r="AC887">
        <v>1625.31</v>
      </c>
      <c r="AD887">
        <v>1157.8900000000001</v>
      </c>
      <c r="AE887">
        <v>467.42</v>
      </c>
      <c r="AF887" t="s">
        <v>30</v>
      </c>
      <c r="AG887" t="str">
        <f t="shared" si="169"/>
        <v>Paid</v>
      </c>
      <c r="AH887" t="s">
        <v>31</v>
      </c>
    </row>
    <row r="888" spans="1:34">
      <c r="A888" t="s">
        <v>2759</v>
      </c>
      <c r="B888">
        <f>COUNTIF($A:$A,A888)</f>
        <v>1</v>
      </c>
      <c r="C888" t="str">
        <f t="shared" si="159"/>
        <v>Unique</v>
      </c>
      <c r="D888" s="4">
        <v>45773</v>
      </c>
      <c r="E888">
        <f t="shared" si="160"/>
        <v>-52</v>
      </c>
      <c r="F888" s="4">
        <v>45721</v>
      </c>
      <c r="G888" t="s">
        <v>2760</v>
      </c>
      <c r="H888" t="s">
        <v>51</v>
      </c>
      <c r="I888" t="str">
        <f t="shared" si="161"/>
        <v>Arjun Bose</v>
      </c>
      <c r="J888" t="s">
        <v>93</v>
      </c>
      <c r="K888" t="str">
        <f t="shared" si="162"/>
        <v>Home Office</v>
      </c>
      <c r="L888" t="s">
        <v>52</v>
      </c>
      <c r="M888" t="str">
        <f t="shared" si="171"/>
        <v>South</v>
      </c>
      <c r="N888" t="s">
        <v>246</v>
      </c>
      <c r="O888" t="str">
        <f t="shared" si="164"/>
        <v>Tamil Nadu</v>
      </c>
      <c r="P888" t="s">
        <v>247</v>
      </c>
      <c r="Q888" t="str">
        <f t="shared" si="165"/>
        <v>Chennai</v>
      </c>
      <c r="R888" t="s">
        <v>72</v>
      </c>
      <c r="S888" t="str">
        <f t="shared" si="166"/>
        <v>Technology</v>
      </c>
      <c r="T888" t="s">
        <v>73</v>
      </c>
      <c r="U888" t="str">
        <f t="shared" si="167"/>
        <v>Accessories</v>
      </c>
      <c r="V888" t="s">
        <v>2761</v>
      </c>
      <c r="X888" t="s">
        <v>48</v>
      </c>
      <c r="Y888" t="str">
        <f t="shared" si="168"/>
        <v>First Class</v>
      </c>
      <c r="Z888">
        <v>7</v>
      </c>
      <c r="AA888">
        <v>3989.9</v>
      </c>
      <c r="AB888">
        <v>0.15</v>
      </c>
      <c r="AC888">
        <v>23739.9</v>
      </c>
      <c r="AD888">
        <v>17716.52</v>
      </c>
      <c r="AE888">
        <v>6023.38</v>
      </c>
      <c r="AF888" t="s">
        <v>30</v>
      </c>
      <c r="AG888" t="str">
        <f t="shared" si="169"/>
        <v>Paid</v>
      </c>
      <c r="AH888" t="s">
        <v>66</v>
      </c>
    </row>
    <row r="889" spans="1:34">
      <c r="A889" t="s">
        <v>2762</v>
      </c>
      <c r="B889">
        <f>COUNTIF($A:$A,A889)</f>
        <v>1</v>
      </c>
      <c r="C889" t="str">
        <f t="shared" si="159"/>
        <v>Unique</v>
      </c>
      <c r="D889" s="4">
        <v>45632</v>
      </c>
      <c r="E889">
        <f t="shared" si="160"/>
        <v>-171</v>
      </c>
      <c r="F889" s="4">
        <v>45461</v>
      </c>
      <c r="G889" t="s">
        <v>2763</v>
      </c>
      <c r="H889" t="s">
        <v>126</v>
      </c>
      <c r="I889" t="str">
        <f t="shared" si="161"/>
        <v>Aarav Sharma</v>
      </c>
      <c r="J889" t="s">
        <v>35</v>
      </c>
      <c r="K889" t="str">
        <f t="shared" si="162"/>
        <v>Small Business</v>
      </c>
      <c r="L889" t="s">
        <v>52</v>
      </c>
      <c r="M889" t="str">
        <f t="shared" si="171"/>
        <v>South</v>
      </c>
      <c r="N889" t="s">
        <v>82</v>
      </c>
      <c r="O889" t="str">
        <f t="shared" si="164"/>
        <v>Andhra Pradesh</v>
      </c>
      <c r="P889" t="s">
        <v>83</v>
      </c>
      <c r="Q889" t="str">
        <f t="shared" si="165"/>
        <v>Vijayawada</v>
      </c>
      <c r="R889" t="s">
        <v>26</v>
      </c>
      <c r="S889" t="str">
        <f t="shared" si="166"/>
        <v>Office Supplies</v>
      </c>
      <c r="T889" t="s">
        <v>46</v>
      </c>
      <c r="U889" t="str">
        <f t="shared" si="167"/>
        <v>Art</v>
      </c>
      <c r="V889" t="s">
        <v>2764</v>
      </c>
      <c r="X889" t="s">
        <v>57</v>
      </c>
      <c r="Y889" t="str">
        <f t="shared" si="168"/>
        <v>Standard Class</v>
      </c>
      <c r="Z889">
        <v>4</v>
      </c>
      <c r="AA889">
        <v>4176.13</v>
      </c>
      <c r="AB889">
        <v>0</v>
      </c>
      <c r="AC889">
        <v>16704.52</v>
      </c>
      <c r="AD889">
        <v>10158.280000000001</v>
      </c>
      <c r="AE889">
        <v>6546.24</v>
      </c>
      <c r="AF889" t="s">
        <v>30</v>
      </c>
      <c r="AG889" t="str">
        <f t="shared" si="169"/>
        <v>Paid</v>
      </c>
      <c r="AH889" t="s">
        <v>31</v>
      </c>
    </row>
    <row r="890" spans="1:34">
      <c r="A890" t="s">
        <v>2765</v>
      </c>
      <c r="B890">
        <f>COUNTIF($A:$A,A890)</f>
        <v>1</v>
      </c>
      <c r="C890" t="str">
        <f t="shared" si="159"/>
        <v>Unique</v>
      </c>
      <c r="D890" s="4">
        <v>45816</v>
      </c>
      <c r="E890">
        <f t="shared" si="160"/>
        <v>30</v>
      </c>
      <c r="F890" s="4">
        <v>45846</v>
      </c>
      <c r="G890" t="s">
        <v>2766</v>
      </c>
      <c r="H890" t="s">
        <v>116</v>
      </c>
      <c r="I890" t="str">
        <f t="shared" si="161"/>
        <v>Rahul Verma</v>
      </c>
      <c r="J890" t="s">
        <v>35</v>
      </c>
      <c r="K890" t="str">
        <f t="shared" si="162"/>
        <v>Small Business</v>
      </c>
      <c r="L890" t="s">
        <v>61</v>
      </c>
      <c r="M890" t="str">
        <f t="shared" si="171"/>
        <v>West</v>
      </c>
      <c r="N890" t="s">
        <v>62</v>
      </c>
      <c r="O890" t="str">
        <f t="shared" si="164"/>
        <v>Maharashtra</v>
      </c>
      <c r="P890" t="s">
        <v>63</v>
      </c>
      <c r="Q890" t="str">
        <f t="shared" si="165"/>
        <v>Mumbai</v>
      </c>
      <c r="R890" t="s">
        <v>26</v>
      </c>
      <c r="S890" t="str">
        <f t="shared" si="166"/>
        <v>Office Supplies</v>
      </c>
      <c r="T890" t="s">
        <v>46</v>
      </c>
      <c r="U890" t="str">
        <f t="shared" si="167"/>
        <v>Art</v>
      </c>
      <c r="V890" t="s">
        <v>2767</v>
      </c>
      <c r="X890" t="s">
        <v>57</v>
      </c>
      <c r="Y890" t="str">
        <f t="shared" si="168"/>
        <v>Standard Class</v>
      </c>
      <c r="Z890">
        <v>4</v>
      </c>
      <c r="AA890">
        <v>3523.64</v>
      </c>
      <c r="AB890">
        <v>0.1</v>
      </c>
      <c r="AC890">
        <v>12685.1</v>
      </c>
      <c r="AD890">
        <v>10779.56</v>
      </c>
      <c r="AE890">
        <v>1905.54</v>
      </c>
      <c r="AF890" t="s">
        <v>100</v>
      </c>
      <c r="AG890" t="str">
        <f t="shared" si="169"/>
        <v>Refunded</v>
      </c>
      <c r="AH890" t="s">
        <v>66</v>
      </c>
    </row>
    <row r="891" spans="1:34">
      <c r="A891" t="s">
        <v>2768</v>
      </c>
      <c r="B891">
        <f>COUNTIF($A:$A,A891)</f>
        <v>1</v>
      </c>
      <c r="C891" t="str">
        <f t="shared" si="159"/>
        <v>Unique</v>
      </c>
      <c r="D891" s="4">
        <v>45933</v>
      </c>
      <c r="E891">
        <f t="shared" si="160"/>
        <v>-206</v>
      </c>
      <c r="F891" s="4">
        <v>45727</v>
      </c>
      <c r="G891" t="s">
        <v>896</v>
      </c>
      <c r="H891" t="s">
        <v>87</v>
      </c>
      <c r="I891" t="str">
        <f t="shared" si="161"/>
        <v>Aditi Sen</v>
      </c>
      <c r="J891" t="s">
        <v>93</v>
      </c>
      <c r="K891" t="str">
        <f t="shared" si="162"/>
        <v>Home Office</v>
      </c>
      <c r="L891" t="s">
        <v>61</v>
      </c>
      <c r="M891" t="str">
        <f t="shared" si="171"/>
        <v>West</v>
      </c>
      <c r="N891" t="s">
        <v>70</v>
      </c>
      <c r="O891" t="str">
        <f t="shared" si="164"/>
        <v>Madhya Pradesh</v>
      </c>
      <c r="P891" t="s">
        <v>71</v>
      </c>
      <c r="Q891" t="str">
        <f t="shared" si="165"/>
        <v>Indore</v>
      </c>
      <c r="R891" t="s">
        <v>26</v>
      </c>
      <c r="S891" t="str">
        <f t="shared" si="166"/>
        <v>Office Supplies</v>
      </c>
      <c r="T891" t="s">
        <v>122</v>
      </c>
      <c r="U891" t="str">
        <f t="shared" si="167"/>
        <v>Storage</v>
      </c>
      <c r="V891" t="s">
        <v>2769</v>
      </c>
      <c r="X891" t="s">
        <v>48</v>
      </c>
      <c r="Y891" t="str">
        <f t="shared" si="168"/>
        <v>First Class</v>
      </c>
      <c r="Z891">
        <v>2</v>
      </c>
      <c r="AA891">
        <v>3922.08</v>
      </c>
      <c r="AB891">
        <v>0.25</v>
      </c>
      <c r="AC891">
        <v>5883.12</v>
      </c>
      <c r="AD891">
        <v>4647.91</v>
      </c>
      <c r="AE891">
        <v>1235.21</v>
      </c>
      <c r="AF891" t="s">
        <v>30</v>
      </c>
      <c r="AG891" t="str">
        <f t="shared" si="169"/>
        <v>Paid</v>
      </c>
      <c r="AH891" t="s">
        <v>101</v>
      </c>
    </row>
    <row r="892" spans="1:34">
      <c r="A892" t="s">
        <v>2770</v>
      </c>
      <c r="B892">
        <f>COUNTIF($A:$A,A892)</f>
        <v>1</v>
      </c>
      <c r="C892" t="str">
        <f t="shared" si="159"/>
        <v>Unique</v>
      </c>
      <c r="D892" s="4">
        <v>45427</v>
      </c>
      <c r="E892">
        <f t="shared" si="160"/>
        <v>6</v>
      </c>
      <c r="F892" s="4">
        <v>45433</v>
      </c>
      <c r="G892" t="s">
        <v>2771</v>
      </c>
      <c r="H892" t="s">
        <v>21</v>
      </c>
      <c r="I892" t="str">
        <f t="shared" si="161"/>
        <v>Karan Malhotra</v>
      </c>
      <c r="J892" t="s">
        <v>22</v>
      </c>
      <c r="K892" t="str">
        <f t="shared" si="162"/>
        <v>Consumer</v>
      </c>
      <c r="L892" t="s">
        <v>61</v>
      </c>
      <c r="M892" t="str">
        <f t="shared" si="171"/>
        <v>West</v>
      </c>
      <c r="N892" t="s">
        <v>188</v>
      </c>
      <c r="O892" t="str">
        <f t="shared" si="164"/>
        <v>Goa</v>
      </c>
      <c r="P892" t="s">
        <v>189</v>
      </c>
      <c r="Q892" t="str">
        <f t="shared" si="165"/>
        <v>Panaji</v>
      </c>
      <c r="R892" t="s">
        <v>26</v>
      </c>
      <c r="S892" t="str">
        <f t="shared" si="166"/>
        <v>Office Supplies</v>
      </c>
      <c r="T892" t="s">
        <v>122</v>
      </c>
      <c r="U892" t="str">
        <f t="shared" si="167"/>
        <v>Storage</v>
      </c>
      <c r="V892" t="s">
        <v>2772</v>
      </c>
      <c r="X892" t="s">
        <v>57</v>
      </c>
      <c r="Y892" t="str">
        <f t="shared" si="168"/>
        <v>Standard Class</v>
      </c>
      <c r="Z892">
        <v>6</v>
      </c>
      <c r="AA892">
        <v>2909.56</v>
      </c>
      <c r="AB892">
        <v>0.2</v>
      </c>
      <c r="AC892">
        <v>13965.89</v>
      </c>
      <c r="AD892">
        <v>11646.12</v>
      </c>
      <c r="AE892">
        <v>2319.77</v>
      </c>
      <c r="AF892" t="s">
        <v>30</v>
      </c>
      <c r="AG892" t="str">
        <f t="shared" si="169"/>
        <v>Paid</v>
      </c>
      <c r="AH892" t="s">
        <v>31</v>
      </c>
    </row>
    <row r="893" spans="1:34">
      <c r="A893" t="s">
        <v>2773</v>
      </c>
      <c r="B893">
        <f>COUNTIF($A:$A,A893)</f>
        <v>1</v>
      </c>
      <c r="C893" t="str">
        <f t="shared" si="159"/>
        <v>Unique</v>
      </c>
      <c r="D893" s="4">
        <v>45514</v>
      </c>
      <c r="E893">
        <f t="shared" si="160"/>
        <v>31</v>
      </c>
      <c r="F893" s="4">
        <v>45545</v>
      </c>
      <c r="G893" t="s">
        <v>2774</v>
      </c>
      <c r="H893" t="s">
        <v>263</v>
      </c>
      <c r="I893" t="str">
        <f t="shared" si="161"/>
        <v>Kabir Singh</v>
      </c>
      <c r="J893" t="s">
        <v>88</v>
      </c>
      <c r="K893" t="str">
        <f t="shared" si="162"/>
        <v>Corporate</v>
      </c>
      <c r="L893" t="s">
        <v>52</v>
      </c>
      <c r="M893" t="str">
        <f t="shared" si="171"/>
        <v>South</v>
      </c>
      <c r="N893" t="s">
        <v>246</v>
      </c>
      <c r="O893" t="str">
        <f t="shared" si="164"/>
        <v>Tamil Nadu</v>
      </c>
      <c r="P893" t="s">
        <v>247</v>
      </c>
      <c r="Q893" t="str">
        <f t="shared" si="165"/>
        <v>Chennai</v>
      </c>
      <c r="R893" t="s">
        <v>72</v>
      </c>
      <c r="S893" t="str">
        <f t="shared" si="166"/>
        <v>Technology</v>
      </c>
      <c r="T893" t="s">
        <v>273</v>
      </c>
      <c r="U893" t="str">
        <f t="shared" si="167"/>
        <v>Machines</v>
      </c>
      <c r="V893" t="s">
        <v>2775</v>
      </c>
      <c r="X893" t="s">
        <v>42</v>
      </c>
      <c r="Y893" t="str">
        <f t="shared" si="168"/>
        <v>Same Day</v>
      </c>
      <c r="Z893">
        <v>5</v>
      </c>
      <c r="AA893">
        <v>2407.9699999999998</v>
      </c>
      <c r="AB893">
        <v>0.1</v>
      </c>
      <c r="AC893">
        <v>10835.86</v>
      </c>
      <c r="AD893">
        <v>6419.92</v>
      </c>
      <c r="AE893">
        <v>4415.9399999999996</v>
      </c>
      <c r="AF893" t="s">
        <v>153</v>
      </c>
      <c r="AG893" t="str">
        <f t="shared" si="169"/>
        <v>Failed</v>
      </c>
      <c r="AH893" t="s">
        <v>66</v>
      </c>
    </row>
    <row r="894" spans="1:34">
      <c r="A894" t="s">
        <v>2776</v>
      </c>
      <c r="B894">
        <f>COUNTIF($A:$A,A894)</f>
        <v>1</v>
      </c>
      <c r="C894" t="str">
        <f t="shared" si="159"/>
        <v>Unique</v>
      </c>
      <c r="D894" s="4">
        <v>45759</v>
      </c>
      <c r="E894">
        <f t="shared" si="160"/>
        <v>6</v>
      </c>
      <c r="F894" s="4">
        <v>45765</v>
      </c>
      <c r="G894" t="s">
        <v>2777</v>
      </c>
      <c r="H894" t="s">
        <v>45</v>
      </c>
      <c r="I894" t="str">
        <f t="shared" si="161"/>
        <v>Isha Nair</v>
      </c>
      <c r="J894" t="s">
        <v>35</v>
      </c>
      <c r="K894" t="str">
        <f t="shared" si="162"/>
        <v>Small Business</v>
      </c>
      <c r="L894" t="s">
        <v>36</v>
      </c>
      <c r="M894" t="str">
        <f t="shared" si="171"/>
        <v>East</v>
      </c>
      <c r="N894" t="s">
        <v>227</v>
      </c>
      <c r="O894" t="str">
        <f t="shared" si="164"/>
        <v>Jharkhand</v>
      </c>
      <c r="P894" t="s">
        <v>228</v>
      </c>
      <c r="Q894" t="str">
        <f t="shared" si="165"/>
        <v>Ranchi</v>
      </c>
      <c r="R894" t="s">
        <v>72</v>
      </c>
      <c r="S894" t="str">
        <f t="shared" si="166"/>
        <v>Technology</v>
      </c>
      <c r="T894" t="s">
        <v>78</v>
      </c>
      <c r="U894" t="str">
        <f t="shared" si="167"/>
        <v>Copiers</v>
      </c>
      <c r="V894" t="s">
        <v>2778</v>
      </c>
      <c r="X894" t="s">
        <v>42</v>
      </c>
      <c r="Y894" t="str">
        <f t="shared" si="168"/>
        <v>Same Day</v>
      </c>
      <c r="Z894">
        <v>1</v>
      </c>
      <c r="AA894">
        <v>726.89</v>
      </c>
      <c r="AB894">
        <v>0.2</v>
      </c>
      <c r="AC894">
        <v>581.51</v>
      </c>
      <c r="AD894">
        <v>423.86</v>
      </c>
      <c r="AE894">
        <v>157.65</v>
      </c>
      <c r="AF894" t="s">
        <v>30</v>
      </c>
      <c r="AG894" t="str">
        <f t="shared" si="169"/>
        <v>Paid</v>
      </c>
      <c r="AH894" t="s">
        <v>31</v>
      </c>
    </row>
    <row r="895" spans="1:34">
      <c r="A895" t="s">
        <v>2779</v>
      </c>
      <c r="B895">
        <f>COUNTIF($A:$A,A895)</f>
        <v>1</v>
      </c>
      <c r="C895" t="str">
        <f t="shared" si="159"/>
        <v>Unique</v>
      </c>
      <c r="D895" s="4">
        <v>45449</v>
      </c>
      <c r="E895">
        <f t="shared" si="160"/>
        <v>61</v>
      </c>
      <c r="F895" s="4">
        <v>45510</v>
      </c>
      <c r="G895" t="s">
        <v>2780</v>
      </c>
      <c r="H895" t="s">
        <v>126</v>
      </c>
      <c r="I895" t="str">
        <f t="shared" si="161"/>
        <v>Aarav Sharma</v>
      </c>
      <c r="J895" t="s">
        <v>88</v>
      </c>
      <c r="K895" t="str">
        <f t="shared" si="162"/>
        <v>Corporate</v>
      </c>
      <c r="L895" t="s">
        <v>52</v>
      </c>
      <c r="M895" t="str">
        <f t="shared" si="171"/>
        <v>South</v>
      </c>
      <c r="N895" t="s">
        <v>173</v>
      </c>
      <c r="O895" t="str">
        <f t="shared" si="164"/>
        <v>Karnataka</v>
      </c>
      <c r="P895" t="s">
        <v>174</v>
      </c>
      <c r="Q895" t="str">
        <f t="shared" si="165"/>
        <v>Bengaluru</v>
      </c>
      <c r="R895" t="s">
        <v>39</v>
      </c>
      <c r="S895" t="str">
        <f t="shared" si="166"/>
        <v>Furniture</v>
      </c>
      <c r="T895" t="s">
        <v>40</v>
      </c>
      <c r="U895" t="str">
        <f t="shared" si="167"/>
        <v>Tables</v>
      </c>
      <c r="V895" t="s">
        <v>2781</v>
      </c>
      <c r="X895" t="s">
        <v>29</v>
      </c>
      <c r="Y895" t="str">
        <f t="shared" si="168"/>
        <v>Second Class</v>
      </c>
      <c r="Z895">
        <v>3</v>
      </c>
      <c r="AA895">
        <v>395.49</v>
      </c>
      <c r="AB895">
        <v>0.05</v>
      </c>
      <c r="AC895">
        <v>1127.1500000000001</v>
      </c>
      <c r="AD895">
        <v>845.62</v>
      </c>
      <c r="AE895">
        <v>281.52999999999997</v>
      </c>
      <c r="AF895" t="s">
        <v>30</v>
      </c>
      <c r="AG895" t="str">
        <f t="shared" si="169"/>
        <v>Paid</v>
      </c>
      <c r="AH895" t="s">
        <v>101</v>
      </c>
    </row>
    <row r="896" spans="1:34">
      <c r="A896" t="s">
        <v>2782</v>
      </c>
      <c r="B896">
        <f>COUNTIF($A:$A,A896)</f>
        <v>1</v>
      </c>
      <c r="C896" t="str">
        <f t="shared" si="159"/>
        <v>Unique</v>
      </c>
      <c r="D896" s="4">
        <v>45344</v>
      </c>
      <c r="E896">
        <f t="shared" si="160"/>
        <v>7</v>
      </c>
      <c r="F896" s="4">
        <v>45351</v>
      </c>
      <c r="G896" t="s">
        <v>2783</v>
      </c>
      <c r="H896" t="s">
        <v>45</v>
      </c>
      <c r="I896" t="str">
        <f t="shared" si="161"/>
        <v>Isha Nair</v>
      </c>
      <c r="J896" t="s">
        <v>93</v>
      </c>
      <c r="K896" t="str">
        <f t="shared" si="162"/>
        <v>Home Office</v>
      </c>
      <c r="L896" t="s">
        <v>52</v>
      </c>
      <c r="M896" t="str">
        <f t="shared" si="171"/>
        <v>South</v>
      </c>
      <c r="N896" t="s">
        <v>53</v>
      </c>
      <c r="O896" t="str">
        <f t="shared" si="164"/>
        <v>Telangana</v>
      </c>
      <c r="P896" t="s">
        <v>54</v>
      </c>
      <c r="Q896" t="str">
        <f t="shared" si="165"/>
        <v>Hyderabad</v>
      </c>
      <c r="R896" t="s">
        <v>39</v>
      </c>
      <c r="S896" t="str">
        <f t="shared" si="166"/>
        <v>Furniture</v>
      </c>
      <c r="T896" t="s">
        <v>40</v>
      </c>
      <c r="U896" t="str">
        <f t="shared" si="167"/>
        <v>Tables</v>
      </c>
      <c r="V896" t="s">
        <v>2784</v>
      </c>
      <c r="X896" t="s">
        <v>48</v>
      </c>
      <c r="Y896" t="str">
        <f t="shared" si="168"/>
        <v>First Class</v>
      </c>
      <c r="Z896">
        <v>6</v>
      </c>
      <c r="AA896">
        <v>4254.05</v>
      </c>
      <c r="AB896">
        <v>0</v>
      </c>
      <c r="AC896">
        <v>25524.3</v>
      </c>
      <c r="AD896">
        <v>16711.93</v>
      </c>
      <c r="AE896">
        <v>8812.3700000000008</v>
      </c>
      <c r="AF896" t="s">
        <v>30</v>
      </c>
      <c r="AG896" t="str">
        <f t="shared" si="169"/>
        <v>Paid</v>
      </c>
      <c r="AH896" t="s">
        <v>31</v>
      </c>
    </row>
    <row r="897" spans="1:34">
      <c r="A897" t="s">
        <v>2785</v>
      </c>
      <c r="B897">
        <f>COUNTIF($A:$A,A897)</f>
        <v>1</v>
      </c>
      <c r="C897" t="str">
        <f t="shared" si="159"/>
        <v>Unique</v>
      </c>
      <c r="D897" s="4">
        <v>45423</v>
      </c>
      <c r="E897">
        <f t="shared" si="160"/>
        <v>183</v>
      </c>
      <c r="F897" s="4">
        <v>45606</v>
      </c>
      <c r="G897" t="s">
        <v>2786</v>
      </c>
      <c r="H897" t="s">
        <v>51</v>
      </c>
      <c r="I897" t="str">
        <f t="shared" si="161"/>
        <v>Arjun Bose</v>
      </c>
      <c r="J897" t="s">
        <v>22</v>
      </c>
      <c r="K897" t="str">
        <f t="shared" si="162"/>
        <v>Consumer</v>
      </c>
      <c r="L897" t="s">
        <v>52</v>
      </c>
      <c r="M897" t="str">
        <f t="shared" si="171"/>
        <v>South</v>
      </c>
      <c r="N897" t="s">
        <v>183</v>
      </c>
      <c r="O897" t="str">
        <f t="shared" si="164"/>
        <v>Kerala</v>
      </c>
      <c r="P897" t="s">
        <v>184</v>
      </c>
      <c r="Q897" t="str">
        <f t="shared" si="165"/>
        <v>Kochi</v>
      </c>
      <c r="R897" t="s">
        <v>39</v>
      </c>
      <c r="S897" t="str">
        <f t="shared" si="166"/>
        <v>Furniture</v>
      </c>
      <c r="T897" t="s">
        <v>64</v>
      </c>
      <c r="U897" t="str">
        <f t="shared" si="167"/>
        <v>Chairs</v>
      </c>
      <c r="V897" t="s">
        <v>2787</v>
      </c>
      <c r="X897" t="s">
        <v>42</v>
      </c>
      <c r="Y897" t="str">
        <f t="shared" si="168"/>
        <v>Same Day</v>
      </c>
      <c r="Z897">
        <v>4</v>
      </c>
      <c r="AA897">
        <v>711.18</v>
      </c>
      <c r="AB897">
        <v>0.15</v>
      </c>
      <c r="AC897">
        <v>2418.0100000000002</v>
      </c>
      <c r="AD897">
        <v>1441.89</v>
      </c>
      <c r="AE897">
        <v>976.12</v>
      </c>
      <c r="AF897" t="s">
        <v>109</v>
      </c>
      <c r="AG897" t="str">
        <f t="shared" si="169"/>
        <v>Pending</v>
      </c>
      <c r="AH897" t="s">
        <v>101</v>
      </c>
    </row>
    <row r="898" spans="1:34">
      <c r="A898" t="s">
        <v>2788</v>
      </c>
      <c r="B898">
        <f>COUNTIF($A:$A,A898)</f>
        <v>1</v>
      </c>
      <c r="C898" t="str">
        <f t="shared" ref="C898:C901" si="172">IF(B898&gt;1,"Review Duplicate ID","Unique")</f>
        <v>Unique</v>
      </c>
      <c r="D898" s="4">
        <v>45650</v>
      </c>
      <c r="E898">
        <f t="shared" ref="E898:E901" si="173">F898-D898</f>
        <v>1</v>
      </c>
      <c r="F898" s="4">
        <v>45651</v>
      </c>
      <c r="G898" t="s">
        <v>2789</v>
      </c>
      <c r="H898" t="s">
        <v>60</v>
      </c>
      <c r="I898" t="str">
        <f t="shared" ref="I898:I901" si="174">PROPER(TRIM(H898))</f>
        <v>Ananya Rao</v>
      </c>
      <c r="J898" t="s">
        <v>35</v>
      </c>
      <c r="K898" t="str">
        <f t="shared" ref="K898:K901" si="175">PROPER(TRIM(J898))</f>
        <v>Small Business</v>
      </c>
      <c r="L898" t="s">
        <v>52</v>
      </c>
      <c r="M898" t="str">
        <f t="shared" si="171"/>
        <v>South</v>
      </c>
      <c r="N898" t="s">
        <v>246</v>
      </c>
      <c r="O898" t="str">
        <f t="shared" ref="O898:O901" si="176">PROPER(TRIM(N898))</f>
        <v>Tamil Nadu</v>
      </c>
      <c r="P898" t="s">
        <v>247</v>
      </c>
      <c r="Q898" t="str">
        <f t="shared" ref="Q898:Q901" si="177">PROPER(TRIM(P898))</f>
        <v>Chennai</v>
      </c>
      <c r="R898" t="s">
        <v>72</v>
      </c>
      <c r="S898" t="str">
        <f t="shared" ref="S898:S901" si="178">PROPER(TRIM(R898))</f>
        <v>Technology</v>
      </c>
      <c r="T898" t="s">
        <v>78</v>
      </c>
      <c r="U898" t="str">
        <f t="shared" ref="U898:U901" si="179">PROPER(TRIM(T898))</f>
        <v>Copiers</v>
      </c>
      <c r="V898" t="s">
        <v>2790</v>
      </c>
      <c r="X898" t="s">
        <v>29</v>
      </c>
      <c r="Y898" t="str">
        <f t="shared" si="168"/>
        <v>Second Class</v>
      </c>
      <c r="Z898">
        <v>1</v>
      </c>
      <c r="AA898">
        <v>3693.03</v>
      </c>
      <c r="AB898">
        <v>0.05</v>
      </c>
      <c r="AC898">
        <v>3508.38</v>
      </c>
      <c r="AD898">
        <v>2828.06</v>
      </c>
      <c r="AE898">
        <v>680.32</v>
      </c>
      <c r="AF898" t="s">
        <v>153</v>
      </c>
      <c r="AG898" t="str">
        <f t="shared" si="169"/>
        <v>Failed</v>
      </c>
      <c r="AH898" t="s">
        <v>101</v>
      </c>
    </row>
    <row r="899" spans="1:34">
      <c r="A899" t="s">
        <v>2791</v>
      </c>
      <c r="B899">
        <f>COUNTIF($A:$A,A899)</f>
        <v>1</v>
      </c>
      <c r="C899" t="str">
        <f t="shared" si="172"/>
        <v>Unique</v>
      </c>
      <c r="D899" s="4">
        <v>45776</v>
      </c>
      <c r="E899">
        <f t="shared" si="173"/>
        <v>-55</v>
      </c>
      <c r="F899" s="4">
        <v>45721</v>
      </c>
      <c r="G899" t="s">
        <v>2150</v>
      </c>
      <c r="H899" t="s">
        <v>139</v>
      </c>
      <c r="I899" t="str">
        <f t="shared" si="174"/>
        <v>Rohan Mehta</v>
      </c>
      <c r="J899" t="s">
        <v>88</v>
      </c>
      <c r="K899" t="str">
        <f t="shared" si="175"/>
        <v>Corporate</v>
      </c>
      <c r="L899" t="s">
        <v>23</v>
      </c>
      <c r="M899" t="str">
        <f t="shared" si="171"/>
        <v>North</v>
      </c>
      <c r="N899" t="s">
        <v>235</v>
      </c>
      <c r="O899" t="str">
        <f t="shared" si="176"/>
        <v>Haryana</v>
      </c>
      <c r="P899" t="s">
        <v>236</v>
      </c>
      <c r="Q899" t="str">
        <f t="shared" si="177"/>
        <v>Gurugram</v>
      </c>
      <c r="R899" t="s">
        <v>26</v>
      </c>
      <c r="S899" t="str">
        <f t="shared" si="178"/>
        <v>Office Supplies</v>
      </c>
      <c r="T899" t="s">
        <v>27</v>
      </c>
      <c r="U899" t="str">
        <f t="shared" si="179"/>
        <v>Paper</v>
      </c>
      <c r="V899" t="s">
        <v>2792</v>
      </c>
      <c r="X899" t="s">
        <v>48</v>
      </c>
      <c r="Y899" t="str">
        <f t="shared" ref="Y899:Y901" si="180">PROPER(TRIM(X899))</f>
        <v>First Class</v>
      </c>
      <c r="Z899">
        <v>4</v>
      </c>
      <c r="AA899">
        <v>1786.65</v>
      </c>
      <c r="AB899">
        <v>0.05</v>
      </c>
      <c r="AC899">
        <v>6789.27</v>
      </c>
      <c r="AD899">
        <v>5626.43</v>
      </c>
      <c r="AE899">
        <v>1162.8399999999999</v>
      </c>
      <c r="AF899" t="s">
        <v>30</v>
      </c>
      <c r="AG899" t="str">
        <f t="shared" ref="AG899:AG901" si="181">PROPER(TRIM(AF899))</f>
        <v>Paid</v>
      </c>
      <c r="AH899" t="s">
        <v>31</v>
      </c>
    </row>
    <row r="900" spans="1:34">
      <c r="A900" t="s">
        <v>2793</v>
      </c>
      <c r="B900">
        <f>COUNTIF($A:$A,A900)</f>
        <v>1</v>
      </c>
      <c r="C900" t="str">
        <f t="shared" si="172"/>
        <v>Unique</v>
      </c>
      <c r="D900" s="4">
        <v>45328</v>
      </c>
      <c r="E900">
        <f t="shared" si="173"/>
        <v>123</v>
      </c>
      <c r="F900" s="4">
        <v>45451</v>
      </c>
      <c r="G900" t="s">
        <v>2794</v>
      </c>
      <c r="H900" t="s">
        <v>69</v>
      </c>
      <c r="I900" t="str">
        <f t="shared" si="174"/>
        <v>Vikram Iyer</v>
      </c>
      <c r="J900" t="s">
        <v>22</v>
      </c>
      <c r="K900" t="str">
        <f t="shared" si="175"/>
        <v>Consumer</v>
      </c>
      <c r="L900" t="s">
        <v>23</v>
      </c>
      <c r="M900" t="str">
        <f t="shared" si="171"/>
        <v>North</v>
      </c>
      <c r="N900" t="s">
        <v>349</v>
      </c>
      <c r="O900" t="str">
        <f t="shared" si="176"/>
        <v>Delhi</v>
      </c>
      <c r="P900" t="s">
        <v>350</v>
      </c>
      <c r="Q900" t="str">
        <f t="shared" si="177"/>
        <v>New Delhi</v>
      </c>
      <c r="R900" t="s">
        <v>39</v>
      </c>
      <c r="S900" t="str">
        <f t="shared" si="178"/>
        <v>Furniture</v>
      </c>
      <c r="T900" t="s">
        <v>40</v>
      </c>
      <c r="U900" t="str">
        <f t="shared" si="179"/>
        <v>Tables</v>
      </c>
      <c r="V900" t="s">
        <v>2795</v>
      </c>
      <c r="X900" t="s">
        <v>48</v>
      </c>
      <c r="Y900" t="str">
        <f t="shared" si="180"/>
        <v>First Class</v>
      </c>
      <c r="Z900">
        <v>4</v>
      </c>
      <c r="AA900">
        <v>1536.7</v>
      </c>
      <c r="AB900">
        <v>0.2</v>
      </c>
      <c r="AC900">
        <v>4917.4399999999996</v>
      </c>
      <c r="AD900">
        <v>3846.77</v>
      </c>
      <c r="AE900">
        <v>1070.67</v>
      </c>
      <c r="AF900" t="s">
        <v>30</v>
      </c>
      <c r="AG900" t="str">
        <f t="shared" si="181"/>
        <v>Paid</v>
      </c>
      <c r="AH900" t="s">
        <v>31</v>
      </c>
    </row>
    <row r="901" spans="1:34">
      <c r="A901" t="s">
        <v>2796</v>
      </c>
      <c r="B901">
        <f>COUNTIF($A:$A,A901)</f>
        <v>1</v>
      </c>
      <c r="C901" t="str">
        <f t="shared" si="172"/>
        <v>Unique</v>
      </c>
      <c r="D901" s="4">
        <v>45804</v>
      </c>
      <c r="E901">
        <f t="shared" si="173"/>
        <v>7</v>
      </c>
      <c r="F901" s="4">
        <v>45811</v>
      </c>
      <c r="G901" t="s">
        <v>2797</v>
      </c>
      <c r="H901" t="s">
        <v>21</v>
      </c>
      <c r="I901" t="str">
        <f t="shared" si="174"/>
        <v>Karan Malhotra</v>
      </c>
      <c r="J901" t="s">
        <v>22</v>
      </c>
      <c r="K901" t="str">
        <f t="shared" si="175"/>
        <v>Consumer</v>
      </c>
      <c r="L901" t="s">
        <v>23</v>
      </c>
      <c r="M901" t="str">
        <f t="shared" si="171"/>
        <v>North</v>
      </c>
      <c r="N901" t="s">
        <v>120</v>
      </c>
      <c r="O901" t="str">
        <f t="shared" si="176"/>
        <v>Punjab</v>
      </c>
      <c r="P901" t="s">
        <v>121</v>
      </c>
      <c r="Q901" t="str">
        <f t="shared" si="177"/>
        <v>Ludhiana</v>
      </c>
      <c r="R901" t="s">
        <v>39</v>
      </c>
      <c r="S901" t="str">
        <f t="shared" si="178"/>
        <v>Furniture</v>
      </c>
      <c r="T901" t="s">
        <v>64</v>
      </c>
      <c r="U901" t="str">
        <f t="shared" si="179"/>
        <v>Chairs</v>
      </c>
      <c r="V901" t="s">
        <v>2798</v>
      </c>
      <c r="X901" t="s">
        <v>48</v>
      </c>
      <c r="Y901" t="str">
        <f t="shared" si="180"/>
        <v>First Class</v>
      </c>
      <c r="Z901">
        <v>5</v>
      </c>
      <c r="AA901">
        <v>881.08</v>
      </c>
      <c r="AB901">
        <v>0.25</v>
      </c>
      <c r="AC901">
        <v>3304.05</v>
      </c>
      <c r="AD901">
        <v>2279.41</v>
      </c>
      <c r="AE901">
        <v>1024.6400000000001</v>
      </c>
      <c r="AF901" t="s">
        <v>153</v>
      </c>
      <c r="AG901" t="str">
        <f t="shared" si="181"/>
        <v>Failed</v>
      </c>
      <c r="AH901" t="s">
        <v>66</v>
      </c>
    </row>
  </sheetData>
  <autoFilter ref="Y1:Y902" xr:uid="{00000000-0001-0000-0000-000000000000}"/>
  <phoneticPr fontId="2" type="noConversion"/>
  <conditionalFormatting sqref="A2:M902">
    <cfRule type="duplicateValues" dxfId="3" priority="1"/>
  </conditionalFormatting>
  <conditionalFormatting sqref="E2:E901"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6996-4F17-46F5-B2B9-1C036C456CDB}">
  <dimension ref="A1:V933"/>
  <sheetViews>
    <sheetView tabSelected="1" workbookViewId="0">
      <selection sqref="A1:XFD1048576"/>
    </sheetView>
  </sheetViews>
  <sheetFormatPr defaultRowHeight="14.15"/>
  <cols>
    <col min="1" max="1" width="21.42578125" style="8" customWidth="1"/>
    <col min="2" max="2" width="20.78515625" style="8" customWidth="1"/>
    <col min="3" max="3" width="21.2109375" style="8" customWidth="1"/>
    <col min="4" max="4" width="10.0703125" style="8" bestFit="1" customWidth="1"/>
    <col min="5" max="5" width="9.140625" style="8"/>
    <col min="6" max="6" width="10.0703125" style="10" bestFit="1" customWidth="1"/>
    <col min="7" max="7" width="16.92578125" style="8" customWidth="1"/>
    <col min="8" max="8" width="16.35546875" style="8" customWidth="1"/>
    <col min="9" max="9" width="15.2109375" style="8" customWidth="1"/>
    <col min="10" max="10" width="12.85546875" style="8" customWidth="1"/>
    <col min="11" max="11" width="15.0703125" style="8" customWidth="1"/>
    <col min="12" max="12" width="12.35546875" style="8" customWidth="1"/>
    <col min="13" max="16384" width="9.140625" style="8"/>
  </cols>
  <sheetData>
    <row r="1" spans="1:22" ht="42.45">
      <c r="A1" s="5" t="s">
        <v>2826</v>
      </c>
      <c r="B1" s="5" t="s">
        <v>2824</v>
      </c>
      <c r="C1" s="5" t="s">
        <v>2825</v>
      </c>
      <c r="D1" s="6" t="s">
        <v>0</v>
      </c>
      <c r="E1" s="5" t="s">
        <v>2823</v>
      </c>
      <c r="F1" s="7" t="s">
        <v>1</v>
      </c>
      <c r="G1" s="5" t="s">
        <v>2</v>
      </c>
      <c r="H1" s="5" t="s">
        <v>2820</v>
      </c>
      <c r="I1" s="5" t="s">
        <v>2820</v>
      </c>
      <c r="J1" s="5" t="s">
        <v>3</v>
      </c>
      <c r="K1" s="5" t="s">
        <v>3</v>
      </c>
      <c r="L1" s="5" t="s">
        <v>4</v>
      </c>
      <c r="M1" s="5" t="s">
        <v>4</v>
      </c>
      <c r="N1" s="5" t="s">
        <v>5</v>
      </c>
      <c r="O1" s="5" t="s">
        <v>5</v>
      </c>
      <c r="P1" s="5" t="s">
        <v>6</v>
      </c>
      <c r="Q1" s="5" t="s">
        <v>6</v>
      </c>
      <c r="S1" s="5" t="s">
        <v>7</v>
      </c>
      <c r="T1" s="5" t="s">
        <v>8</v>
      </c>
      <c r="U1" s="5" t="s">
        <v>8</v>
      </c>
      <c r="V1" s="5" t="s">
        <v>9</v>
      </c>
    </row>
    <row r="2" spans="1:22">
      <c r="A2" s="8" t="s">
        <v>19</v>
      </c>
      <c r="B2" s="8">
        <f>COUNTIF($A:$A,A2)</f>
        <v>1</v>
      </c>
      <c r="C2" s="8" t="str">
        <f>IF(B2&gt;1,"Review Duplicate ID","Unique")</f>
        <v>Unique</v>
      </c>
      <c r="D2" s="9">
        <v>45494</v>
      </c>
      <c r="E2" s="8">
        <f>F2-D2</f>
        <v>6</v>
      </c>
      <c r="F2" s="10">
        <v>45500</v>
      </c>
      <c r="G2" s="8" t="s">
        <v>20</v>
      </c>
      <c r="H2" s="8" t="s">
        <v>21</v>
      </c>
      <c r="I2" s="8" t="str">
        <f>PROPER(TRIM(H2))</f>
        <v>Karan Malhotra</v>
      </c>
      <c r="J2" s="8" t="s">
        <v>22</v>
      </c>
      <c r="K2" s="8" t="str">
        <f>PROPER(TRIM(J2))</f>
        <v>Consumer</v>
      </c>
      <c r="L2" s="8" t="s">
        <v>23</v>
      </c>
      <c r="M2" s="8" t="str">
        <f>PROPER(TRIM(L2))</f>
        <v>North</v>
      </c>
      <c r="N2" s="8" t="s">
        <v>24</v>
      </c>
      <c r="O2" s="8" t="str">
        <f>PROPER(TRIM(N2))</f>
        <v>Rajasthan</v>
      </c>
      <c r="P2" s="8" t="s">
        <v>25</v>
      </c>
      <c r="Q2" s="8" t="str">
        <f>PROPER(TRIM(P2))</f>
        <v>Jaipur</v>
      </c>
      <c r="R2" s="8" t="s">
        <v>26</v>
      </c>
      <c r="S2" s="8" t="str">
        <f>PROPER(TRIM(R2))</f>
        <v>Office Supplies</v>
      </c>
      <c r="T2" s="8" t="s">
        <v>27</v>
      </c>
      <c r="U2" s="8" t="str">
        <f>PROPER(TRIM(T2))</f>
        <v>Paper</v>
      </c>
      <c r="V2" s="8" t="s">
        <v>28</v>
      </c>
    </row>
    <row r="3" spans="1:22">
      <c r="A3" s="8" t="s">
        <v>32</v>
      </c>
      <c r="B3" s="8">
        <f t="shared" ref="B3:B66" si="0">COUNTIF($A:$A,A3)</f>
        <v>1</v>
      </c>
      <c r="C3" s="8" t="str">
        <f t="shared" ref="C3:C66" si="1">IF(B3&gt;1,"Review Duplicate ID","Unique")</f>
        <v>Unique</v>
      </c>
      <c r="D3" s="9">
        <v>45535</v>
      </c>
      <c r="E3" s="8">
        <f t="shared" ref="E3:E66" si="2">F3-D3</f>
        <v>-114</v>
      </c>
      <c r="F3" s="10">
        <v>45421</v>
      </c>
      <c r="G3" s="8" t="s">
        <v>33</v>
      </c>
      <c r="H3" s="8" t="s">
        <v>34</v>
      </c>
      <c r="I3" s="8" t="str">
        <f>PROPER(TRIM(H3))</f>
        <v>Mira Das</v>
      </c>
      <c r="J3" s="8" t="s">
        <v>35</v>
      </c>
      <c r="K3" s="8" t="str">
        <f t="shared" ref="K3:K66" si="3">PROPER(TRIM(J3))</f>
        <v>Small Business</v>
      </c>
      <c r="L3" s="8" t="s">
        <v>36</v>
      </c>
      <c r="M3" s="8" t="str">
        <f t="shared" ref="M3:M66" si="4">PROPER(TRIM(L3))</f>
        <v>East</v>
      </c>
      <c r="N3" s="8" t="s">
        <v>37</v>
      </c>
      <c r="O3" s="8" t="str">
        <f t="shared" ref="O3:O66" si="5">PROPER(TRIM(N3))</f>
        <v>Odisha</v>
      </c>
      <c r="P3" s="8" t="s">
        <v>38</v>
      </c>
      <c r="Q3" s="8" t="str">
        <f t="shared" ref="Q3:Q66" si="6">PROPER(TRIM(P3))</f>
        <v>Bhubaneswar</v>
      </c>
      <c r="R3" s="8" t="s">
        <v>39</v>
      </c>
      <c r="S3" s="8" t="str">
        <f t="shared" ref="S3:S66" si="7">PROPER(TRIM(R3))</f>
        <v>Furniture</v>
      </c>
      <c r="T3" s="8" t="s">
        <v>40</v>
      </c>
      <c r="U3" s="8" t="str">
        <f t="shared" ref="U3:U66" si="8">PROPER(TRIM(T3))</f>
        <v>Tables</v>
      </c>
      <c r="V3" s="8" t="s">
        <v>41</v>
      </c>
    </row>
    <row r="4" spans="1:22">
      <c r="A4" s="8" t="s">
        <v>43</v>
      </c>
      <c r="B4" s="8">
        <f t="shared" si="0"/>
        <v>1</v>
      </c>
      <c r="C4" s="8" t="str">
        <f t="shared" si="1"/>
        <v>Unique</v>
      </c>
      <c r="D4" s="9">
        <v>45451</v>
      </c>
      <c r="E4" s="8">
        <f t="shared" si="2"/>
        <v>7</v>
      </c>
      <c r="F4" s="10">
        <v>45458</v>
      </c>
      <c r="G4" s="8" t="s">
        <v>44</v>
      </c>
      <c r="H4" s="8" t="s">
        <v>45</v>
      </c>
      <c r="I4" s="8" t="str">
        <f t="shared" ref="I4:I67" si="9">PROPER(TRIM(H4))</f>
        <v>Isha Nair</v>
      </c>
      <c r="J4" s="8" t="s">
        <v>22</v>
      </c>
      <c r="K4" s="8" t="str">
        <f t="shared" si="3"/>
        <v>Consumer</v>
      </c>
      <c r="L4" s="8" t="s">
        <v>36</v>
      </c>
      <c r="M4" s="8" t="str">
        <f t="shared" si="4"/>
        <v>East</v>
      </c>
      <c r="N4" s="8" t="s">
        <v>37</v>
      </c>
      <c r="O4" s="8" t="str">
        <f t="shared" si="5"/>
        <v>Odisha</v>
      </c>
      <c r="P4" s="8" t="s">
        <v>38</v>
      </c>
      <c r="Q4" s="8" t="str">
        <f t="shared" si="6"/>
        <v>Bhubaneswar</v>
      </c>
      <c r="R4" s="8" t="s">
        <v>26</v>
      </c>
      <c r="S4" s="8" t="str">
        <f t="shared" si="7"/>
        <v>Office Supplies</v>
      </c>
      <c r="T4" s="8" t="s">
        <v>46</v>
      </c>
      <c r="U4" s="8" t="str">
        <f t="shared" si="8"/>
        <v>Art</v>
      </c>
      <c r="V4" s="8" t="s">
        <v>47</v>
      </c>
    </row>
    <row r="5" spans="1:22">
      <c r="A5" s="8" t="s">
        <v>49</v>
      </c>
      <c r="B5" s="8">
        <f t="shared" si="0"/>
        <v>1</v>
      </c>
      <c r="C5" s="8" t="str">
        <f t="shared" si="1"/>
        <v>Unique</v>
      </c>
      <c r="D5" s="9">
        <v>45624</v>
      </c>
      <c r="E5" s="8">
        <f t="shared" si="2"/>
        <v>1</v>
      </c>
      <c r="F5" s="10">
        <v>45625</v>
      </c>
      <c r="G5" s="8" t="s">
        <v>50</v>
      </c>
      <c r="H5" s="8" t="s">
        <v>51</v>
      </c>
      <c r="I5" s="8" t="str">
        <f t="shared" si="9"/>
        <v>Arjun Bose</v>
      </c>
      <c r="J5" s="8" t="s">
        <v>35</v>
      </c>
      <c r="K5" s="8" t="str">
        <f t="shared" si="3"/>
        <v>Small Business</v>
      </c>
      <c r="L5" s="8" t="s">
        <v>52</v>
      </c>
      <c r="M5" s="8" t="str">
        <f t="shared" si="4"/>
        <v>South</v>
      </c>
      <c r="N5" s="8" t="s">
        <v>53</v>
      </c>
      <c r="O5" s="8" t="str">
        <f t="shared" si="5"/>
        <v>Telangana</v>
      </c>
      <c r="P5" s="8" t="s">
        <v>54</v>
      </c>
      <c r="Q5" s="8" t="str">
        <f t="shared" si="6"/>
        <v>Hyderabad</v>
      </c>
      <c r="R5" s="8" t="s">
        <v>39</v>
      </c>
      <c r="S5" s="8" t="str">
        <f t="shared" si="7"/>
        <v>Furniture</v>
      </c>
      <c r="T5" s="8" t="s">
        <v>55</v>
      </c>
      <c r="U5" s="8" t="str">
        <f t="shared" si="8"/>
        <v>Furnishings</v>
      </c>
      <c r="V5" s="8" t="s">
        <v>56</v>
      </c>
    </row>
    <row r="6" spans="1:22">
      <c r="A6" s="8" t="s">
        <v>58</v>
      </c>
      <c r="B6" s="8">
        <f t="shared" si="0"/>
        <v>1</v>
      </c>
      <c r="C6" s="8" t="str">
        <f t="shared" si="1"/>
        <v>Unique</v>
      </c>
      <c r="D6" s="9">
        <v>45898</v>
      </c>
      <c r="E6" s="8">
        <f t="shared" si="2"/>
        <v>-232</v>
      </c>
      <c r="F6" s="10">
        <v>45666</v>
      </c>
      <c r="G6" s="8" t="s">
        <v>59</v>
      </c>
      <c r="H6" s="8" t="s">
        <v>60</v>
      </c>
      <c r="I6" s="8" t="str">
        <f t="shared" si="9"/>
        <v>Ananya Rao</v>
      </c>
      <c r="J6" s="8" t="s">
        <v>35</v>
      </c>
      <c r="K6" s="8" t="str">
        <f t="shared" si="3"/>
        <v>Small Business</v>
      </c>
      <c r="L6" s="8" t="s">
        <v>61</v>
      </c>
      <c r="M6" s="8" t="str">
        <f t="shared" si="4"/>
        <v>West</v>
      </c>
      <c r="N6" s="8" t="s">
        <v>62</v>
      </c>
      <c r="O6" s="8" t="str">
        <f t="shared" si="5"/>
        <v>Maharashtra</v>
      </c>
      <c r="P6" s="8" t="s">
        <v>63</v>
      </c>
      <c r="Q6" s="8" t="str">
        <f t="shared" si="6"/>
        <v>Mumbai</v>
      </c>
      <c r="R6" s="8" t="s">
        <v>39</v>
      </c>
      <c r="S6" s="8" t="str">
        <f t="shared" si="7"/>
        <v>Furniture</v>
      </c>
      <c r="T6" s="8" t="s">
        <v>64</v>
      </c>
      <c r="U6" s="8" t="str">
        <f t="shared" si="8"/>
        <v>Chairs</v>
      </c>
      <c r="V6" s="8" t="s">
        <v>65</v>
      </c>
    </row>
    <row r="7" spans="1:22">
      <c r="A7" s="8" t="s">
        <v>67</v>
      </c>
      <c r="B7" s="8">
        <f t="shared" si="0"/>
        <v>1</v>
      </c>
      <c r="C7" s="8" t="str">
        <f t="shared" si="1"/>
        <v>Unique</v>
      </c>
      <c r="D7" s="9">
        <v>45436</v>
      </c>
      <c r="E7" s="8">
        <f t="shared" si="2"/>
        <v>4</v>
      </c>
      <c r="F7" s="10">
        <v>45440</v>
      </c>
      <c r="G7" s="8" t="s">
        <v>68</v>
      </c>
      <c r="H7" s="8" t="s">
        <v>69</v>
      </c>
      <c r="I7" s="8" t="str">
        <f t="shared" si="9"/>
        <v>Vikram Iyer</v>
      </c>
      <c r="J7" s="8" t="s">
        <v>35</v>
      </c>
      <c r="K7" s="8" t="str">
        <f t="shared" si="3"/>
        <v>Small Business</v>
      </c>
      <c r="L7" s="8" t="s">
        <v>61</v>
      </c>
      <c r="M7" s="8" t="str">
        <f t="shared" si="4"/>
        <v>West</v>
      </c>
      <c r="N7" s="8" t="s">
        <v>70</v>
      </c>
      <c r="O7" s="8" t="str">
        <f t="shared" si="5"/>
        <v>Madhya Pradesh</v>
      </c>
      <c r="P7" s="8" t="s">
        <v>71</v>
      </c>
      <c r="Q7" s="8" t="str">
        <f t="shared" si="6"/>
        <v>Indore</v>
      </c>
      <c r="R7" s="8" t="s">
        <v>72</v>
      </c>
      <c r="S7" s="8" t="str">
        <f t="shared" si="7"/>
        <v>Technology</v>
      </c>
      <c r="T7" s="8" t="s">
        <v>73</v>
      </c>
      <c r="U7" s="8" t="str">
        <f t="shared" si="8"/>
        <v>Accessories</v>
      </c>
      <c r="V7" s="8" t="s">
        <v>74</v>
      </c>
    </row>
    <row r="8" spans="1:22">
      <c r="A8" s="8" t="s">
        <v>75</v>
      </c>
      <c r="B8" s="8">
        <f t="shared" si="0"/>
        <v>2</v>
      </c>
      <c r="C8" s="8" t="str">
        <f t="shared" si="1"/>
        <v>Review Duplicate ID</v>
      </c>
      <c r="D8" s="9">
        <v>45757</v>
      </c>
      <c r="E8" s="8">
        <f t="shared" si="2"/>
        <v>6</v>
      </c>
      <c r="F8" s="10">
        <v>45763</v>
      </c>
      <c r="G8" s="8" t="s">
        <v>76</v>
      </c>
      <c r="H8" s="8" t="s">
        <v>77</v>
      </c>
      <c r="I8" s="8" t="str">
        <f t="shared" si="9"/>
        <v>Neha Gupta</v>
      </c>
      <c r="J8" s="8" t="s">
        <v>22</v>
      </c>
      <c r="K8" s="8" t="str">
        <f t="shared" si="3"/>
        <v>Consumer</v>
      </c>
      <c r="L8" s="8" t="s">
        <v>36</v>
      </c>
      <c r="M8" s="8" t="str">
        <f t="shared" si="4"/>
        <v>East</v>
      </c>
      <c r="N8" s="8" t="s">
        <v>37</v>
      </c>
      <c r="O8" s="8" t="str">
        <f t="shared" si="5"/>
        <v>Odisha</v>
      </c>
      <c r="P8" s="8" t="s">
        <v>38</v>
      </c>
      <c r="Q8" s="8" t="str">
        <f t="shared" si="6"/>
        <v>Bhubaneswar</v>
      </c>
      <c r="R8" s="8" t="s">
        <v>72</v>
      </c>
      <c r="S8" s="8" t="str">
        <f t="shared" si="7"/>
        <v>Technology</v>
      </c>
      <c r="T8" s="8" t="s">
        <v>78</v>
      </c>
      <c r="U8" s="8" t="str">
        <f t="shared" si="8"/>
        <v>Copiers</v>
      </c>
      <c r="V8" s="8" t="s">
        <v>79</v>
      </c>
    </row>
    <row r="9" spans="1:22">
      <c r="A9" s="8" t="s">
        <v>80</v>
      </c>
      <c r="B9" s="8">
        <f t="shared" si="0"/>
        <v>1</v>
      </c>
      <c r="C9" s="8" t="str">
        <f t="shared" si="1"/>
        <v>Unique</v>
      </c>
      <c r="D9" s="9">
        <v>45711</v>
      </c>
      <c r="E9" s="8">
        <f t="shared" si="2"/>
        <v>3</v>
      </c>
      <c r="F9" s="10">
        <v>45714</v>
      </c>
      <c r="G9" s="8" t="s">
        <v>81</v>
      </c>
      <c r="H9" s="8" t="s">
        <v>45</v>
      </c>
      <c r="I9" s="8" t="str">
        <f t="shared" si="9"/>
        <v>Isha Nair</v>
      </c>
      <c r="J9" s="8" t="s">
        <v>35</v>
      </c>
      <c r="K9" s="8" t="str">
        <f t="shared" si="3"/>
        <v>Small Business</v>
      </c>
      <c r="L9" s="8" t="s">
        <v>52</v>
      </c>
      <c r="M9" s="8" t="str">
        <f t="shared" si="4"/>
        <v>South</v>
      </c>
      <c r="N9" s="8" t="s">
        <v>82</v>
      </c>
      <c r="O9" s="8" t="str">
        <f t="shared" si="5"/>
        <v>Andhra Pradesh</v>
      </c>
      <c r="P9" s="8" t="s">
        <v>83</v>
      </c>
      <c r="Q9" s="8" t="str">
        <f t="shared" si="6"/>
        <v>Vijayawada</v>
      </c>
      <c r="R9" s="8" t="s">
        <v>26</v>
      </c>
      <c r="S9" s="8" t="str">
        <f t="shared" si="7"/>
        <v>Office Supplies</v>
      </c>
      <c r="T9" s="8" t="s">
        <v>46</v>
      </c>
      <c r="U9" s="8" t="str">
        <f t="shared" si="8"/>
        <v>Art</v>
      </c>
      <c r="V9" s="8" t="s">
        <v>84</v>
      </c>
    </row>
    <row r="10" spans="1:22">
      <c r="A10" s="8" t="s">
        <v>85</v>
      </c>
      <c r="B10" s="8">
        <f t="shared" si="0"/>
        <v>1</v>
      </c>
      <c r="C10" s="8" t="str">
        <f t="shared" si="1"/>
        <v>Unique</v>
      </c>
      <c r="D10" s="9">
        <v>45601</v>
      </c>
      <c r="E10" s="8">
        <f t="shared" si="2"/>
        <v>5</v>
      </c>
      <c r="F10" s="10">
        <v>45606</v>
      </c>
      <c r="G10" s="8" t="s">
        <v>86</v>
      </c>
      <c r="H10" s="8" t="s">
        <v>87</v>
      </c>
      <c r="I10" s="8" t="str">
        <f t="shared" si="9"/>
        <v>Aditi Sen</v>
      </c>
      <c r="J10" s="8" t="s">
        <v>88</v>
      </c>
      <c r="K10" s="8" t="str">
        <f t="shared" si="3"/>
        <v>Corporate</v>
      </c>
      <c r="L10" s="8" t="s">
        <v>52</v>
      </c>
      <c r="M10" s="8" t="str">
        <f t="shared" si="4"/>
        <v>South</v>
      </c>
      <c r="N10" s="8" t="s">
        <v>53</v>
      </c>
      <c r="O10" s="8" t="str">
        <f t="shared" si="5"/>
        <v>Telangana</v>
      </c>
      <c r="P10" s="8" t="s">
        <v>54</v>
      </c>
      <c r="Q10" s="8" t="str">
        <f t="shared" si="6"/>
        <v>Hyderabad</v>
      </c>
      <c r="R10" s="8" t="s">
        <v>26</v>
      </c>
      <c r="S10" s="8" t="str">
        <f t="shared" si="7"/>
        <v>Office Supplies</v>
      </c>
      <c r="T10" s="8" t="s">
        <v>89</v>
      </c>
      <c r="U10" s="8" t="str">
        <f t="shared" si="8"/>
        <v>Labels</v>
      </c>
      <c r="V10" s="8" t="s">
        <v>90</v>
      </c>
    </row>
    <row r="11" spans="1:22">
      <c r="A11" s="8" t="s">
        <v>91</v>
      </c>
      <c r="B11" s="8">
        <f t="shared" si="0"/>
        <v>1</v>
      </c>
      <c r="C11" s="8" t="str">
        <f t="shared" si="1"/>
        <v>Unique</v>
      </c>
      <c r="D11" s="9">
        <v>45847</v>
      </c>
      <c r="E11" s="8">
        <f t="shared" si="2"/>
        <v>65</v>
      </c>
      <c r="F11" s="10">
        <v>45912</v>
      </c>
      <c r="G11" s="8" t="s">
        <v>92</v>
      </c>
      <c r="H11" s="8" t="s">
        <v>34</v>
      </c>
      <c r="I11" s="8" t="str">
        <f t="shared" si="9"/>
        <v>Mira Das</v>
      </c>
      <c r="J11" s="8" t="s">
        <v>93</v>
      </c>
      <c r="K11" s="8" t="str">
        <f t="shared" si="3"/>
        <v>Home Office</v>
      </c>
      <c r="L11" s="8" t="s">
        <v>52</v>
      </c>
      <c r="M11" s="8" t="str">
        <f t="shared" si="4"/>
        <v>South</v>
      </c>
      <c r="N11" s="8" t="s">
        <v>53</v>
      </c>
      <c r="O11" s="8" t="str">
        <f t="shared" si="5"/>
        <v>Telangana</v>
      </c>
      <c r="P11" s="8" t="s">
        <v>54</v>
      </c>
      <c r="Q11" s="8" t="str">
        <f t="shared" si="6"/>
        <v>Hyderabad</v>
      </c>
      <c r="R11" s="8" t="s">
        <v>26</v>
      </c>
      <c r="S11" s="8" t="str">
        <f t="shared" si="7"/>
        <v>Office Supplies</v>
      </c>
      <c r="T11" s="8" t="s">
        <v>27</v>
      </c>
      <c r="U11" s="8" t="str">
        <f t="shared" si="8"/>
        <v>Paper</v>
      </c>
      <c r="V11" s="8" t="s">
        <v>94</v>
      </c>
    </row>
    <row r="12" spans="1:22">
      <c r="A12" s="8" t="s">
        <v>95</v>
      </c>
      <c r="B12" s="8">
        <f t="shared" si="0"/>
        <v>1</v>
      </c>
      <c r="C12" s="8" t="str">
        <f t="shared" si="1"/>
        <v>Unique</v>
      </c>
      <c r="D12" s="9">
        <v>45797</v>
      </c>
      <c r="E12" s="8">
        <f t="shared" si="2"/>
        <v>0</v>
      </c>
      <c r="F12" s="10">
        <v>45797</v>
      </c>
      <c r="G12" s="8" t="s">
        <v>96</v>
      </c>
      <c r="H12" s="8" t="s">
        <v>60</v>
      </c>
      <c r="I12" s="8" t="str">
        <f t="shared" si="9"/>
        <v>Ananya Rao</v>
      </c>
      <c r="J12" s="8" t="s">
        <v>88</v>
      </c>
      <c r="K12" s="8" t="str">
        <f t="shared" si="3"/>
        <v>Corporate</v>
      </c>
      <c r="L12" s="8" t="s">
        <v>36</v>
      </c>
      <c r="M12" s="8" t="str">
        <f t="shared" si="4"/>
        <v>East</v>
      </c>
      <c r="N12" s="8" t="s">
        <v>97</v>
      </c>
      <c r="O12" s="8" t="str">
        <f t="shared" si="5"/>
        <v>West Bengal</v>
      </c>
      <c r="P12" s="8" t="s">
        <v>98</v>
      </c>
      <c r="Q12" s="8" t="str">
        <f t="shared" si="6"/>
        <v>Kolkata</v>
      </c>
      <c r="R12" s="8" t="s">
        <v>26</v>
      </c>
      <c r="S12" s="8" t="str">
        <f t="shared" si="7"/>
        <v>Office Supplies</v>
      </c>
      <c r="T12" s="8" t="s">
        <v>89</v>
      </c>
      <c r="U12" s="8" t="str">
        <f t="shared" si="8"/>
        <v>Labels</v>
      </c>
      <c r="V12" s="8" t="s">
        <v>99</v>
      </c>
    </row>
    <row r="13" spans="1:22">
      <c r="A13" s="8" t="s">
        <v>102</v>
      </c>
      <c r="B13" s="8">
        <f t="shared" si="0"/>
        <v>1</v>
      </c>
      <c r="C13" s="8" t="str">
        <f t="shared" si="1"/>
        <v>Unique</v>
      </c>
      <c r="D13" s="9">
        <v>45495</v>
      </c>
      <c r="E13" s="8">
        <f t="shared" si="2"/>
        <v>1</v>
      </c>
      <c r="F13" s="10">
        <v>45496</v>
      </c>
      <c r="G13" s="8" t="s">
        <v>103</v>
      </c>
      <c r="H13" s="8" t="s">
        <v>69</v>
      </c>
      <c r="I13" s="8" t="str">
        <f t="shared" si="9"/>
        <v>Vikram Iyer</v>
      </c>
      <c r="J13" s="8" t="s">
        <v>35</v>
      </c>
      <c r="K13" s="8" t="str">
        <f t="shared" si="3"/>
        <v>Small Business</v>
      </c>
      <c r="L13" s="8" t="s">
        <v>36</v>
      </c>
      <c r="M13" s="8" t="str">
        <f t="shared" si="4"/>
        <v>East</v>
      </c>
      <c r="N13" s="8" t="s">
        <v>37</v>
      </c>
      <c r="O13" s="8" t="str">
        <f t="shared" si="5"/>
        <v>Odisha</v>
      </c>
      <c r="P13" s="8" t="s">
        <v>38</v>
      </c>
      <c r="Q13" s="8" t="str">
        <f t="shared" si="6"/>
        <v>Bhubaneswar</v>
      </c>
      <c r="R13" s="8" t="s">
        <v>72</v>
      </c>
      <c r="S13" s="8" t="str">
        <f t="shared" si="7"/>
        <v>Technology</v>
      </c>
      <c r="T13" s="8" t="s">
        <v>73</v>
      </c>
      <c r="U13" s="8" t="str">
        <f t="shared" si="8"/>
        <v>Accessories</v>
      </c>
      <c r="V13" s="8" t="s">
        <v>104</v>
      </c>
    </row>
    <row r="14" spans="1:22">
      <c r="A14" s="8" t="s">
        <v>105</v>
      </c>
      <c r="B14" s="8">
        <f t="shared" si="0"/>
        <v>1</v>
      </c>
      <c r="C14" s="8" t="str">
        <f t="shared" si="1"/>
        <v>Unique</v>
      </c>
      <c r="D14" s="9">
        <v>45646</v>
      </c>
      <c r="E14" s="8">
        <f t="shared" si="2"/>
        <v>1</v>
      </c>
      <c r="F14" s="10">
        <v>45647</v>
      </c>
      <c r="G14" s="8" t="s">
        <v>106</v>
      </c>
      <c r="H14" s="8" t="s">
        <v>60</v>
      </c>
      <c r="I14" s="8" t="str">
        <f t="shared" si="9"/>
        <v>Ananya Rao</v>
      </c>
      <c r="J14" s="8" t="s">
        <v>88</v>
      </c>
      <c r="K14" s="8" t="str">
        <f t="shared" si="3"/>
        <v>Corporate</v>
      </c>
      <c r="L14" s="8" t="s">
        <v>61</v>
      </c>
      <c r="M14" s="8" t="str">
        <f t="shared" si="4"/>
        <v>West</v>
      </c>
      <c r="N14" s="8" t="s">
        <v>24</v>
      </c>
      <c r="O14" s="8" t="str">
        <f t="shared" si="5"/>
        <v>Rajasthan</v>
      </c>
      <c r="P14" s="8" t="s">
        <v>107</v>
      </c>
      <c r="Q14" s="8" t="str">
        <f t="shared" si="6"/>
        <v>Udaipur</v>
      </c>
      <c r="R14" s="8" t="s">
        <v>26</v>
      </c>
      <c r="S14" s="8" t="str">
        <f t="shared" si="7"/>
        <v>Office Supplies</v>
      </c>
      <c r="T14" s="8" t="s">
        <v>27</v>
      </c>
      <c r="U14" s="8" t="str">
        <f t="shared" si="8"/>
        <v>Paper</v>
      </c>
      <c r="V14" s="8" t="s">
        <v>108</v>
      </c>
    </row>
    <row r="15" spans="1:22">
      <c r="A15" s="8" t="s">
        <v>110</v>
      </c>
      <c r="B15" s="8">
        <f t="shared" si="0"/>
        <v>1</v>
      </c>
      <c r="C15" s="8" t="str">
        <f t="shared" si="1"/>
        <v>Unique</v>
      </c>
      <c r="D15" s="9">
        <v>46001</v>
      </c>
      <c r="E15" s="8">
        <f t="shared" si="2"/>
        <v>-55</v>
      </c>
      <c r="F15" s="10">
        <v>45946</v>
      </c>
      <c r="G15" s="8" t="s">
        <v>111</v>
      </c>
      <c r="H15" s="8" t="s">
        <v>112</v>
      </c>
      <c r="I15" s="8" t="str">
        <f t="shared" si="9"/>
        <v>Priya Menon</v>
      </c>
      <c r="J15" s="8" t="s">
        <v>35</v>
      </c>
      <c r="K15" s="8" t="str">
        <f t="shared" si="3"/>
        <v>Small Business</v>
      </c>
      <c r="L15" s="8" t="s">
        <v>61</v>
      </c>
      <c r="M15" s="8" t="str">
        <f t="shared" si="4"/>
        <v>West</v>
      </c>
      <c r="N15" s="8" t="s">
        <v>62</v>
      </c>
      <c r="O15" s="8" t="str">
        <f t="shared" si="5"/>
        <v>Maharashtra</v>
      </c>
      <c r="P15" s="8" t="s">
        <v>63</v>
      </c>
      <c r="Q15" s="8" t="str">
        <f t="shared" si="6"/>
        <v>Mumbai</v>
      </c>
      <c r="R15" s="8" t="s">
        <v>26</v>
      </c>
      <c r="S15" s="8" t="str">
        <f t="shared" si="7"/>
        <v>Office Supplies</v>
      </c>
      <c r="T15" s="8" t="s">
        <v>46</v>
      </c>
      <c r="U15" s="8" t="str">
        <f t="shared" si="8"/>
        <v>Art</v>
      </c>
      <c r="V15" s="8" t="s">
        <v>113</v>
      </c>
    </row>
    <row r="16" spans="1:22">
      <c r="A16" s="8" t="s">
        <v>114</v>
      </c>
      <c r="B16" s="8">
        <f t="shared" si="0"/>
        <v>1</v>
      </c>
      <c r="C16" s="8" t="str">
        <f t="shared" si="1"/>
        <v>Unique</v>
      </c>
      <c r="D16" s="9">
        <v>45653</v>
      </c>
      <c r="E16" s="8">
        <f t="shared" si="2"/>
        <v>1</v>
      </c>
      <c r="F16" s="10">
        <v>45654</v>
      </c>
      <c r="G16" s="8" t="s">
        <v>115</v>
      </c>
      <c r="H16" s="8" t="s">
        <v>116</v>
      </c>
      <c r="I16" s="8" t="str">
        <f t="shared" si="9"/>
        <v>Rahul Verma</v>
      </c>
      <c r="J16" s="8" t="s">
        <v>22</v>
      </c>
      <c r="K16" s="8" t="str">
        <f t="shared" si="3"/>
        <v>Consumer</v>
      </c>
      <c r="L16" s="8" t="s">
        <v>61</v>
      </c>
      <c r="M16" s="8" t="str">
        <f t="shared" si="4"/>
        <v>West</v>
      </c>
      <c r="N16" s="8" t="s">
        <v>24</v>
      </c>
      <c r="O16" s="8" t="str">
        <f t="shared" si="5"/>
        <v>Rajasthan</v>
      </c>
      <c r="P16" s="8" t="s">
        <v>107</v>
      </c>
      <c r="Q16" s="8" t="str">
        <f t="shared" si="6"/>
        <v>Udaipur</v>
      </c>
      <c r="R16" s="8" t="s">
        <v>72</v>
      </c>
      <c r="S16" s="8" t="str">
        <f t="shared" si="7"/>
        <v>Technology</v>
      </c>
      <c r="T16" s="8" t="s">
        <v>78</v>
      </c>
      <c r="U16" s="8" t="str">
        <f t="shared" si="8"/>
        <v>Copiers</v>
      </c>
      <c r="V16" s="8" t="s">
        <v>117</v>
      </c>
    </row>
    <row r="17" spans="1:22">
      <c r="A17" s="8" t="s">
        <v>118</v>
      </c>
      <c r="B17" s="8">
        <f t="shared" si="0"/>
        <v>1</v>
      </c>
      <c r="C17" s="8" t="str">
        <f t="shared" si="1"/>
        <v>Unique</v>
      </c>
      <c r="D17" s="9">
        <v>45482</v>
      </c>
      <c r="E17" s="8">
        <f t="shared" si="2"/>
        <v>60</v>
      </c>
      <c r="F17" s="10">
        <v>45542</v>
      </c>
      <c r="G17" s="8" t="s">
        <v>119</v>
      </c>
      <c r="H17" s="8" t="s">
        <v>21</v>
      </c>
      <c r="I17" s="8" t="str">
        <f t="shared" si="9"/>
        <v>Karan Malhotra</v>
      </c>
      <c r="J17" s="8" t="s">
        <v>35</v>
      </c>
      <c r="K17" s="8" t="str">
        <f t="shared" si="3"/>
        <v>Small Business</v>
      </c>
      <c r="L17" s="8" t="s">
        <v>23</v>
      </c>
      <c r="M17" s="8" t="str">
        <f t="shared" si="4"/>
        <v>North</v>
      </c>
      <c r="N17" s="8" t="s">
        <v>120</v>
      </c>
      <c r="O17" s="8" t="str">
        <f t="shared" si="5"/>
        <v>Punjab</v>
      </c>
      <c r="P17" s="8" t="s">
        <v>121</v>
      </c>
      <c r="Q17" s="8" t="str">
        <f t="shared" si="6"/>
        <v>Ludhiana</v>
      </c>
      <c r="R17" s="8" t="s">
        <v>26</v>
      </c>
      <c r="S17" s="8" t="str">
        <f t="shared" si="7"/>
        <v>Office Supplies</v>
      </c>
      <c r="T17" s="8" t="s">
        <v>122</v>
      </c>
      <c r="U17" s="8" t="str">
        <f t="shared" si="8"/>
        <v>Storage</v>
      </c>
      <c r="V17" s="8" t="s">
        <v>123</v>
      </c>
    </row>
    <row r="18" spans="1:22">
      <c r="A18" s="8" t="s">
        <v>124</v>
      </c>
      <c r="B18" s="8">
        <f t="shared" si="0"/>
        <v>1</v>
      </c>
      <c r="C18" s="8" t="str">
        <f t="shared" si="1"/>
        <v>Unique</v>
      </c>
      <c r="D18" s="9">
        <v>45420</v>
      </c>
      <c r="E18" s="8">
        <f t="shared" si="2"/>
        <v>7</v>
      </c>
      <c r="F18" s="10">
        <v>45427</v>
      </c>
      <c r="G18" s="8" t="s">
        <v>125</v>
      </c>
      <c r="H18" s="8" t="s">
        <v>126</v>
      </c>
      <c r="I18" s="8" t="str">
        <f t="shared" si="9"/>
        <v>Aarav Sharma</v>
      </c>
      <c r="J18" s="8" t="s">
        <v>22</v>
      </c>
      <c r="K18" s="8" t="str">
        <f t="shared" si="3"/>
        <v>Consumer</v>
      </c>
      <c r="L18" s="8" t="s">
        <v>52</v>
      </c>
      <c r="M18" s="8" t="str">
        <f t="shared" si="4"/>
        <v>South</v>
      </c>
      <c r="N18" s="8" t="s">
        <v>53</v>
      </c>
      <c r="O18" s="8" t="str">
        <f t="shared" si="5"/>
        <v>Telangana</v>
      </c>
      <c r="P18" s="8" t="s">
        <v>54</v>
      </c>
      <c r="Q18" s="8" t="str">
        <f t="shared" si="6"/>
        <v>Hyderabad</v>
      </c>
      <c r="R18" s="8" t="s">
        <v>26</v>
      </c>
      <c r="S18" s="8" t="str">
        <f t="shared" si="7"/>
        <v>Office Supplies</v>
      </c>
      <c r="T18" s="8" t="s">
        <v>46</v>
      </c>
      <c r="U18" s="8" t="str">
        <f t="shared" si="8"/>
        <v>Art</v>
      </c>
      <c r="V18" s="8" t="s">
        <v>127</v>
      </c>
    </row>
    <row r="19" spans="1:22">
      <c r="A19" s="8" t="s">
        <v>128</v>
      </c>
      <c r="B19" s="8">
        <f t="shared" si="0"/>
        <v>1</v>
      </c>
      <c r="C19" s="8" t="str">
        <f t="shared" si="1"/>
        <v>Unique</v>
      </c>
      <c r="D19" s="9">
        <v>45298</v>
      </c>
      <c r="E19" s="8">
        <f t="shared" si="2"/>
        <v>207</v>
      </c>
      <c r="F19" s="10">
        <v>45505</v>
      </c>
      <c r="G19" s="8" t="s">
        <v>129</v>
      </c>
      <c r="H19" s="8" t="s">
        <v>130</v>
      </c>
      <c r="I19" s="8" t="str">
        <f t="shared" si="9"/>
        <v>Sneha Kapoor</v>
      </c>
      <c r="J19" s="8" t="s">
        <v>35</v>
      </c>
      <c r="K19" s="8" t="str">
        <f t="shared" si="3"/>
        <v>Small Business</v>
      </c>
      <c r="L19" s="8" t="s">
        <v>23</v>
      </c>
      <c r="M19" s="8" t="str">
        <f t="shared" si="4"/>
        <v>North</v>
      </c>
      <c r="N19" s="8" t="s">
        <v>24</v>
      </c>
      <c r="O19" s="8" t="str">
        <f t="shared" si="5"/>
        <v>Rajasthan</v>
      </c>
      <c r="P19" s="8" t="s">
        <v>25</v>
      </c>
      <c r="Q19" s="8" t="str">
        <f t="shared" si="6"/>
        <v>Jaipur</v>
      </c>
      <c r="R19" s="8" t="s">
        <v>39</v>
      </c>
      <c r="S19" s="8" t="str">
        <f t="shared" si="7"/>
        <v>Furniture</v>
      </c>
      <c r="T19" s="8" t="s">
        <v>55</v>
      </c>
      <c r="U19" s="8" t="str">
        <f t="shared" si="8"/>
        <v>Furnishings</v>
      </c>
      <c r="V19" s="8" t="s">
        <v>131</v>
      </c>
    </row>
    <row r="20" spans="1:22">
      <c r="A20" s="8" t="s">
        <v>132</v>
      </c>
      <c r="B20" s="8">
        <f t="shared" si="0"/>
        <v>1</v>
      </c>
      <c r="C20" s="8" t="str">
        <f t="shared" si="1"/>
        <v>Unique</v>
      </c>
      <c r="D20" s="9">
        <v>45853</v>
      </c>
      <c r="E20" s="8">
        <f t="shared" si="2"/>
        <v>2</v>
      </c>
      <c r="F20" s="10">
        <v>45855</v>
      </c>
      <c r="G20" s="8" t="s">
        <v>133</v>
      </c>
      <c r="H20" s="8" t="s">
        <v>126</v>
      </c>
      <c r="I20" s="8" t="str">
        <f t="shared" si="9"/>
        <v>Aarav Sharma</v>
      </c>
      <c r="J20" s="8" t="s">
        <v>93</v>
      </c>
      <c r="K20" s="8" t="str">
        <f t="shared" si="3"/>
        <v>Home Office</v>
      </c>
      <c r="L20" s="8" t="s">
        <v>23</v>
      </c>
      <c r="M20" s="8" t="str">
        <f t="shared" si="4"/>
        <v>North</v>
      </c>
      <c r="N20" s="8" t="s">
        <v>134</v>
      </c>
      <c r="O20" s="8" t="str">
        <f t="shared" si="5"/>
        <v>Uttar Pradesh</v>
      </c>
      <c r="P20" s="8" t="s">
        <v>135</v>
      </c>
      <c r="Q20" s="8" t="str">
        <f t="shared" si="6"/>
        <v>Noida</v>
      </c>
      <c r="R20" s="8" t="s">
        <v>72</v>
      </c>
      <c r="S20" s="8" t="str">
        <f t="shared" si="7"/>
        <v>Technology</v>
      </c>
      <c r="T20" s="8" t="s">
        <v>78</v>
      </c>
      <c r="U20" s="8" t="str">
        <f t="shared" si="8"/>
        <v>Copiers</v>
      </c>
      <c r="V20" s="8" t="s">
        <v>136</v>
      </c>
    </row>
    <row r="21" spans="1:22">
      <c r="A21" s="8" t="s">
        <v>137</v>
      </c>
      <c r="B21" s="8">
        <f t="shared" si="0"/>
        <v>1</v>
      </c>
      <c r="C21" s="8" t="str">
        <f t="shared" si="1"/>
        <v>Unique</v>
      </c>
      <c r="D21" s="9">
        <v>45500</v>
      </c>
      <c r="E21" s="8">
        <f t="shared" si="2"/>
        <v>4</v>
      </c>
      <c r="F21" s="10">
        <v>45504</v>
      </c>
      <c r="G21" s="8" t="s">
        <v>138</v>
      </c>
      <c r="H21" s="8" t="s">
        <v>139</v>
      </c>
      <c r="I21" s="8" t="str">
        <f t="shared" si="9"/>
        <v>Rohan Mehta</v>
      </c>
      <c r="J21" s="8" t="s">
        <v>93</v>
      </c>
      <c r="K21" s="8" t="str">
        <f t="shared" si="3"/>
        <v>Home Office</v>
      </c>
      <c r="L21" s="8" t="s">
        <v>61</v>
      </c>
      <c r="M21" s="8" t="str">
        <f t="shared" si="4"/>
        <v>West</v>
      </c>
      <c r="N21" s="8" t="s">
        <v>70</v>
      </c>
      <c r="O21" s="8" t="str">
        <f t="shared" si="5"/>
        <v>Madhya Pradesh</v>
      </c>
      <c r="P21" s="8" t="s">
        <v>71</v>
      </c>
      <c r="Q21" s="8" t="str">
        <f t="shared" si="6"/>
        <v>Indore</v>
      </c>
      <c r="R21" s="8" t="s">
        <v>26</v>
      </c>
      <c r="S21" s="8" t="str">
        <f t="shared" si="7"/>
        <v>Office Supplies</v>
      </c>
      <c r="T21" s="8" t="s">
        <v>122</v>
      </c>
      <c r="U21" s="8" t="str">
        <f t="shared" si="8"/>
        <v>Storage</v>
      </c>
      <c r="V21" s="8" t="s">
        <v>140</v>
      </c>
    </row>
    <row r="22" spans="1:22">
      <c r="A22" s="8" t="s">
        <v>141</v>
      </c>
      <c r="B22" s="8">
        <f t="shared" si="0"/>
        <v>1</v>
      </c>
      <c r="C22" s="8" t="str">
        <f t="shared" si="1"/>
        <v>Unique</v>
      </c>
      <c r="D22" s="9">
        <v>45678</v>
      </c>
      <c r="E22" s="8">
        <f t="shared" si="2"/>
        <v>2</v>
      </c>
      <c r="F22" s="10">
        <v>45680</v>
      </c>
      <c r="G22" s="8" t="s">
        <v>142</v>
      </c>
      <c r="H22" s="8" t="s">
        <v>87</v>
      </c>
      <c r="I22" s="8" t="str">
        <f t="shared" si="9"/>
        <v>Aditi Sen</v>
      </c>
      <c r="J22" s="8" t="s">
        <v>93</v>
      </c>
      <c r="K22" s="8" t="str">
        <f t="shared" si="3"/>
        <v>Home Office</v>
      </c>
      <c r="L22" s="8" t="s">
        <v>36</v>
      </c>
      <c r="M22" s="8" t="str">
        <f t="shared" si="4"/>
        <v>East</v>
      </c>
      <c r="N22" s="8" t="s">
        <v>143</v>
      </c>
      <c r="O22" s="8" t="str">
        <f t="shared" si="5"/>
        <v>Bihar</v>
      </c>
      <c r="P22" s="8" t="s">
        <v>144</v>
      </c>
      <c r="Q22" s="8" t="str">
        <f t="shared" si="6"/>
        <v>Patna</v>
      </c>
      <c r="R22" s="8" t="s">
        <v>72</v>
      </c>
      <c r="S22" s="8" t="str">
        <f t="shared" si="7"/>
        <v>Technology</v>
      </c>
      <c r="T22" s="8" t="s">
        <v>78</v>
      </c>
      <c r="U22" s="8" t="str">
        <f t="shared" si="8"/>
        <v>Copiers</v>
      </c>
      <c r="V22" s="8" t="s">
        <v>145</v>
      </c>
    </row>
    <row r="23" spans="1:22">
      <c r="A23" s="8" t="s">
        <v>146</v>
      </c>
      <c r="B23" s="8">
        <f t="shared" si="0"/>
        <v>1</v>
      </c>
      <c r="C23" s="8" t="str">
        <f t="shared" si="1"/>
        <v>Unique</v>
      </c>
      <c r="D23" s="9">
        <v>45681</v>
      </c>
      <c r="E23" s="8">
        <f t="shared" si="2"/>
        <v>6</v>
      </c>
      <c r="F23" s="10">
        <v>45687</v>
      </c>
      <c r="G23" s="8" t="s">
        <v>147</v>
      </c>
      <c r="H23" s="8" t="s">
        <v>130</v>
      </c>
      <c r="I23" s="8" t="str">
        <f t="shared" si="9"/>
        <v>Sneha Kapoor</v>
      </c>
      <c r="J23" s="8" t="s">
        <v>22</v>
      </c>
      <c r="K23" s="8" t="str">
        <f t="shared" si="3"/>
        <v>Consumer</v>
      </c>
      <c r="L23" s="8" t="s">
        <v>61</v>
      </c>
      <c r="M23" s="8" t="str">
        <f t="shared" si="4"/>
        <v>West</v>
      </c>
      <c r="N23" s="8" t="s">
        <v>70</v>
      </c>
      <c r="O23" s="8" t="str">
        <f t="shared" si="5"/>
        <v>Madhya Pradesh</v>
      </c>
      <c r="P23" s="8" t="s">
        <v>71</v>
      </c>
      <c r="Q23" s="8" t="str">
        <f t="shared" si="6"/>
        <v>Indore</v>
      </c>
      <c r="R23" s="8" t="s">
        <v>39</v>
      </c>
      <c r="S23" s="8" t="str">
        <f t="shared" si="7"/>
        <v>Furniture</v>
      </c>
      <c r="T23" s="8" t="s">
        <v>55</v>
      </c>
      <c r="U23" s="8" t="str">
        <f t="shared" si="8"/>
        <v>Furnishings</v>
      </c>
      <c r="V23" s="8" t="s">
        <v>148</v>
      </c>
    </row>
    <row r="24" spans="1:22">
      <c r="A24" s="8" t="s">
        <v>149</v>
      </c>
      <c r="B24" s="8">
        <f t="shared" si="0"/>
        <v>1</v>
      </c>
      <c r="C24" s="8" t="str">
        <f t="shared" si="1"/>
        <v>Unique</v>
      </c>
      <c r="D24" s="9">
        <v>45676</v>
      </c>
      <c r="E24" s="8">
        <f t="shared" si="2"/>
        <v>2</v>
      </c>
      <c r="F24" s="10">
        <v>45678</v>
      </c>
      <c r="G24" s="8" t="s">
        <v>150</v>
      </c>
      <c r="H24" s="8" t="s">
        <v>34</v>
      </c>
      <c r="I24" s="8" t="str">
        <f t="shared" si="9"/>
        <v>Mira Das</v>
      </c>
      <c r="J24" s="8" t="s">
        <v>22</v>
      </c>
      <c r="K24" s="8" t="str">
        <f t="shared" si="3"/>
        <v>Consumer</v>
      </c>
      <c r="L24" s="8" t="s">
        <v>52</v>
      </c>
      <c r="M24" s="8" t="str">
        <f t="shared" si="4"/>
        <v>South</v>
      </c>
      <c r="N24" s="8" t="s">
        <v>53</v>
      </c>
      <c r="O24" s="8" t="str">
        <f t="shared" si="5"/>
        <v>Telangana</v>
      </c>
      <c r="P24" s="8" t="s">
        <v>54</v>
      </c>
      <c r="Q24" s="8" t="str">
        <f t="shared" si="6"/>
        <v>Hyderabad</v>
      </c>
      <c r="R24" s="8" t="s">
        <v>26</v>
      </c>
      <c r="S24" s="8" t="str">
        <f t="shared" si="7"/>
        <v>Office Supplies</v>
      </c>
      <c r="T24" s="8" t="s">
        <v>151</v>
      </c>
      <c r="U24" s="8" t="str">
        <f t="shared" si="8"/>
        <v>Binders</v>
      </c>
      <c r="V24" s="8" t="s">
        <v>152</v>
      </c>
    </row>
    <row r="25" spans="1:22">
      <c r="A25" s="8" t="s">
        <v>154</v>
      </c>
      <c r="B25" s="8">
        <f t="shared" si="0"/>
        <v>1</v>
      </c>
      <c r="C25" s="8" t="str">
        <f t="shared" si="1"/>
        <v>Unique</v>
      </c>
      <c r="D25" s="9">
        <v>45898</v>
      </c>
      <c r="E25" s="8">
        <f t="shared" si="2"/>
        <v>2</v>
      </c>
      <c r="F25" s="10">
        <v>45900</v>
      </c>
      <c r="G25" s="8" t="s">
        <v>155</v>
      </c>
      <c r="H25" s="8" t="s">
        <v>116</v>
      </c>
      <c r="I25" s="8" t="str">
        <f t="shared" si="9"/>
        <v>Rahul Verma</v>
      </c>
      <c r="J25" s="8" t="s">
        <v>93</v>
      </c>
      <c r="K25" s="8" t="str">
        <f t="shared" si="3"/>
        <v>Home Office</v>
      </c>
      <c r="L25" s="8" t="s">
        <v>36</v>
      </c>
      <c r="M25" s="8" t="str">
        <f t="shared" si="4"/>
        <v>East</v>
      </c>
      <c r="N25" s="8" t="s">
        <v>143</v>
      </c>
      <c r="O25" s="8" t="str">
        <f t="shared" si="5"/>
        <v>Bihar</v>
      </c>
      <c r="P25" s="8" t="s">
        <v>144</v>
      </c>
      <c r="Q25" s="8" t="str">
        <f t="shared" si="6"/>
        <v>Patna</v>
      </c>
      <c r="R25" s="8" t="s">
        <v>39</v>
      </c>
      <c r="S25" s="8" t="str">
        <f t="shared" si="7"/>
        <v>Furniture</v>
      </c>
      <c r="T25" s="8" t="s">
        <v>156</v>
      </c>
      <c r="U25" s="8" t="str">
        <f t="shared" si="8"/>
        <v>Bookcases</v>
      </c>
      <c r="V25" s="8" t="s">
        <v>157</v>
      </c>
    </row>
    <row r="26" spans="1:22">
      <c r="A26" s="8" t="s">
        <v>158</v>
      </c>
      <c r="B26" s="8">
        <f t="shared" si="0"/>
        <v>1</v>
      </c>
      <c r="C26" s="8" t="str">
        <f t="shared" si="1"/>
        <v>Unique</v>
      </c>
      <c r="D26" s="9">
        <v>45385</v>
      </c>
      <c r="E26" s="8">
        <f t="shared" si="2"/>
        <v>-33</v>
      </c>
      <c r="F26" s="10">
        <v>45352</v>
      </c>
      <c r="G26" s="8" t="s">
        <v>159</v>
      </c>
      <c r="H26" s="8" t="s">
        <v>160</v>
      </c>
      <c r="I26" s="8" t="str">
        <f t="shared" si="9"/>
        <v>Diya Patel</v>
      </c>
      <c r="J26" s="8" t="s">
        <v>22</v>
      </c>
      <c r="K26" s="8" t="str">
        <f t="shared" si="3"/>
        <v>Consumer</v>
      </c>
      <c r="L26" s="8" t="s">
        <v>23</v>
      </c>
      <c r="M26" s="8" t="str">
        <f t="shared" si="4"/>
        <v>North</v>
      </c>
      <c r="N26" s="8" t="s">
        <v>120</v>
      </c>
      <c r="O26" s="8" t="str">
        <f t="shared" si="5"/>
        <v>Punjab</v>
      </c>
      <c r="P26" s="8" t="s">
        <v>121</v>
      </c>
      <c r="Q26" s="8" t="str">
        <f t="shared" si="6"/>
        <v>Ludhiana</v>
      </c>
      <c r="R26" s="8" t="s">
        <v>26</v>
      </c>
      <c r="S26" s="8" t="str">
        <f t="shared" si="7"/>
        <v>Office Supplies</v>
      </c>
      <c r="T26" s="8" t="s">
        <v>46</v>
      </c>
      <c r="U26" s="8" t="str">
        <f t="shared" si="8"/>
        <v>Art</v>
      </c>
      <c r="V26" s="8" t="s">
        <v>161</v>
      </c>
    </row>
    <row r="27" spans="1:22">
      <c r="A27" s="8" t="s">
        <v>162</v>
      </c>
      <c r="B27" s="8">
        <f t="shared" si="0"/>
        <v>1</v>
      </c>
      <c r="C27" s="8" t="str">
        <f t="shared" si="1"/>
        <v>Unique</v>
      </c>
      <c r="D27" s="9">
        <v>45606</v>
      </c>
      <c r="E27" s="8">
        <f t="shared" si="2"/>
        <v>-22</v>
      </c>
      <c r="F27" s="10">
        <v>45584</v>
      </c>
      <c r="G27" s="8" t="s">
        <v>163</v>
      </c>
      <c r="H27" s="8" t="s">
        <v>51</v>
      </c>
      <c r="I27" s="8" t="str">
        <f t="shared" si="9"/>
        <v>Arjun Bose</v>
      </c>
      <c r="J27" s="8" t="s">
        <v>88</v>
      </c>
      <c r="K27" s="8" t="str">
        <f t="shared" si="3"/>
        <v>Corporate</v>
      </c>
      <c r="L27" s="8" t="s">
        <v>36</v>
      </c>
      <c r="M27" s="8" t="str">
        <f t="shared" si="4"/>
        <v>East</v>
      </c>
      <c r="N27" s="8" t="s">
        <v>164</v>
      </c>
      <c r="O27" s="8" t="str">
        <f t="shared" si="5"/>
        <v>Assam</v>
      </c>
      <c r="P27" s="8" t="s">
        <v>165</v>
      </c>
      <c r="Q27" s="8" t="str">
        <f t="shared" si="6"/>
        <v>Guwahati</v>
      </c>
      <c r="R27" s="8" t="s">
        <v>72</v>
      </c>
      <c r="S27" s="8" t="str">
        <f t="shared" si="7"/>
        <v>Technology</v>
      </c>
      <c r="T27" s="8" t="s">
        <v>73</v>
      </c>
      <c r="U27" s="8" t="str">
        <f t="shared" si="8"/>
        <v>Accessories</v>
      </c>
      <c r="V27" s="8" t="s">
        <v>166</v>
      </c>
    </row>
    <row r="28" spans="1:22">
      <c r="A28" s="8" t="s">
        <v>167</v>
      </c>
      <c r="B28" s="8">
        <f t="shared" si="0"/>
        <v>1</v>
      </c>
      <c r="C28" s="8" t="str">
        <f t="shared" si="1"/>
        <v>Unique</v>
      </c>
      <c r="D28" s="9">
        <v>45619</v>
      </c>
      <c r="E28" s="8">
        <f t="shared" si="2"/>
        <v>0</v>
      </c>
      <c r="F28" s="10">
        <v>45619</v>
      </c>
      <c r="G28" s="8" t="s">
        <v>168</v>
      </c>
      <c r="H28" s="8" t="s">
        <v>160</v>
      </c>
      <c r="I28" s="8" t="str">
        <f t="shared" si="9"/>
        <v>Diya Patel</v>
      </c>
      <c r="J28" s="8" t="s">
        <v>88</v>
      </c>
      <c r="K28" s="8" t="str">
        <f t="shared" si="3"/>
        <v>Corporate</v>
      </c>
      <c r="L28" s="8" t="s">
        <v>23</v>
      </c>
      <c r="M28" s="8" t="str">
        <f t="shared" si="4"/>
        <v>North</v>
      </c>
      <c r="N28" s="8" t="s">
        <v>134</v>
      </c>
      <c r="O28" s="8" t="str">
        <f t="shared" si="5"/>
        <v>Uttar Pradesh</v>
      </c>
      <c r="P28" s="8" t="s">
        <v>135</v>
      </c>
      <c r="Q28" s="8" t="str">
        <f t="shared" si="6"/>
        <v>Noida</v>
      </c>
      <c r="R28" s="8" t="s">
        <v>72</v>
      </c>
      <c r="S28" s="8" t="str">
        <f t="shared" si="7"/>
        <v>Technology</v>
      </c>
      <c r="T28" s="8" t="s">
        <v>169</v>
      </c>
      <c r="U28" s="8" t="str">
        <f t="shared" si="8"/>
        <v>Phones</v>
      </c>
      <c r="V28" s="8" t="s">
        <v>170</v>
      </c>
    </row>
    <row r="29" spans="1:22">
      <c r="A29" s="8" t="s">
        <v>171</v>
      </c>
      <c r="B29" s="8">
        <f t="shared" si="0"/>
        <v>1</v>
      </c>
      <c r="C29" s="8" t="str">
        <f t="shared" si="1"/>
        <v>Unique</v>
      </c>
      <c r="D29" s="9">
        <v>45929</v>
      </c>
      <c r="E29" s="8">
        <f t="shared" si="2"/>
        <v>-142</v>
      </c>
      <c r="F29" s="10">
        <v>45787</v>
      </c>
      <c r="G29" s="8" t="s">
        <v>172</v>
      </c>
      <c r="H29" s="8" t="s">
        <v>51</v>
      </c>
      <c r="I29" s="8" t="str">
        <f t="shared" si="9"/>
        <v>Arjun Bose</v>
      </c>
      <c r="J29" s="8" t="s">
        <v>35</v>
      </c>
      <c r="K29" s="8" t="str">
        <f t="shared" si="3"/>
        <v>Small Business</v>
      </c>
      <c r="L29" s="8" t="s">
        <v>52</v>
      </c>
      <c r="M29" s="8" t="str">
        <f t="shared" si="4"/>
        <v>South</v>
      </c>
      <c r="N29" s="8" t="s">
        <v>173</v>
      </c>
      <c r="O29" s="8" t="str">
        <f t="shared" si="5"/>
        <v>Karnataka</v>
      </c>
      <c r="P29" s="8" t="s">
        <v>174</v>
      </c>
      <c r="Q29" s="8" t="str">
        <f t="shared" si="6"/>
        <v>Bengaluru</v>
      </c>
      <c r="R29" s="8" t="s">
        <v>26</v>
      </c>
      <c r="S29" s="8" t="str">
        <f t="shared" si="7"/>
        <v>Office Supplies</v>
      </c>
      <c r="T29" s="8" t="s">
        <v>27</v>
      </c>
      <c r="U29" s="8" t="str">
        <f t="shared" si="8"/>
        <v>Paper</v>
      </c>
      <c r="V29" s="8" t="s">
        <v>175</v>
      </c>
    </row>
    <row r="30" spans="1:22">
      <c r="A30" s="8" t="s">
        <v>176</v>
      </c>
      <c r="B30" s="8">
        <f t="shared" si="0"/>
        <v>1</v>
      </c>
      <c r="C30" s="8" t="str">
        <f t="shared" si="1"/>
        <v>Unique</v>
      </c>
      <c r="D30" s="9">
        <v>45606</v>
      </c>
      <c r="E30" s="8">
        <f t="shared" si="2"/>
        <v>-23</v>
      </c>
      <c r="F30" s="10">
        <v>45583</v>
      </c>
      <c r="G30" s="8" t="s">
        <v>177</v>
      </c>
      <c r="H30" s="8" t="s">
        <v>60</v>
      </c>
      <c r="I30" s="8" t="str">
        <f t="shared" si="9"/>
        <v>Ananya Rao</v>
      </c>
      <c r="J30" s="8" t="s">
        <v>93</v>
      </c>
      <c r="K30" s="8" t="str">
        <f t="shared" si="3"/>
        <v>Home Office</v>
      </c>
      <c r="L30" s="8" t="s">
        <v>61</v>
      </c>
      <c r="M30" s="8" t="str">
        <f t="shared" si="4"/>
        <v>West</v>
      </c>
      <c r="N30" s="8" t="s">
        <v>178</v>
      </c>
      <c r="O30" s="8" t="str">
        <f t="shared" si="5"/>
        <v>Gujarat</v>
      </c>
      <c r="P30" s="8" t="s">
        <v>179</v>
      </c>
      <c r="Q30" s="8" t="str">
        <f t="shared" si="6"/>
        <v>Ahmedabad</v>
      </c>
      <c r="R30" s="8" t="s">
        <v>72</v>
      </c>
      <c r="S30" s="8" t="str">
        <f t="shared" si="7"/>
        <v>Technology</v>
      </c>
      <c r="T30" s="8" t="s">
        <v>169</v>
      </c>
      <c r="U30" s="8" t="str">
        <f t="shared" si="8"/>
        <v>Phones</v>
      </c>
      <c r="V30" s="8" t="s">
        <v>180</v>
      </c>
    </row>
    <row r="31" spans="1:22">
      <c r="A31" s="8" t="s">
        <v>181</v>
      </c>
      <c r="B31" s="8">
        <f t="shared" si="0"/>
        <v>1</v>
      </c>
      <c r="C31" s="8" t="str">
        <f t="shared" si="1"/>
        <v>Unique</v>
      </c>
      <c r="D31" s="9">
        <v>45882</v>
      </c>
      <c r="E31" s="8">
        <f t="shared" si="2"/>
        <v>0</v>
      </c>
      <c r="F31" s="10">
        <v>45882</v>
      </c>
      <c r="G31" s="8" t="s">
        <v>182</v>
      </c>
      <c r="H31" s="8" t="s">
        <v>139</v>
      </c>
      <c r="I31" s="8" t="str">
        <f t="shared" si="9"/>
        <v>Rohan Mehta</v>
      </c>
      <c r="J31" s="8" t="s">
        <v>93</v>
      </c>
      <c r="K31" s="8" t="str">
        <f t="shared" si="3"/>
        <v>Home Office</v>
      </c>
      <c r="L31" s="8" t="s">
        <v>52</v>
      </c>
      <c r="M31" s="8" t="str">
        <f t="shared" si="4"/>
        <v>South</v>
      </c>
      <c r="N31" s="8" t="s">
        <v>183</v>
      </c>
      <c r="O31" s="8" t="str">
        <f t="shared" si="5"/>
        <v>Kerala</v>
      </c>
      <c r="P31" s="8" t="s">
        <v>184</v>
      </c>
      <c r="Q31" s="8" t="str">
        <f t="shared" si="6"/>
        <v>Kochi</v>
      </c>
      <c r="R31" s="8" t="s">
        <v>72</v>
      </c>
      <c r="S31" s="8" t="str">
        <f t="shared" si="7"/>
        <v>Technology</v>
      </c>
      <c r="T31" s="8" t="s">
        <v>169</v>
      </c>
      <c r="U31" s="8" t="str">
        <f t="shared" si="8"/>
        <v>Phones</v>
      </c>
      <c r="V31" s="8" t="s">
        <v>185</v>
      </c>
    </row>
    <row r="32" spans="1:22">
      <c r="A32" s="8" t="s">
        <v>186</v>
      </c>
      <c r="B32" s="8">
        <f t="shared" si="0"/>
        <v>1</v>
      </c>
      <c r="C32" s="8" t="str">
        <f t="shared" si="1"/>
        <v>Unique</v>
      </c>
      <c r="D32" s="9">
        <v>45537</v>
      </c>
      <c r="E32" s="8">
        <f t="shared" si="2"/>
        <v>-203</v>
      </c>
      <c r="F32" s="10">
        <v>45334</v>
      </c>
      <c r="G32" s="8" t="s">
        <v>187</v>
      </c>
      <c r="H32" s="8" t="s">
        <v>60</v>
      </c>
      <c r="I32" s="8" t="str">
        <f t="shared" si="9"/>
        <v>Ananya Rao</v>
      </c>
      <c r="J32" s="8" t="s">
        <v>88</v>
      </c>
      <c r="K32" s="8" t="str">
        <f t="shared" si="3"/>
        <v>Corporate</v>
      </c>
      <c r="L32" s="8" t="s">
        <v>61</v>
      </c>
      <c r="M32" s="8" t="str">
        <f t="shared" si="4"/>
        <v>West</v>
      </c>
      <c r="N32" s="8" t="s">
        <v>188</v>
      </c>
      <c r="O32" s="8" t="str">
        <f t="shared" si="5"/>
        <v>Goa</v>
      </c>
      <c r="P32" s="8" t="s">
        <v>189</v>
      </c>
      <c r="Q32" s="8" t="str">
        <f t="shared" si="6"/>
        <v>Panaji</v>
      </c>
      <c r="R32" s="8" t="s">
        <v>26</v>
      </c>
      <c r="S32" s="8" t="str">
        <f t="shared" si="7"/>
        <v>Office Supplies</v>
      </c>
      <c r="T32" s="8" t="s">
        <v>89</v>
      </c>
      <c r="U32" s="8" t="str">
        <f t="shared" si="8"/>
        <v>Labels</v>
      </c>
      <c r="V32" s="8" t="s">
        <v>190</v>
      </c>
    </row>
    <row r="33" spans="1:22">
      <c r="A33" s="8" t="s">
        <v>191</v>
      </c>
      <c r="B33" s="8">
        <f t="shared" si="0"/>
        <v>1</v>
      </c>
      <c r="C33" s="8" t="str">
        <f t="shared" si="1"/>
        <v>Unique</v>
      </c>
      <c r="D33" s="9">
        <v>45823</v>
      </c>
      <c r="E33" s="8">
        <f t="shared" si="2"/>
        <v>4</v>
      </c>
      <c r="F33" s="10">
        <v>45827</v>
      </c>
      <c r="G33" s="8" t="s">
        <v>192</v>
      </c>
      <c r="H33" s="8" t="s">
        <v>21</v>
      </c>
      <c r="I33" s="8" t="str">
        <f t="shared" si="9"/>
        <v>Karan Malhotra</v>
      </c>
      <c r="J33" s="8" t="s">
        <v>35</v>
      </c>
      <c r="K33" s="8" t="str">
        <f t="shared" si="3"/>
        <v>Small Business</v>
      </c>
      <c r="L33" s="8" t="s">
        <v>61</v>
      </c>
      <c r="M33" s="8" t="str">
        <f t="shared" si="4"/>
        <v>West</v>
      </c>
      <c r="N33" s="8" t="s">
        <v>70</v>
      </c>
      <c r="O33" s="8" t="str">
        <f t="shared" si="5"/>
        <v>Madhya Pradesh</v>
      </c>
      <c r="P33" s="8" t="s">
        <v>71</v>
      </c>
      <c r="Q33" s="8" t="str">
        <f t="shared" si="6"/>
        <v>Indore</v>
      </c>
      <c r="R33" s="8" t="s">
        <v>26</v>
      </c>
      <c r="S33" s="8" t="str">
        <f t="shared" si="7"/>
        <v>Office Supplies</v>
      </c>
      <c r="T33" s="8" t="s">
        <v>27</v>
      </c>
      <c r="U33" s="8" t="str">
        <f t="shared" si="8"/>
        <v>Paper</v>
      </c>
      <c r="V33" s="8" t="s">
        <v>193</v>
      </c>
    </row>
    <row r="34" spans="1:22">
      <c r="A34" s="8" t="s">
        <v>194</v>
      </c>
      <c r="B34" s="8">
        <f t="shared" si="0"/>
        <v>1</v>
      </c>
      <c r="C34" s="8" t="str">
        <f t="shared" si="1"/>
        <v>Unique</v>
      </c>
      <c r="D34" s="9">
        <v>45618</v>
      </c>
      <c r="E34" s="8">
        <f t="shared" si="2"/>
        <v>4</v>
      </c>
      <c r="F34" s="10">
        <v>45622</v>
      </c>
      <c r="G34" s="8" t="s">
        <v>195</v>
      </c>
      <c r="H34" s="8" t="s">
        <v>126</v>
      </c>
      <c r="I34" s="8" t="str">
        <f t="shared" si="9"/>
        <v>Aarav Sharma</v>
      </c>
      <c r="J34" s="8" t="s">
        <v>88</v>
      </c>
      <c r="K34" s="8" t="str">
        <f t="shared" si="3"/>
        <v>Corporate</v>
      </c>
      <c r="L34" s="8" t="s">
        <v>52</v>
      </c>
      <c r="M34" s="8" t="str">
        <f t="shared" si="4"/>
        <v>South</v>
      </c>
      <c r="N34" s="8" t="s">
        <v>82</v>
      </c>
      <c r="O34" s="8" t="str">
        <f t="shared" si="5"/>
        <v>Andhra Pradesh</v>
      </c>
      <c r="P34" s="8" t="s">
        <v>83</v>
      </c>
      <c r="Q34" s="8" t="str">
        <f t="shared" si="6"/>
        <v>Vijayawada</v>
      </c>
      <c r="R34" s="8" t="s">
        <v>72</v>
      </c>
      <c r="S34" s="8" t="str">
        <f t="shared" si="7"/>
        <v>Technology</v>
      </c>
      <c r="T34" s="8" t="s">
        <v>169</v>
      </c>
      <c r="U34" s="8" t="str">
        <f t="shared" si="8"/>
        <v>Phones</v>
      </c>
      <c r="V34" s="8" t="s">
        <v>196</v>
      </c>
    </row>
    <row r="35" spans="1:22">
      <c r="A35" s="8" t="s">
        <v>197</v>
      </c>
      <c r="B35" s="8">
        <f t="shared" si="0"/>
        <v>1</v>
      </c>
      <c r="C35" s="8" t="str">
        <f t="shared" si="1"/>
        <v>Unique</v>
      </c>
      <c r="D35" s="9">
        <v>45495</v>
      </c>
      <c r="E35" s="8">
        <f t="shared" si="2"/>
        <v>5</v>
      </c>
      <c r="F35" s="10">
        <v>45500</v>
      </c>
      <c r="G35" s="8" t="s">
        <v>198</v>
      </c>
      <c r="H35" s="8" t="s">
        <v>112</v>
      </c>
      <c r="I35" s="8" t="str">
        <f t="shared" si="9"/>
        <v>Priya Menon</v>
      </c>
      <c r="J35" s="8" t="s">
        <v>93</v>
      </c>
      <c r="K35" s="8" t="str">
        <f t="shared" si="3"/>
        <v>Home Office</v>
      </c>
      <c r="L35" s="8" t="s">
        <v>61</v>
      </c>
      <c r="M35" s="8" t="str">
        <f t="shared" si="4"/>
        <v>West</v>
      </c>
      <c r="N35" s="8" t="s">
        <v>188</v>
      </c>
      <c r="O35" s="8" t="str">
        <f t="shared" si="5"/>
        <v>Goa</v>
      </c>
      <c r="P35" s="8" t="s">
        <v>189</v>
      </c>
      <c r="Q35" s="8" t="str">
        <f t="shared" si="6"/>
        <v>Panaji</v>
      </c>
      <c r="R35" s="8" t="s">
        <v>39</v>
      </c>
      <c r="S35" s="8" t="str">
        <f t="shared" si="7"/>
        <v>Furniture</v>
      </c>
      <c r="T35" s="8" t="s">
        <v>40</v>
      </c>
      <c r="U35" s="8" t="str">
        <f t="shared" si="8"/>
        <v>Tables</v>
      </c>
      <c r="V35" s="8" t="s">
        <v>199</v>
      </c>
    </row>
    <row r="36" spans="1:22">
      <c r="A36" s="8" t="s">
        <v>200</v>
      </c>
      <c r="B36" s="8">
        <f t="shared" si="0"/>
        <v>1</v>
      </c>
      <c r="C36" s="8" t="str">
        <f t="shared" si="1"/>
        <v>Unique</v>
      </c>
      <c r="D36" s="9">
        <v>45688</v>
      </c>
      <c r="E36" s="8">
        <f t="shared" si="2"/>
        <v>91</v>
      </c>
      <c r="F36" s="10">
        <v>45779</v>
      </c>
      <c r="G36" s="8" t="s">
        <v>201</v>
      </c>
      <c r="H36" s="8" t="s">
        <v>112</v>
      </c>
      <c r="I36" s="8" t="str">
        <f t="shared" si="9"/>
        <v>Priya Menon</v>
      </c>
      <c r="J36" s="8" t="s">
        <v>93</v>
      </c>
      <c r="K36" s="8" t="str">
        <f t="shared" si="3"/>
        <v>Home Office</v>
      </c>
      <c r="L36" s="8" t="s">
        <v>36</v>
      </c>
      <c r="M36" s="8" t="str">
        <f t="shared" si="4"/>
        <v>East</v>
      </c>
      <c r="N36" s="8" t="s">
        <v>97</v>
      </c>
      <c r="O36" s="8" t="str">
        <f t="shared" si="5"/>
        <v>West Bengal</v>
      </c>
      <c r="P36" s="8" t="s">
        <v>98</v>
      </c>
      <c r="Q36" s="8" t="str">
        <f t="shared" si="6"/>
        <v>Kolkata</v>
      </c>
      <c r="R36" s="8" t="s">
        <v>39</v>
      </c>
      <c r="S36" s="8" t="str">
        <f t="shared" si="7"/>
        <v>Furniture</v>
      </c>
      <c r="T36" s="8" t="s">
        <v>64</v>
      </c>
      <c r="U36" s="8" t="str">
        <f t="shared" si="8"/>
        <v>Chairs</v>
      </c>
      <c r="V36" s="8" t="s">
        <v>202</v>
      </c>
    </row>
    <row r="37" spans="1:22">
      <c r="A37" s="8" t="s">
        <v>203</v>
      </c>
      <c r="B37" s="8">
        <f t="shared" si="0"/>
        <v>1</v>
      </c>
      <c r="C37" s="8" t="str">
        <f t="shared" si="1"/>
        <v>Unique</v>
      </c>
      <c r="D37" s="9">
        <v>45441</v>
      </c>
      <c r="E37" s="8">
        <f t="shared" si="2"/>
        <v>0</v>
      </c>
      <c r="F37" s="10">
        <v>45441</v>
      </c>
      <c r="G37" s="8" t="s">
        <v>204</v>
      </c>
      <c r="H37" s="8" t="s">
        <v>130</v>
      </c>
      <c r="I37" s="8" t="str">
        <f t="shared" si="9"/>
        <v>Sneha Kapoor</v>
      </c>
      <c r="J37" s="8" t="s">
        <v>35</v>
      </c>
      <c r="K37" s="8" t="str">
        <f t="shared" si="3"/>
        <v>Small Business</v>
      </c>
      <c r="L37" s="8" t="s">
        <v>61</v>
      </c>
      <c r="M37" s="8" t="str">
        <f t="shared" si="4"/>
        <v>West</v>
      </c>
      <c r="N37" s="8" t="s">
        <v>178</v>
      </c>
      <c r="O37" s="8" t="str">
        <f t="shared" si="5"/>
        <v>Gujarat</v>
      </c>
      <c r="P37" s="8" t="s">
        <v>179</v>
      </c>
      <c r="Q37" s="8" t="str">
        <f t="shared" si="6"/>
        <v>Ahmedabad</v>
      </c>
      <c r="R37" s="8" t="s">
        <v>39</v>
      </c>
      <c r="S37" s="8" t="str">
        <f t="shared" si="7"/>
        <v>Furniture</v>
      </c>
      <c r="T37" s="8" t="s">
        <v>156</v>
      </c>
      <c r="U37" s="8" t="str">
        <f t="shared" si="8"/>
        <v>Bookcases</v>
      </c>
      <c r="V37" s="8" t="s">
        <v>205</v>
      </c>
    </row>
    <row r="38" spans="1:22">
      <c r="A38" s="8" t="s">
        <v>206</v>
      </c>
      <c r="B38" s="8">
        <f t="shared" si="0"/>
        <v>1</v>
      </c>
      <c r="C38" s="8" t="str">
        <f t="shared" si="1"/>
        <v>Unique</v>
      </c>
      <c r="D38" s="9">
        <v>45590</v>
      </c>
      <c r="E38" s="8">
        <f t="shared" si="2"/>
        <v>3</v>
      </c>
      <c r="F38" s="10">
        <v>45593</v>
      </c>
      <c r="G38" s="8" t="s">
        <v>207</v>
      </c>
      <c r="H38" s="8" t="s">
        <v>139</v>
      </c>
      <c r="I38" s="8" t="str">
        <f t="shared" si="9"/>
        <v>Rohan Mehta</v>
      </c>
      <c r="J38" s="8" t="s">
        <v>88</v>
      </c>
      <c r="K38" s="8" t="str">
        <f t="shared" si="3"/>
        <v>Corporate</v>
      </c>
      <c r="L38" s="8" t="s">
        <v>61</v>
      </c>
      <c r="M38" s="8" t="str">
        <f t="shared" si="4"/>
        <v>West</v>
      </c>
      <c r="N38" s="8" t="s">
        <v>62</v>
      </c>
      <c r="O38" s="8" t="str">
        <f t="shared" si="5"/>
        <v>Maharashtra</v>
      </c>
      <c r="P38" s="8" t="s">
        <v>63</v>
      </c>
      <c r="Q38" s="8" t="str">
        <f t="shared" si="6"/>
        <v>Mumbai</v>
      </c>
      <c r="R38" s="8" t="s">
        <v>39</v>
      </c>
      <c r="S38" s="8" t="str">
        <f t="shared" si="7"/>
        <v>Furniture</v>
      </c>
      <c r="T38" s="8" t="s">
        <v>156</v>
      </c>
      <c r="U38" s="8" t="str">
        <f t="shared" si="8"/>
        <v>Bookcases</v>
      </c>
      <c r="V38" s="8" t="s">
        <v>208</v>
      </c>
    </row>
    <row r="39" spans="1:22">
      <c r="A39" s="8" t="s">
        <v>209</v>
      </c>
      <c r="B39" s="8">
        <f t="shared" si="0"/>
        <v>1</v>
      </c>
      <c r="C39" s="8" t="str">
        <f t="shared" si="1"/>
        <v>Unique</v>
      </c>
      <c r="D39" s="9">
        <v>45867</v>
      </c>
      <c r="E39" s="8">
        <f t="shared" si="2"/>
        <v>0</v>
      </c>
      <c r="F39" s="10">
        <v>45867</v>
      </c>
      <c r="G39" s="8" t="s">
        <v>210</v>
      </c>
      <c r="H39" s="8" t="s">
        <v>160</v>
      </c>
      <c r="I39" s="8" t="str">
        <f t="shared" si="9"/>
        <v>Diya Patel</v>
      </c>
      <c r="J39" s="8" t="s">
        <v>22</v>
      </c>
      <c r="K39" s="8" t="str">
        <f t="shared" si="3"/>
        <v>Consumer</v>
      </c>
      <c r="L39" s="8" t="s">
        <v>61</v>
      </c>
      <c r="M39" s="8" t="str">
        <f t="shared" si="4"/>
        <v>West</v>
      </c>
      <c r="N39" s="8" t="s">
        <v>62</v>
      </c>
      <c r="O39" s="8" t="str">
        <f t="shared" si="5"/>
        <v>Maharashtra</v>
      </c>
      <c r="P39" s="8" t="s">
        <v>63</v>
      </c>
      <c r="Q39" s="8" t="str">
        <f t="shared" si="6"/>
        <v>Mumbai</v>
      </c>
      <c r="R39" s="8" t="s">
        <v>72</v>
      </c>
      <c r="S39" s="8" t="str">
        <f t="shared" si="7"/>
        <v>Technology</v>
      </c>
      <c r="T39" s="8" t="s">
        <v>78</v>
      </c>
      <c r="U39" s="8" t="str">
        <f t="shared" si="8"/>
        <v>Copiers</v>
      </c>
      <c r="V39" s="8" t="s">
        <v>211</v>
      </c>
    </row>
    <row r="40" spans="1:22">
      <c r="A40" s="8" t="s">
        <v>213</v>
      </c>
      <c r="B40" s="8">
        <f t="shared" si="0"/>
        <v>1</v>
      </c>
      <c r="C40" s="8" t="str">
        <f t="shared" si="1"/>
        <v>Unique</v>
      </c>
      <c r="D40" s="9">
        <v>45460</v>
      </c>
      <c r="E40" s="8">
        <f t="shared" si="2"/>
        <v>5</v>
      </c>
      <c r="F40" s="10">
        <v>45465</v>
      </c>
      <c r="G40" s="8" t="s">
        <v>214</v>
      </c>
      <c r="H40" s="8" t="s">
        <v>126</v>
      </c>
      <c r="I40" s="8" t="str">
        <f t="shared" si="9"/>
        <v>Aarav Sharma</v>
      </c>
      <c r="J40" s="8" t="s">
        <v>88</v>
      </c>
      <c r="K40" s="8" t="str">
        <f t="shared" si="3"/>
        <v>Corporate</v>
      </c>
      <c r="L40" s="8" t="s">
        <v>61</v>
      </c>
      <c r="M40" s="8" t="str">
        <f t="shared" si="4"/>
        <v>West</v>
      </c>
      <c r="N40" s="8" t="s">
        <v>178</v>
      </c>
      <c r="O40" s="8" t="str">
        <f t="shared" si="5"/>
        <v>Gujarat</v>
      </c>
      <c r="P40" s="8" t="s">
        <v>179</v>
      </c>
      <c r="Q40" s="8" t="str">
        <f t="shared" si="6"/>
        <v>Ahmedabad</v>
      </c>
      <c r="R40" s="8" t="s">
        <v>72</v>
      </c>
      <c r="S40" s="8" t="str">
        <f t="shared" si="7"/>
        <v>Technology</v>
      </c>
      <c r="T40" s="8" t="s">
        <v>169</v>
      </c>
      <c r="U40" s="8" t="str">
        <f t="shared" si="8"/>
        <v>Phones</v>
      </c>
      <c r="V40" s="8" t="s">
        <v>215</v>
      </c>
    </row>
    <row r="41" spans="1:22">
      <c r="A41" s="8" t="s">
        <v>216</v>
      </c>
      <c r="B41" s="8">
        <f t="shared" si="0"/>
        <v>1</v>
      </c>
      <c r="C41" s="8" t="str">
        <f t="shared" si="1"/>
        <v>Unique</v>
      </c>
      <c r="D41" s="9">
        <v>45637</v>
      </c>
      <c r="E41" s="8">
        <f t="shared" si="2"/>
        <v>-29</v>
      </c>
      <c r="F41" s="10">
        <v>45608</v>
      </c>
      <c r="G41" s="8" t="s">
        <v>217</v>
      </c>
      <c r="H41" s="8" t="s">
        <v>34</v>
      </c>
      <c r="I41" s="8" t="str">
        <f t="shared" si="9"/>
        <v>Mira Das</v>
      </c>
      <c r="J41" s="8" t="s">
        <v>35</v>
      </c>
      <c r="K41" s="8" t="str">
        <f t="shared" si="3"/>
        <v>Small Business</v>
      </c>
      <c r="L41" s="8" t="s">
        <v>61</v>
      </c>
      <c r="M41" s="8" t="str">
        <f t="shared" si="4"/>
        <v>West</v>
      </c>
      <c r="N41" s="8" t="s">
        <v>70</v>
      </c>
      <c r="O41" s="8" t="str">
        <f t="shared" si="5"/>
        <v>Madhya Pradesh</v>
      </c>
      <c r="P41" s="8" t="s">
        <v>71</v>
      </c>
      <c r="Q41" s="8" t="str">
        <f t="shared" si="6"/>
        <v>Indore</v>
      </c>
      <c r="R41" s="8" t="s">
        <v>72</v>
      </c>
      <c r="S41" s="8" t="str">
        <f t="shared" si="7"/>
        <v>Technology</v>
      </c>
      <c r="T41" s="8" t="s">
        <v>78</v>
      </c>
      <c r="U41" s="8" t="str">
        <f t="shared" si="8"/>
        <v>Copiers</v>
      </c>
      <c r="V41" s="8" t="s">
        <v>218</v>
      </c>
    </row>
    <row r="42" spans="1:22">
      <c r="A42" s="8" t="s">
        <v>219</v>
      </c>
      <c r="B42" s="8">
        <f t="shared" si="0"/>
        <v>1</v>
      </c>
      <c r="C42" s="8" t="str">
        <f t="shared" si="1"/>
        <v>Unique</v>
      </c>
      <c r="D42" s="9">
        <v>45575</v>
      </c>
      <c r="E42" s="8">
        <f t="shared" si="2"/>
        <v>6</v>
      </c>
      <c r="F42" s="10">
        <v>45581</v>
      </c>
      <c r="G42" s="8" t="s">
        <v>220</v>
      </c>
      <c r="H42" s="8" t="s">
        <v>45</v>
      </c>
      <c r="I42" s="8" t="str">
        <f t="shared" si="9"/>
        <v>Isha Nair</v>
      </c>
      <c r="J42" s="8" t="s">
        <v>93</v>
      </c>
      <c r="K42" s="8" t="str">
        <f t="shared" si="3"/>
        <v>Home Office</v>
      </c>
      <c r="L42" s="8" t="s">
        <v>61</v>
      </c>
      <c r="M42" s="8" t="str">
        <f t="shared" si="4"/>
        <v>West</v>
      </c>
      <c r="N42" s="8" t="s">
        <v>24</v>
      </c>
      <c r="O42" s="8" t="str">
        <f t="shared" si="5"/>
        <v>Rajasthan</v>
      </c>
      <c r="P42" s="8" t="s">
        <v>107</v>
      </c>
      <c r="Q42" s="8" t="str">
        <f t="shared" si="6"/>
        <v>Udaipur</v>
      </c>
      <c r="R42" s="8" t="s">
        <v>72</v>
      </c>
      <c r="S42" s="8" t="str">
        <f t="shared" si="7"/>
        <v>Technology</v>
      </c>
      <c r="T42" s="8" t="s">
        <v>78</v>
      </c>
      <c r="U42" s="8" t="str">
        <f t="shared" si="8"/>
        <v>Copiers</v>
      </c>
      <c r="V42" s="8" t="s">
        <v>221</v>
      </c>
    </row>
    <row r="43" spans="1:22">
      <c r="A43" s="8" t="s">
        <v>222</v>
      </c>
      <c r="B43" s="8">
        <f t="shared" si="0"/>
        <v>1</v>
      </c>
      <c r="C43" s="8" t="str">
        <f t="shared" si="1"/>
        <v>Unique</v>
      </c>
      <c r="D43" s="9">
        <v>45363</v>
      </c>
      <c r="E43" s="8">
        <f t="shared" si="2"/>
        <v>5</v>
      </c>
      <c r="F43" s="10">
        <v>45368</v>
      </c>
      <c r="G43" s="8" t="s">
        <v>223</v>
      </c>
      <c r="H43" s="8" t="s">
        <v>126</v>
      </c>
      <c r="I43" s="8" t="str">
        <f t="shared" si="9"/>
        <v>Aarav Sharma</v>
      </c>
      <c r="J43" s="8" t="s">
        <v>35</v>
      </c>
      <c r="K43" s="8" t="str">
        <f t="shared" si="3"/>
        <v>Small Business</v>
      </c>
      <c r="L43" s="8" t="s">
        <v>36</v>
      </c>
      <c r="M43" s="8" t="str">
        <f t="shared" si="4"/>
        <v>East</v>
      </c>
      <c r="N43" s="8" t="s">
        <v>37</v>
      </c>
      <c r="O43" s="8" t="str">
        <f t="shared" si="5"/>
        <v>Odisha</v>
      </c>
      <c r="P43" s="8" t="s">
        <v>38</v>
      </c>
      <c r="Q43" s="8" t="str">
        <f t="shared" si="6"/>
        <v>Bhubaneswar</v>
      </c>
      <c r="R43" s="8" t="s">
        <v>39</v>
      </c>
      <c r="S43" s="8" t="str">
        <f t="shared" si="7"/>
        <v>Furniture</v>
      </c>
      <c r="T43" s="8" t="s">
        <v>156</v>
      </c>
      <c r="U43" s="8" t="str">
        <f t="shared" si="8"/>
        <v>Bookcases</v>
      </c>
      <c r="V43" s="8" t="s">
        <v>224</v>
      </c>
    </row>
    <row r="44" spans="1:22">
      <c r="A44" s="8" t="s">
        <v>225</v>
      </c>
      <c r="B44" s="8">
        <f t="shared" si="0"/>
        <v>1</v>
      </c>
      <c r="C44" s="8" t="str">
        <f t="shared" si="1"/>
        <v>Unique</v>
      </c>
      <c r="D44" s="9">
        <v>45940</v>
      </c>
      <c r="E44" s="8">
        <f t="shared" si="2"/>
        <v>5</v>
      </c>
      <c r="F44" s="10">
        <v>45945</v>
      </c>
      <c r="G44" s="8" t="s">
        <v>226</v>
      </c>
      <c r="H44" s="8" t="s">
        <v>51</v>
      </c>
      <c r="I44" s="8" t="str">
        <f t="shared" si="9"/>
        <v>Arjun Bose</v>
      </c>
      <c r="J44" s="8" t="s">
        <v>88</v>
      </c>
      <c r="K44" s="8" t="str">
        <f t="shared" si="3"/>
        <v>Corporate</v>
      </c>
      <c r="L44" s="8" t="s">
        <v>36</v>
      </c>
      <c r="M44" s="8" t="str">
        <f t="shared" si="4"/>
        <v>East</v>
      </c>
      <c r="N44" s="8" t="s">
        <v>227</v>
      </c>
      <c r="O44" s="8" t="str">
        <f t="shared" si="5"/>
        <v>Jharkhand</v>
      </c>
      <c r="P44" s="8" t="s">
        <v>228</v>
      </c>
      <c r="Q44" s="8" t="str">
        <f t="shared" si="6"/>
        <v>Ranchi</v>
      </c>
      <c r="R44" s="8" t="s">
        <v>72</v>
      </c>
      <c r="S44" s="8" t="str">
        <f t="shared" si="7"/>
        <v>Technology</v>
      </c>
      <c r="T44" s="8" t="s">
        <v>169</v>
      </c>
      <c r="U44" s="8" t="str">
        <f t="shared" si="8"/>
        <v>Phones</v>
      </c>
      <c r="V44" s="8" t="s">
        <v>229</v>
      </c>
    </row>
    <row r="45" spans="1:22">
      <c r="A45" s="8" t="s">
        <v>230</v>
      </c>
      <c r="B45" s="8">
        <f t="shared" si="0"/>
        <v>1</v>
      </c>
      <c r="C45" s="8" t="str">
        <f t="shared" si="1"/>
        <v>Unique</v>
      </c>
      <c r="D45" s="9">
        <v>45481</v>
      </c>
      <c r="E45" s="8">
        <f t="shared" si="2"/>
        <v>6</v>
      </c>
      <c r="F45" s="10">
        <v>45487</v>
      </c>
      <c r="G45" s="8" t="s">
        <v>231</v>
      </c>
      <c r="H45" s="8" t="s">
        <v>112</v>
      </c>
      <c r="I45" s="8" t="str">
        <f t="shared" si="9"/>
        <v>Priya Menon</v>
      </c>
      <c r="J45" s="8" t="s">
        <v>35</v>
      </c>
      <c r="K45" s="8" t="str">
        <f t="shared" si="3"/>
        <v>Small Business</v>
      </c>
      <c r="L45" s="8" t="s">
        <v>36</v>
      </c>
      <c r="M45" s="8" t="str">
        <f t="shared" si="4"/>
        <v>East</v>
      </c>
      <c r="N45" s="8" t="s">
        <v>37</v>
      </c>
      <c r="O45" s="8" t="str">
        <f t="shared" si="5"/>
        <v>Odisha</v>
      </c>
      <c r="P45" s="8" t="s">
        <v>38</v>
      </c>
      <c r="Q45" s="8" t="str">
        <f t="shared" si="6"/>
        <v>Bhubaneswar</v>
      </c>
      <c r="R45" s="8" t="s">
        <v>39</v>
      </c>
      <c r="S45" s="8" t="str">
        <f t="shared" si="7"/>
        <v>Furniture</v>
      </c>
      <c r="T45" s="8" t="s">
        <v>55</v>
      </c>
      <c r="U45" s="8" t="str">
        <f t="shared" si="8"/>
        <v>Furnishings</v>
      </c>
      <c r="V45" s="8" t="s">
        <v>232</v>
      </c>
    </row>
    <row r="46" spans="1:22">
      <c r="A46" s="8" t="s">
        <v>233</v>
      </c>
      <c r="B46" s="8">
        <f t="shared" si="0"/>
        <v>1</v>
      </c>
      <c r="C46" s="8" t="str">
        <f t="shared" si="1"/>
        <v>Unique</v>
      </c>
      <c r="D46" s="9">
        <v>45465</v>
      </c>
      <c r="E46" s="8">
        <f t="shared" si="2"/>
        <v>3</v>
      </c>
      <c r="F46" s="10">
        <v>45468</v>
      </c>
      <c r="G46" s="8" t="s">
        <v>234</v>
      </c>
      <c r="H46" s="8" t="s">
        <v>139</v>
      </c>
      <c r="I46" s="8" t="str">
        <f t="shared" si="9"/>
        <v>Rohan Mehta</v>
      </c>
      <c r="J46" s="8" t="s">
        <v>35</v>
      </c>
      <c r="K46" s="8" t="str">
        <f t="shared" si="3"/>
        <v>Small Business</v>
      </c>
      <c r="L46" s="8" t="s">
        <v>23</v>
      </c>
      <c r="M46" s="8" t="str">
        <f t="shared" si="4"/>
        <v>North</v>
      </c>
      <c r="N46" s="8" t="s">
        <v>235</v>
      </c>
      <c r="O46" s="8" t="str">
        <f t="shared" si="5"/>
        <v>Haryana</v>
      </c>
      <c r="P46" s="8" t="s">
        <v>236</v>
      </c>
      <c r="Q46" s="8" t="str">
        <f t="shared" si="6"/>
        <v>Gurugram</v>
      </c>
      <c r="R46" s="8" t="s">
        <v>39</v>
      </c>
      <c r="S46" s="8" t="str">
        <f t="shared" si="7"/>
        <v>Furniture</v>
      </c>
      <c r="T46" s="8" t="s">
        <v>64</v>
      </c>
      <c r="U46" s="8" t="str">
        <f t="shared" si="8"/>
        <v>Chairs</v>
      </c>
      <c r="V46" s="8" t="s">
        <v>237</v>
      </c>
    </row>
    <row r="47" spans="1:22">
      <c r="A47" s="8" t="s">
        <v>238</v>
      </c>
      <c r="B47" s="8">
        <f t="shared" si="0"/>
        <v>1</v>
      </c>
      <c r="C47" s="8" t="str">
        <f t="shared" si="1"/>
        <v>Unique</v>
      </c>
      <c r="D47" s="9">
        <v>45309</v>
      </c>
      <c r="E47" s="8">
        <f t="shared" si="2"/>
        <v>6</v>
      </c>
      <c r="F47" s="10">
        <v>45315</v>
      </c>
      <c r="G47" s="8" t="s">
        <v>239</v>
      </c>
      <c r="H47" s="8" t="s">
        <v>45</v>
      </c>
      <c r="I47" s="8" t="str">
        <f t="shared" si="9"/>
        <v>Isha Nair</v>
      </c>
      <c r="J47" s="8" t="s">
        <v>93</v>
      </c>
      <c r="K47" s="8" t="str">
        <f t="shared" si="3"/>
        <v>Home Office</v>
      </c>
      <c r="L47" s="8" t="s">
        <v>36</v>
      </c>
      <c r="M47" s="8" t="str">
        <f t="shared" si="4"/>
        <v>East</v>
      </c>
      <c r="N47" s="8" t="s">
        <v>143</v>
      </c>
      <c r="O47" s="8" t="str">
        <f t="shared" si="5"/>
        <v>Bihar</v>
      </c>
      <c r="P47" s="8" t="s">
        <v>144</v>
      </c>
      <c r="Q47" s="8" t="str">
        <f t="shared" si="6"/>
        <v>Patna</v>
      </c>
      <c r="R47" s="8" t="s">
        <v>26</v>
      </c>
      <c r="S47" s="8" t="str">
        <f t="shared" si="7"/>
        <v>Office Supplies</v>
      </c>
      <c r="T47" s="8" t="s">
        <v>46</v>
      </c>
      <c r="U47" s="8" t="str">
        <f t="shared" si="8"/>
        <v>Art</v>
      </c>
      <c r="V47" s="8" t="s">
        <v>240</v>
      </c>
    </row>
    <row r="48" spans="1:22">
      <c r="A48" s="8" t="s">
        <v>241</v>
      </c>
      <c r="B48" s="8">
        <f t="shared" si="0"/>
        <v>1</v>
      </c>
      <c r="C48" s="8" t="str">
        <f t="shared" si="1"/>
        <v>Unique</v>
      </c>
      <c r="D48" s="9">
        <v>45492</v>
      </c>
      <c r="E48" s="8">
        <f t="shared" si="2"/>
        <v>0</v>
      </c>
      <c r="F48" s="10">
        <v>45492</v>
      </c>
      <c r="G48" s="8" t="s">
        <v>242</v>
      </c>
      <c r="H48" s="8" t="s">
        <v>60</v>
      </c>
      <c r="I48" s="8" t="str">
        <f t="shared" si="9"/>
        <v>Ananya Rao</v>
      </c>
      <c r="J48" s="8" t="s">
        <v>35</v>
      </c>
      <c r="K48" s="8" t="str">
        <f t="shared" si="3"/>
        <v>Small Business</v>
      </c>
      <c r="L48" s="8" t="s">
        <v>52</v>
      </c>
      <c r="M48" s="8" t="str">
        <f t="shared" si="4"/>
        <v>South</v>
      </c>
      <c r="N48" s="8" t="s">
        <v>183</v>
      </c>
      <c r="O48" s="8" t="str">
        <f t="shared" si="5"/>
        <v>Kerala</v>
      </c>
      <c r="P48" s="8" t="s">
        <v>184</v>
      </c>
      <c r="Q48" s="8" t="str">
        <f t="shared" si="6"/>
        <v>Kochi</v>
      </c>
      <c r="R48" s="8" t="s">
        <v>39</v>
      </c>
      <c r="S48" s="8" t="str">
        <f t="shared" si="7"/>
        <v>Furniture</v>
      </c>
      <c r="T48" s="8" t="s">
        <v>156</v>
      </c>
      <c r="U48" s="8" t="str">
        <f t="shared" si="8"/>
        <v>Bookcases</v>
      </c>
      <c r="V48" s="8" t="s">
        <v>243</v>
      </c>
    </row>
    <row r="49" spans="1:22">
      <c r="A49" s="8" t="s">
        <v>244</v>
      </c>
      <c r="B49" s="8">
        <f t="shared" si="0"/>
        <v>1</v>
      </c>
      <c r="C49" s="8" t="str">
        <f t="shared" si="1"/>
        <v>Unique</v>
      </c>
      <c r="D49" s="9">
        <v>45634</v>
      </c>
      <c r="E49" s="8">
        <f t="shared" si="2"/>
        <v>0</v>
      </c>
      <c r="F49" s="10">
        <v>45634</v>
      </c>
      <c r="G49" s="8" t="s">
        <v>245</v>
      </c>
      <c r="H49" s="8" t="s">
        <v>116</v>
      </c>
      <c r="I49" s="8" t="str">
        <f t="shared" si="9"/>
        <v>Rahul Verma</v>
      </c>
      <c r="J49" s="8" t="s">
        <v>88</v>
      </c>
      <c r="K49" s="8" t="str">
        <f t="shared" si="3"/>
        <v>Corporate</v>
      </c>
      <c r="L49" s="8" t="s">
        <v>52</v>
      </c>
      <c r="M49" s="8" t="str">
        <f t="shared" si="4"/>
        <v>South</v>
      </c>
      <c r="N49" s="8" t="s">
        <v>246</v>
      </c>
      <c r="O49" s="8" t="str">
        <f t="shared" si="5"/>
        <v>Tamil Nadu</v>
      </c>
      <c r="P49" s="8" t="s">
        <v>247</v>
      </c>
      <c r="Q49" s="8" t="str">
        <f t="shared" si="6"/>
        <v>Chennai</v>
      </c>
      <c r="R49" s="8" t="s">
        <v>26</v>
      </c>
      <c r="S49" s="8" t="str">
        <f t="shared" si="7"/>
        <v>Office Supplies</v>
      </c>
      <c r="T49" s="8" t="s">
        <v>122</v>
      </c>
      <c r="U49" s="8" t="str">
        <f t="shared" si="8"/>
        <v>Storage</v>
      </c>
      <c r="V49" s="8" t="s">
        <v>248</v>
      </c>
    </row>
    <row r="50" spans="1:22">
      <c r="A50" s="8" t="s">
        <v>249</v>
      </c>
      <c r="B50" s="8">
        <f t="shared" si="0"/>
        <v>1</v>
      </c>
      <c r="C50" s="8" t="str">
        <f t="shared" si="1"/>
        <v>Unique</v>
      </c>
      <c r="D50" s="9">
        <v>45687</v>
      </c>
      <c r="E50" s="8">
        <f t="shared" si="2"/>
        <v>92</v>
      </c>
      <c r="F50" s="10">
        <v>45779</v>
      </c>
      <c r="G50" s="8" t="s">
        <v>250</v>
      </c>
      <c r="H50" s="8" t="s">
        <v>77</v>
      </c>
      <c r="I50" s="8" t="str">
        <f t="shared" si="9"/>
        <v>Neha Gupta</v>
      </c>
      <c r="J50" s="8" t="s">
        <v>88</v>
      </c>
      <c r="K50" s="8" t="str">
        <f t="shared" si="3"/>
        <v>Corporate</v>
      </c>
      <c r="L50" s="8" t="s">
        <v>61</v>
      </c>
      <c r="M50" s="8" t="str">
        <f t="shared" si="4"/>
        <v>West</v>
      </c>
      <c r="N50" s="8" t="s">
        <v>62</v>
      </c>
      <c r="O50" s="8" t="str">
        <f t="shared" si="5"/>
        <v>Maharashtra</v>
      </c>
      <c r="P50" s="8" t="s">
        <v>63</v>
      </c>
      <c r="Q50" s="8" t="str">
        <f t="shared" si="6"/>
        <v>Mumbai</v>
      </c>
      <c r="R50" s="8" t="s">
        <v>39</v>
      </c>
      <c r="S50" s="8" t="str">
        <f t="shared" si="7"/>
        <v>Furniture</v>
      </c>
      <c r="T50" s="8" t="s">
        <v>64</v>
      </c>
      <c r="U50" s="8" t="str">
        <f t="shared" si="8"/>
        <v>Chairs</v>
      </c>
      <c r="V50" s="8" t="s">
        <v>251</v>
      </c>
    </row>
    <row r="51" spans="1:22">
      <c r="A51" s="8" t="s">
        <v>252</v>
      </c>
      <c r="B51" s="8">
        <f t="shared" si="0"/>
        <v>1</v>
      </c>
      <c r="C51" s="8" t="str">
        <f t="shared" si="1"/>
        <v>Unique</v>
      </c>
      <c r="D51" s="9">
        <v>45447</v>
      </c>
      <c r="E51" s="8">
        <f t="shared" si="2"/>
        <v>-52</v>
      </c>
      <c r="F51" s="10">
        <v>45395</v>
      </c>
      <c r="G51" s="8" t="s">
        <v>253</v>
      </c>
      <c r="H51" s="8" t="s">
        <v>126</v>
      </c>
      <c r="I51" s="8" t="str">
        <f t="shared" si="9"/>
        <v>Aarav Sharma</v>
      </c>
      <c r="J51" s="8" t="s">
        <v>93</v>
      </c>
      <c r="K51" s="8" t="str">
        <f t="shared" si="3"/>
        <v>Home Office</v>
      </c>
      <c r="L51" s="8" t="s">
        <v>23</v>
      </c>
      <c r="M51" s="8" t="str">
        <f t="shared" si="4"/>
        <v>North</v>
      </c>
      <c r="N51" s="8" t="s">
        <v>134</v>
      </c>
      <c r="O51" s="8" t="str">
        <f t="shared" si="5"/>
        <v>Uttar Pradesh</v>
      </c>
      <c r="P51" s="8" t="s">
        <v>135</v>
      </c>
      <c r="Q51" s="8" t="str">
        <f t="shared" si="6"/>
        <v>Noida</v>
      </c>
      <c r="R51" s="8" t="s">
        <v>72</v>
      </c>
      <c r="S51" s="8" t="str">
        <f t="shared" si="7"/>
        <v>Technology</v>
      </c>
      <c r="T51" s="8" t="s">
        <v>78</v>
      </c>
      <c r="U51" s="8" t="str">
        <f t="shared" si="8"/>
        <v>Copiers</v>
      </c>
      <c r="V51" s="8" t="s">
        <v>254</v>
      </c>
    </row>
    <row r="52" spans="1:22">
      <c r="A52" s="8" t="s">
        <v>255</v>
      </c>
      <c r="B52" s="8">
        <f t="shared" si="0"/>
        <v>1</v>
      </c>
      <c r="C52" s="8" t="str">
        <f t="shared" si="1"/>
        <v>Unique</v>
      </c>
      <c r="D52" s="9">
        <v>45788</v>
      </c>
      <c r="E52" s="8">
        <f t="shared" si="2"/>
        <v>8</v>
      </c>
      <c r="F52" s="10">
        <v>45796</v>
      </c>
      <c r="G52" s="8" t="s">
        <v>256</v>
      </c>
      <c r="H52" s="8" t="s">
        <v>130</v>
      </c>
      <c r="I52" s="8" t="str">
        <f t="shared" si="9"/>
        <v>Sneha Kapoor</v>
      </c>
      <c r="J52" s="8" t="s">
        <v>22</v>
      </c>
      <c r="K52" s="8" t="str">
        <f t="shared" si="3"/>
        <v>Consumer</v>
      </c>
      <c r="L52" s="8" t="s">
        <v>36</v>
      </c>
      <c r="M52" s="8" t="str">
        <f t="shared" si="4"/>
        <v>East</v>
      </c>
      <c r="N52" s="8" t="s">
        <v>97</v>
      </c>
      <c r="O52" s="8" t="str">
        <f t="shared" si="5"/>
        <v>West Bengal</v>
      </c>
      <c r="P52" s="8" t="s">
        <v>98</v>
      </c>
      <c r="Q52" s="8" t="str">
        <f t="shared" si="6"/>
        <v>Kolkata</v>
      </c>
      <c r="R52" s="8" t="s">
        <v>72</v>
      </c>
      <c r="S52" s="8" t="str">
        <f t="shared" si="7"/>
        <v>Technology</v>
      </c>
      <c r="T52" s="8" t="s">
        <v>78</v>
      </c>
      <c r="U52" s="8" t="str">
        <f t="shared" si="8"/>
        <v>Copiers</v>
      </c>
      <c r="V52" s="8" t="s">
        <v>257</v>
      </c>
    </row>
    <row r="53" spans="1:22">
      <c r="A53" s="8" t="s">
        <v>258</v>
      </c>
      <c r="B53" s="8">
        <f t="shared" si="0"/>
        <v>1</v>
      </c>
      <c r="C53" s="8" t="str">
        <f t="shared" si="1"/>
        <v>Unique</v>
      </c>
      <c r="D53" s="9">
        <v>45406</v>
      </c>
      <c r="E53" s="8">
        <f t="shared" si="2"/>
        <v>5</v>
      </c>
      <c r="F53" s="10">
        <v>45411</v>
      </c>
      <c r="G53" s="8" t="s">
        <v>259</v>
      </c>
      <c r="H53" s="8" t="s">
        <v>60</v>
      </c>
      <c r="I53" s="8" t="str">
        <f t="shared" si="9"/>
        <v>Ananya Rao</v>
      </c>
      <c r="J53" s="8" t="s">
        <v>88</v>
      </c>
      <c r="K53" s="8" t="str">
        <f t="shared" si="3"/>
        <v>Corporate</v>
      </c>
      <c r="L53" s="8" t="s">
        <v>52</v>
      </c>
      <c r="M53" s="8" t="str">
        <f t="shared" si="4"/>
        <v>South</v>
      </c>
      <c r="N53" s="8" t="s">
        <v>53</v>
      </c>
      <c r="O53" s="8" t="str">
        <f t="shared" si="5"/>
        <v>Telangana</v>
      </c>
      <c r="P53" s="8" t="s">
        <v>54</v>
      </c>
      <c r="Q53" s="8" t="str">
        <f t="shared" si="6"/>
        <v>Hyderabad</v>
      </c>
      <c r="R53" s="8" t="s">
        <v>26</v>
      </c>
      <c r="S53" s="8" t="str">
        <f t="shared" si="7"/>
        <v>Office Supplies</v>
      </c>
      <c r="T53" s="8" t="s">
        <v>46</v>
      </c>
      <c r="U53" s="8" t="str">
        <f t="shared" si="8"/>
        <v>Art</v>
      </c>
      <c r="V53" s="8" t="s">
        <v>260</v>
      </c>
    </row>
    <row r="54" spans="1:22">
      <c r="A54" s="8" t="s">
        <v>261</v>
      </c>
      <c r="B54" s="8">
        <f t="shared" si="0"/>
        <v>1</v>
      </c>
      <c r="C54" s="8" t="str">
        <f t="shared" si="1"/>
        <v>Unique</v>
      </c>
      <c r="D54" s="9">
        <v>45591</v>
      </c>
      <c r="E54" s="8">
        <f t="shared" si="2"/>
        <v>2</v>
      </c>
      <c r="F54" s="10">
        <v>45593</v>
      </c>
      <c r="G54" s="8" t="s">
        <v>262</v>
      </c>
      <c r="H54" s="8" t="s">
        <v>263</v>
      </c>
      <c r="I54" s="8" t="str">
        <f t="shared" si="9"/>
        <v>Kabir Singh</v>
      </c>
      <c r="J54" s="8" t="s">
        <v>35</v>
      </c>
      <c r="K54" s="8" t="str">
        <f t="shared" si="3"/>
        <v>Small Business</v>
      </c>
      <c r="L54" s="8" t="s">
        <v>23</v>
      </c>
      <c r="M54" s="8" t="str">
        <f t="shared" si="4"/>
        <v>North</v>
      </c>
      <c r="N54" s="8" t="s">
        <v>24</v>
      </c>
      <c r="O54" s="8" t="str">
        <f t="shared" si="5"/>
        <v>Rajasthan</v>
      </c>
      <c r="P54" s="8" t="s">
        <v>25</v>
      </c>
      <c r="Q54" s="8" t="str">
        <f t="shared" si="6"/>
        <v>Jaipur</v>
      </c>
      <c r="R54" s="8" t="s">
        <v>39</v>
      </c>
      <c r="S54" s="8" t="str">
        <f t="shared" si="7"/>
        <v>Furniture</v>
      </c>
      <c r="T54" s="8" t="s">
        <v>64</v>
      </c>
      <c r="U54" s="8" t="str">
        <f t="shared" si="8"/>
        <v>Chairs</v>
      </c>
      <c r="V54" s="8" t="s">
        <v>264</v>
      </c>
    </row>
    <row r="55" spans="1:22">
      <c r="A55" s="8" t="s">
        <v>265</v>
      </c>
      <c r="B55" s="8">
        <f t="shared" si="0"/>
        <v>1</v>
      </c>
      <c r="C55" s="8" t="str">
        <f t="shared" si="1"/>
        <v>Unique</v>
      </c>
      <c r="D55" s="9">
        <v>45747</v>
      </c>
      <c r="E55" s="8">
        <f t="shared" si="2"/>
        <v>0</v>
      </c>
      <c r="F55" s="10">
        <v>45747</v>
      </c>
      <c r="G55" s="8" t="s">
        <v>266</v>
      </c>
      <c r="H55" s="8" t="s">
        <v>263</v>
      </c>
      <c r="I55" s="8" t="str">
        <f t="shared" si="9"/>
        <v>Kabir Singh</v>
      </c>
      <c r="J55" s="8" t="s">
        <v>93</v>
      </c>
      <c r="K55" s="8" t="str">
        <f t="shared" si="3"/>
        <v>Home Office</v>
      </c>
      <c r="L55" s="8" t="s">
        <v>61</v>
      </c>
      <c r="M55" s="8" t="str">
        <f t="shared" si="4"/>
        <v>West</v>
      </c>
      <c r="N55" s="8" t="s">
        <v>178</v>
      </c>
      <c r="O55" s="8" t="str">
        <f t="shared" si="5"/>
        <v>Gujarat</v>
      </c>
      <c r="P55" s="8" t="s">
        <v>179</v>
      </c>
      <c r="Q55" s="8" t="str">
        <f t="shared" si="6"/>
        <v>Ahmedabad</v>
      </c>
      <c r="R55" s="8" t="s">
        <v>26</v>
      </c>
      <c r="S55" s="8" t="str">
        <f t="shared" si="7"/>
        <v>Office Supplies</v>
      </c>
      <c r="T55" s="8" t="s">
        <v>122</v>
      </c>
      <c r="U55" s="8" t="str">
        <f t="shared" si="8"/>
        <v>Storage</v>
      </c>
      <c r="V55" s="8" t="s">
        <v>267</v>
      </c>
    </row>
    <row r="56" spans="1:22">
      <c r="A56" s="8" t="s">
        <v>268</v>
      </c>
      <c r="B56" s="8">
        <f t="shared" si="0"/>
        <v>1</v>
      </c>
      <c r="C56" s="8" t="str">
        <f t="shared" si="1"/>
        <v>Unique</v>
      </c>
      <c r="D56" s="9">
        <v>45807</v>
      </c>
      <c r="E56" s="8">
        <f t="shared" si="2"/>
        <v>-113</v>
      </c>
      <c r="F56" s="10">
        <v>45694</v>
      </c>
      <c r="G56" s="8" t="s">
        <v>269</v>
      </c>
      <c r="H56" s="8" t="s">
        <v>51</v>
      </c>
      <c r="I56" s="8" t="str">
        <f t="shared" si="9"/>
        <v>Arjun Bose</v>
      </c>
      <c r="J56" s="8" t="s">
        <v>88</v>
      </c>
      <c r="K56" s="8" t="str">
        <f t="shared" si="3"/>
        <v>Corporate</v>
      </c>
      <c r="L56" s="8" t="s">
        <v>52</v>
      </c>
      <c r="M56" s="8" t="str">
        <f t="shared" si="4"/>
        <v>South</v>
      </c>
      <c r="N56" s="8" t="s">
        <v>246</v>
      </c>
      <c r="O56" s="8" t="str">
        <f t="shared" si="5"/>
        <v>Tamil Nadu</v>
      </c>
      <c r="P56" s="8" t="s">
        <v>247</v>
      </c>
      <c r="Q56" s="8" t="str">
        <f t="shared" si="6"/>
        <v>Chennai</v>
      </c>
      <c r="R56" s="8" t="s">
        <v>26</v>
      </c>
      <c r="S56" s="8" t="str">
        <f t="shared" si="7"/>
        <v>Office Supplies</v>
      </c>
      <c r="T56" s="8" t="s">
        <v>89</v>
      </c>
      <c r="U56" s="8" t="str">
        <f t="shared" si="8"/>
        <v>Labels</v>
      </c>
      <c r="V56" s="8" t="s">
        <v>270</v>
      </c>
    </row>
    <row r="57" spans="1:22">
      <c r="A57" s="8" t="s">
        <v>271</v>
      </c>
      <c r="B57" s="8">
        <f t="shared" si="0"/>
        <v>1</v>
      </c>
      <c r="C57" s="8" t="str">
        <f t="shared" si="1"/>
        <v>Unique</v>
      </c>
      <c r="D57" s="9">
        <v>45664</v>
      </c>
      <c r="E57" s="8">
        <f t="shared" si="2"/>
        <v>59</v>
      </c>
      <c r="F57" s="10">
        <v>45723</v>
      </c>
      <c r="G57" s="8" t="s">
        <v>272</v>
      </c>
      <c r="H57" s="8" t="s">
        <v>34</v>
      </c>
      <c r="I57" s="8" t="str">
        <f t="shared" si="9"/>
        <v>Mira Das</v>
      </c>
      <c r="J57" s="8" t="s">
        <v>35</v>
      </c>
      <c r="K57" s="8" t="str">
        <f t="shared" si="3"/>
        <v>Small Business</v>
      </c>
      <c r="L57" s="8" t="s">
        <v>52</v>
      </c>
      <c r="M57" s="8" t="str">
        <f t="shared" si="4"/>
        <v>South</v>
      </c>
      <c r="N57" s="8" t="s">
        <v>82</v>
      </c>
      <c r="O57" s="8" t="str">
        <f t="shared" si="5"/>
        <v>Andhra Pradesh</v>
      </c>
      <c r="P57" s="8" t="s">
        <v>83</v>
      </c>
      <c r="Q57" s="8" t="str">
        <f t="shared" si="6"/>
        <v>Vijayawada</v>
      </c>
      <c r="R57" s="8" t="s">
        <v>72</v>
      </c>
      <c r="S57" s="8" t="str">
        <f t="shared" si="7"/>
        <v>Technology</v>
      </c>
      <c r="T57" s="8" t="s">
        <v>273</v>
      </c>
      <c r="U57" s="8" t="str">
        <f t="shared" si="8"/>
        <v>Machines</v>
      </c>
      <c r="V57" s="8" t="s">
        <v>274</v>
      </c>
    </row>
    <row r="58" spans="1:22">
      <c r="A58" s="8" t="s">
        <v>275</v>
      </c>
      <c r="B58" s="8">
        <f t="shared" si="0"/>
        <v>1</v>
      </c>
      <c r="C58" s="8" t="str">
        <f t="shared" si="1"/>
        <v>Unique</v>
      </c>
      <c r="D58" s="9">
        <v>45778</v>
      </c>
      <c r="E58" s="8">
        <f t="shared" si="2"/>
        <v>31</v>
      </c>
      <c r="F58" s="10">
        <v>45809</v>
      </c>
      <c r="G58" s="8" t="s">
        <v>276</v>
      </c>
      <c r="H58" s="8" t="s">
        <v>21</v>
      </c>
      <c r="I58" s="8" t="str">
        <f t="shared" si="9"/>
        <v>Karan Malhotra</v>
      </c>
      <c r="J58" s="8" t="s">
        <v>22</v>
      </c>
      <c r="K58" s="8" t="str">
        <f t="shared" si="3"/>
        <v>Consumer</v>
      </c>
      <c r="L58" s="8" t="s">
        <v>52</v>
      </c>
      <c r="M58" s="8" t="str">
        <f t="shared" si="4"/>
        <v>South</v>
      </c>
      <c r="N58" s="8" t="s">
        <v>173</v>
      </c>
      <c r="O58" s="8" t="str">
        <f t="shared" si="5"/>
        <v>Karnataka</v>
      </c>
      <c r="P58" s="8" t="s">
        <v>174</v>
      </c>
      <c r="Q58" s="8" t="str">
        <f t="shared" si="6"/>
        <v>Bengaluru</v>
      </c>
      <c r="R58" s="8" t="s">
        <v>26</v>
      </c>
      <c r="S58" s="8" t="str">
        <f t="shared" si="7"/>
        <v>Office Supplies</v>
      </c>
      <c r="T58" s="8" t="s">
        <v>151</v>
      </c>
      <c r="U58" s="8" t="str">
        <f t="shared" si="8"/>
        <v>Binders</v>
      </c>
      <c r="V58" s="8" t="s">
        <v>277</v>
      </c>
    </row>
    <row r="59" spans="1:22">
      <c r="A59" s="8" t="s">
        <v>278</v>
      </c>
      <c r="B59" s="8">
        <f t="shared" si="0"/>
        <v>1</v>
      </c>
      <c r="C59" s="8" t="str">
        <f t="shared" si="1"/>
        <v>Unique</v>
      </c>
      <c r="D59" s="9">
        <v>45475</v>
      </c>
      <c r="E59" s="8">
        <f t="shared" si="2"/>
        <v>-138</v>
      </c>
      <c r="F59" s="10">
        <v>45337</v>
      </c>
      <c r="G59" s="8" t="s">
        <v>279</v>
      </c>
      <c r="H59" s="8" t="s">
        <v>112</v>
      </c>
      <c r="I59" s="8" t="str">
        <f t="shared" si="9"/>
        <v>Priya Menon</v>
      </c>
      <c r="J59" s="8" t="s">
        <v>22</v>
      </c>
      <c r="K59" s="8" t="str">
        <f t="shared" si="3"/>
        <v>Consumer</v>
      </c>
      <c r="L59" s="8" t="s">
        <v>61</v>
      </c>
      <c r="M59" s="8" t="str">
        <f t="shared" si="4"/>
        <v>West</v>
      </c>
      <c r="N59" s="8" t="s">
        <v>188</v>
      </c>
      <c r="O59" s="8" t="str">
        <f t="shared" si="5"/>
        <v>Goa</v>
      </c>
      <c r="P59" s="8" t="s">
        <v>189</v>
      </c>
      <c r="Q59" s="8" t="str">
        <f t="shared" si="6"/>
        <v>Panaji</v>
      </c>
      <c r="R59" s="8" t="s">
        <v>39</v>
      </c>
      <c r="S59" s="8" t="str">
        <f t="shared" si="7"/>
        <v>Furniture</v>
      </c>
      <c r="T59" s="8" t="s">
        <v>64</v>
      </c>
      <c r="U59" s="8" t="str">
        <f t="shared" si="8"/>
        <v>Chairs</v>
      </c>
      <c r="V59" s="8" t="s">
        <v>280</v>
      </c>
    </row>
    <row r="60" spans="1:22">
      <c r="A60" s="8" t="s">
        <v>281</v>
      </c>
      <c r="B60" s="8">
        <f t="shared" si="0"/>
        <v>1</v>
      </c>
      <c r="C60" s="8" t="str">
        <f t="shared" si="1"/>
        <v>Unique</v>
      </c>
      <c r="D60" s="9">
        <v>45300</v>
      </c>
      <c r="E60" s="8">
        <f t="shared" si="2"/>
        <v>182</v>
      </c>
      <c r="F60" s="10">
        <v>45482</v>
      </c>
      <c r="G60" s="8" t="s">
        <v>282</v>
      </c>
      <c r="H60" s="8" t="s">
        <v>45</v>
      </c>
      <c r="I60" s="8" t="str">
        <f t="shared" si="9"/>
        <v>Isha Nair</v>
      </c>
      <c r="J60" s="8" t="s">
        <v>93</v>
      </c>
      <c r="K60" s="8" t="str">
        <f t="shared" si="3"/>
        <v>Home Office</v>
      </c>
      <c r="L60" s="8" t="s">
        <v>23</v>
      </c>
      <c r="M60" s="8" t="str">
        <f t="shared" si="4"/>
        <v>North</v>
      </c>
      <c r="N60" s="8" t="s">
        <v>24</v>
      </c>
      <c r="O60" s="8" t="str">
        <f t="shared" si="5"/>
        <v>Rajasthan</v>
      </c>
      <c r="P60" s="8" t="s">
        <v>25</v>
      </c>
      <c r="Q60" s="8" t="str">
        <f t="shared" si="6"/>
        <v>Jaipur</v>
      </c>
      <c r="R60" s="8" t="s">
        <v>26</v>
      </c>
      <c r="S60" s="8" t="str">
        <f t="shared" si="7"/>
        <v>Office Supplies</v>
      </c>
      <c r="T60" s="8" t="s">
        <v>122</v>
      </c>
      <c r="U60" s="8" t="str">
        <f t="shared" si="8"/>
        <v>Storage</v>
      </c>
      <c r="V60" s="8" t="s">
        <v>283</v>
      </c>
    </row>
    <row r="61" spans="1:22">
      <c r="A61" s="8" t="s">
        <v>284</v>
      </c>
      <c r="B61" s="8">
        <f t="shared" si="0"/>
        <v>1</v>
      </c>
      <c r="C61" s="8" t="str">
        <f t="shared" si="1"/>
        <v>Unique</v>
      </c>
      <c r="D61" s="9">
        <v>45493</v>
      </c>
      <c r="E61" s="8">
        <f t="shared" si="2"/>
        <v>5</v>
      </c>
      <c r="F61" s="10">
        <v>45498</v>
      </c>
      <c r="G61" s="8" t="s">
        <v>285</v>
      </c>
      <c r="H61" s="8" t="s">
        <v>112</v>
      </c>
      <c r="I61" s="8" t="str">
        <f t="shared" si="9"/>
        <v>Priya Menon</v>
      </c>
      <c r="J61" s="8" t="s">
        <v>88</v>
      </c>
      <c r="K61" s="8" t="str">
        <f t="shared" si="3"/>
        <v>Corporate</v>
      </c>
      <c r="L61" s="8" t="s">
        <v>36</v>
      </c>
      <c r="M61" s="8" t="str">
        <f t="shared" si="4"/>
        <v>East</v>
      </c>
      <c r="N61" s="8" t="s">
        <v>164</v>
      </c>
      <c r="O61" s="8" t="str">
        <f t="shared" si="5"/>
        <v>Assam</v>
      </c>
      <c r="P61" s="8" t="s">
        <v>165</v>
      </c>
      <c r="Q61" s="8" t="str">
        <f t="shared" si="6"/>
        <v>Guwahati</v>
      </c>
      <c r="R61" s="8" t="s">
        <v>26</v>
      </c>
      <c r="S61" s="8" t="str">
        <f t="shared" si="7"/>
        <v>Office Supplies</v>
      </c>
      <c r="T61" s="8" t="s">
        <v>89</v>
      </c>
      <c r="U61" s="8" t="str">
        <f t="shared" si="8"/>
        <v>Labels</v>
      </c>
      <c r="V61" s="8" t="s">
        <v>286</v>
      </c>
    </row>
    <row r="62" spans="1:22">
      <c r="A62" s="8" t="s">
        <v>287</v>
      </c>
      <c r="B62" s="8">
        <f t="shared" si="0"/>
        <v>1</v>
      </c>
      <c r="C62" s="8" t="str">
        <f t="shared" si="1"/>
        <v>Unique</v>
      </c>
      <c r="D62" s="9">
        <v>45486</v>
      </c>
      <c r="E62" s="8">
        <f t="shared" si="2"/>
        <v>6</v>
      </c>
      <c r="F62" s="10">
        <v>45492</v>
      </c>
      <c r="G62" s="8" t="s">
        <v>288</v>
      </c>
      <c r="H62" s="8" t="s">
        <v>60</v>
      </c>
      <c r="I62" s="8" t="str">
        <f t="shared" si="9"/>
        <v>Ananya Rao</v>
      </c>
      <c r="J62" s="8" t="s">
        <v>88</v>
      </c>
      <c r="K62" s="8" t="str">
        <f t="shared" si="3"/>
        <v>Corporate</v>
      </c>
      <c r="L62" s="8" t="s">
        <v>36</v>
      </c>
      <c r="M62" s="8" t="str">
        <f t="shared" si="4"/>
        <v>East</v>
      </c>
      <c r="N62" s="8" t="s">
        <v>164</v>
      </c>
      <c r="O62" s="8" t="str">
        <f t="shared" si="5"/>
        <v>Assam</v>
      </c>
      <c r="P62" s="8" t="s">
        <v>165</v>
      </c>
      <c r="Q62" s="8" t="str">
        <f t="shared" si="6"/>
        <v>Guwahati</v>
      </c>
      <c r="R62" s="8" t="s">
        <v>26</v>
      </c>
      <c r="S62" s="8" t="str">
        <f t="shared" si="7"/>
        <v>Office Supplies</v>
      </c>
      <c r="T62" s="8" t="s">
        <v>89</v>
      </c>
      <c r="U62" s="8" t="str">
        <f t="shared" si="8"/>
        <v>Labels</v>
      </c>
      <c r="V62" s="8" t="s">
        <v>289</v>
      </c>
    </row>
    <row r="63" spans="1:22">
      <c r="A63" s="8" t="s">
        <v>290</v>
      </c>
      <c r="B63" s="8">
        <f t="shared" si="0"/>
        <v>1</v>
      </c>
      <c r="C63" s="8" t="str">
        <f t="shared" si="1"/>
        <v>Unique</v>
      </c>
      <c r="D63" s="9">
        <v>45398</v>
      </c>
      <c r="E63" s="8">
        <f t="shared" si="2"/>
        <v>0</v>
      </c>
      <c r="F63" s="10">
        <v>45398</v>
      </c>
      <c r="G63" s="8" t="s">
        <v>291</v>
      </c>
      <c r="H63" s="8" t="s">
        <v>69</v>
      </c>
      <c r="I63" s="8" t="str">
        <f t="shared" si="9"/>
        <v>Vikram Iyer</v>
      </c>
      <c r="J63" s="8" t="s">
        <v>93</v>
      </c>
      <c r="K63" s="8" t="str">
        <f t="shared" si="3"/>
        <v>Home Office</v>
      </c>
      <c r="L63" s="8" t="s">
        <v>36</v>
      </c>
      <c r="M63" s="8" t="str">
        <f t="shared" si="4"/>
        <v>East</v>
      </c>
      <c r="N63" s="8" t="s">
        <v>143</v>
      </c>
      <c r="O63" s="8" t="str">
        <f t="shared" si="5"/>
        <v>Bihar</v>
      </c>
      <c r="P63" s="8" t="s">
        <v>144</v>
      </c>
      <c r="Q63" s="8" t="str">
        <f t="shared" si="6"/>
        <v>Patna</v>
      </c>
      <c r="R63" s="8" t="s">
        <v>39</v>
      </c>
      <c r="S63" s="8" t="str">
        <f t="shared" si="7"/>
        <v>Furniture</v>
      </c>
      <c r="T63" s="8" t="s">
        <v>156</v>
      </c>
      <c r="U63" s="8" t="str">
        <f t="shared" si="8"/>
        <v>Bookcases</v>
      </c>
      <c r="V63" s="8" t="s">
        <v>292</v>
      </c>
    </row>
    <row r="64" spans="1:22">
      <c r="A64" s="8" t="s">
        <v>293</v>
      </c>
      <c r="B64" s="8">
        <f t="shared" si="0"/>
        <v>1</v>
      </c>
      <c r="C64" s="8" t="str">
        <f t="shared" si="1"/>
        <v>Unique</v>
      </c>
      <c r="D64" s="9">
        <v>45595</v>
      </c>
      <c r="E64" s="8">
        <f t="shared" si="2"/>
        <v>-262</v>
      </c>
      <c r="F64" s="10">
        <v>45333</v>
      </c>
      <c r="G64" s="8" t="s">
        <v>294</v>
      </c>
      <c r="H64" s="8" t="s">
        <v>130</v>
      </c>
      <c r="I64" s="8" t="str">
        <f t="shared" si="9"/>
        <v>Sneha Kapoor</v>
      </c>
      <c r="J64" s="8" t="s">
        <v>93</v>
      </c>
      <c r="K64" s="8" t="str">
        <f t="shared" si="3"/>
        <v>Home Office</v>
      </c>
      <c r="L64" s="8" t="s">
        <v>23</v>
      </c>
      <c r="M64" s="8" t="str">
        <f t="shared" si="4"/>
        <v>North</v>
      </c>
      <c r="N64" s="8" t="s">
        <v>24</v>
      </c>
      <c r="O64" s="8" t="str">
        <f t="shared" si="5"/>
        <v>Rajasthan</v>
      </c>
      <c r="P64" s="8" t="s">
        <v>25</v>
      </c>
      <c r="Q64" s="8" t="str">
        <f t="shared" si="6"/>
        <v>Jaipur</v>
      </c>
      <c r="R64" s="8" t="s">
        <v>72</v>
      </c>
      <c r="S64" s="8" t="str">
        <f t="shared" si="7"/>
        <v>Technology</v>
      </c>
      <c r="T64" s="8" t="s">
        <v>169</v>
      </c>
      <c r="U64" s="8" t="str">
        <f t="shared" si="8"/>
        <v>Phones</v>
      </c>
      <c r="V64" s="8" t="s">
        <v>295</v>
      </c>
    </row>
    <row r="65" spans="1:22">
      <c r="A65" s="8" t="s">
        <v>296</v>
      </c>
      <c r="B65" s="8">
        <f t="shared" si="0"/>
        <v>1</v>
      </c>
      <c r="C65" s="8" t="str">
        <f t="shared" si="1"/>
        <v>Unique</v>
      </c>
      <c r="D65" s="9">
        <v>45316</v>
      </c>
      <c r="E65" s="8">
        <f t="shared" si="2"/>
        <v>-23</v>
      </c>
      <c r="F65" s="10">
        <v>45293</v>
      </c>
      <c r="G65" s="8" t="s">
        <v>297</v>
      </c>
      <c r="H65" s="8" t="s">
        <v>130</v>
      </c>
      <c r="I65" s="8" t="str">
        <f t="shared" si="9"/>
        <v>Sneha Kapoor</v>
      </c>
      <c r="J65" s="8" t="s">
        <v>93</v>
      </c>
      <c r="K65" s="8" t="str">
        <f t="shared" si="3"/>
        <v>Home Office</v>
      </c>
      <c r="L65" s="8" t="s">
        <v>23</v>
      </c>
      <c r="M65" s="8" t="str">
        <f t="shared" si="4"/>
        <v>North</v>
      </c>
      <c r="N65" s="8" t="s">
        <v>235</v>
      </c>
      <c r="O65" s="8" t="str">
        <f t="shared" si="5"/>
        <v>Haryana</v>
      </c>
      <c r="P65" s="8" t="s">
        <v>236</v>
      </c>
      <c r="Q65" s="8" t="str">
        <f t="shared" si="6"/>
        <v>Gurugram</v>
      </c>
      <c r="R65" s="8" t="s">
        <v>26</v>
      </c>
      <c r="S65" s="8" t="str">
        <f t="shared" si="7"/>
        <v>Office Supplies</v>
      </c>
      <c r="T65" s="8" t="s">
        <v>151</v>
      </c>
      <c r="U65" s="8" t="str">
        <f t="shared" si="8"/>
        <v>Binders</v>
      </c>
      <c r="V65" s="8" t="s">
        <v>298</v>
      </c>
    </row>
    <row r="66" spans="1:22">
      <c r="A66" s="8" t="s">
        <v>299</v>
      </c>
      <c r="B66" s="8">
        <f t="shared" si="0"/>
        <v>1</v>
      </c>
      <c r="C66" s="8" t="str">
        <f t="shared" si="1"/>
        <v>Unique</v>
      </c>
      <c r="D66" s="9">
        <v>45649</v>
      </c>
      <c r="E66" s="8">
        <f t="shared" si="2"/>
        <v>6</v>
      </c>
      <c r="F66" s="10">
        <v>45655</v>
      </c>
      <c r="G66" s="8" t="s">
        <v>300</v>
      </c>
      <c r="H66" s="8" t="s">
        <v>126</v>
      </c>
      <c r="I66" s="8" t="str">
        <f t="shared" si="9"/>
        <v>Aarav Sharma</v>
      </c>
      <c r="J66" s="8" t="s">
        <v>88</v>
      </c>
      <c r="K66" s="8" t="str">
        <f t="shared" si="3"/>
        <v>Corporate</v>
      </c>
      <c r="L66" s="8" t="s">
        <v>36</v>
      </c>
      <c r="M66" s="8" t="str">
        <f t="shared" si="4"/>
        <v>East</v>
      </c>
      <c r="N66" s="8" t="s">
        <v>227</v>
      </c>
      <c r="O66" s="8" t="str">
        <f t="shared" si="5"/>
        <v>Jharkhand</v>
      </c>
      <c r="P66" s="8" t="s">
        <v>228</v>
      </c>
      <c r="Q66" s="8" t="str">
        <f t="shared" si="6"/>
        <v>Ranchi</v>
      </c>
      <c r="R66" s="8" t="s">
        <v>26</v>
      </c>
      <c r="S66" s="8" t="str">
        <f t="shared" si="7"/>
        <v>Office Supplies</v>
      </c>
      <c r="T66" s="8" t="s">
        <v>27</v>
      </c>
      <c r="U66" s="8" t="str">
        <f t="shared" si="8"/>
        <v>Paper</v>
      </c>
      <c r="V66" s="8" t="s">
        <v>301</v>
      </c>
    </row>
    <row r="67" spans="1:22">
      <c r="A67" s="8" t="s">
        <v>302</v>
      </c>
      <c r="B67" s="8">
        <f t="shared" ref="B67:B130" si="10">COUNTIF($A:$A,A67)</f>
        <v>1</v>
      </c>
      <c r="C67" s="8" t="str">
        <f t="shared" ref="C67:C130" si="11">IF(B67&gt;1,"Review Duplicate ID","Unique")</f>
        <v>Unique</v>
      </c>
      <c r="D67" s="9">
        <v>45404</v>
      </c>
      <c r="E67" s="8">
        <f t="shared" ref="E67:E130" si="12">F67-D67</f>
        <v>5</v>
      </c>
      <c r="F67" s="10">
        <v>45409</v>
      </c>
      <c r="G67" s="8" t="s">
        <v>303</v>
      </c>
      <c r="H67" s="8" t="s">
        <v>34</v>
      </c>
      <c r="I67" s="8" t="str">
        <f t="shared" si="9"/>
        <v>Mira Das</v>
      </c>
      <c r="J67" s="8" t="s">
        <v>93</v>
      </c>
      <c r="K67" s="8" t="str">
        <f t="shared" ref="K67:K130" si="13">PROPER(TRIM(J67))</f>
        <v>Home Office</v>
      </c>
      <c r="L67" s="8" t="s">
        <v>61</v>
      </c>
      <c r="M67" s="8" t="str">
        <f t="shared" ref="M67:M130" si="14">PROPER(TRIM(L67))</f>
        <v>West</v>
      </c>
      <c r="N67" s="8" t="s">
        <v>62</v>
      </c>
      <c r="O67" s="8" t="str">
        <f t="shared" ref="O67:O130" si="15">PROPER(TRIM(N67))</f>
        <v>Maharashtra</v>
      </c>
      <c r="P67" s="8" t="s">
        <v>63</v>
      </c>
      <c r="Q67" s="8" t="str">
        <f t="shared" ref="Q67:Q130" si="16">PROPER(TRIM(P67))</f>
        <v>Mumbai</v>
      </c>
      <c r="R67" s="8" t="s">
        <v>26</v>
      </c>
      <c r="S67" s="8" t="str">
        <f t="shared" ref="S67:S130" si="17">PROPER(TRIM(R67))</f>
        <v>Office Supplies</v>
      </c>
      <c r="T67" s="8" t="s">
        <v>27</v>
      </c>
      <c r="U67" s="8" t="str">
        <f t="shared" ref="U67:U130" si="18">PROPER(TRIM(T67))</f>
        <v>Paper</v>
      </c>
      <c r="V67" s="8" t="s">
        <v>304</v>
      </c>
    </row>
    <row r="68" spans="1:22">
      <c r="A68" s="8" t="s">
        <v>305</v>
      </c>
      <c r="B68" s="8">
        <f t="shared" si="10"/>
        <v>1</v>
      </c>
      <c r="C68" s="8" t="str">
        <f t="shared" si="11"/>
        <v>Unique</v>
      </c>
      <c r="D68" s="9">
        <v>45897</v>
      </c>
      <c r="E68" s="8">
        <f t="shared" si="12"/>
        <v>-231</v>
      </c>
      <c r="F68" s="10">
        <v>45666</v>
      </c>
      <c r="G68" s="8" t="s">
        <v>306</v>
      </c>
      <c r="H68" s="8" t="s">
        <v>21</v>
      </c>
      <c r="I68" s="8" t="str">
        <f t="shared" ref="I68:I131" si="19">PROPER(TRIM(H68))</f>
        <v>Karan Malhotra</v>
      </c>
      <c r="J68" s="8" t="s">
        <v>35</v>
      </c>
      <c r="K68" s="8" t="str">
        <f t="shared" si="13"/>
        <v>Small Business</v>
      </c>
      <c r="L68" s="8" t="s">
        <v>52</v>
      </c>
      <c r="M68" s="8" t="str">
        <f t="shared" si="14"/>
        <v>South</v>
      </c>
      <c r="N68" s="8" t="s">
        <v>246</v>
      </c>
      <c r="O68" s="8" t="str">
        <f t="shared" si="15"/>
        <v>Tamil Nadu</v>
      </c>
      <c r="P68" s="8" t="s">
        <v>247</v>
      </c>
      <c r="Q68" s="8" t="str">
        <f t="shared" si="16"/>
        <v>Chennai</v>
      </c>
      <c r="R68" s="8" t="s">
        <v>72</v>
      </c>
      <c r="S68" s="8" t="str">
        <f t="shared" si="17"/>
        <v>Technology</v>
      </c>
      <c r="T68" s="8" t="s">
        <v>73</v>
      </c>
      <c r="U68" s="8" t="str">
        <f t="shared" si="18"/>
        <v>Accessories</v>
      </c>
      <c r="V68" s="8" t="s">
        <v>307</v>
      </c>
    </row>
    <row r="69" spans="1:22">
      <c r="A69" s="8" t="s">
        <v>308</v>
      </c>
      <c r="B69" s="8">
        <f t="shared" si="10"/>
        <v>1</v>
      </c>
      <c r="C69" s="8" t="str">
        <f t="shared" si="11"/>
        <v>Unique</v>
      </c>
      <c r="D69" s="9">
        <v>45718</v>
      </c>
      <c r="E69" s="8">
        <f t="shared" si="12"/>
        <v>122</v>
      </c>
      <c r="F69" s="10">
        <v>45840</v>
      </c>
      <c r="G69" s="8" t="s">
        <v>309</v>
      </c>
      <c r="H69" s="8" t="s">
        <v>263</v>
      </c>
      <c r="I69" s="8" t="str">
        <f t="shared" si="19"/>
        <v>Kabir Singh</v>
      </c>
      <c r="J69" s="8" t="s">
        <v>22</v>
      </c>
      <c r="K69" s="8" t="str">
        <f t="shared" si="13"/>
        <v>Consumer</v>
      </c>
      <c r="L69" s="8" t="s">
        <v>23</v>
      </c>
      <c r="M69" s="8" t="str">
        <f t="shared" si="14"/>
        <v>North</v>
      </c>
      <c r="N69" s="8" t="s">
        <v>235</v>
      </c>
      <c r="O69" s="8" t="str">
        <f t="shared" si="15"/>
        <v>Haryana</v>
      </c>
      <c r="P69" s="8" t="s">
        <v>236</v>
      </c>
      <c r="Q69" s="8" t="str">
        <f t="shared" si="16"/>
        <v>Gurugram</v>
      </c>
      <c r="R69" s="8" t="s">
        <v>26</v>
      </c>
      <c r="S69" s="8" t="str">
        <f t="shared" si="17"/>
        <v>Office Supplies</v>
      </c>
      <c r="T69" s="8" t="s">
        <v>27</v>
      </c>
      <c r="U69" s="8" t="str">
        <f t="shared" si="18"/>
        <v>Paper</v>
      </c>
      <c r="V69" s="8" t="s">
        <v>310</v>
      </c>
    </row>
    <row r="70" spans="1:22">
      <c r="A70" s="8" t="s">
        <v>311</v>
      </c>
      <c r="B70" s="8">
        <f t="shared" si="10"/>
        <v>1</v>
      </c>
      <c r="C70" s="8" t="str">
        <f t="shared" si="11"/>
        <v>Unique</v>
      </c>
      <c r="D70" s="9">
        <v>45606</v>
      </c>
      <c r="E70" s="8">
        <f t="shared" si="12"/>
        <v>3</v>
      </c>
      <c r="F70" s="10">
        <v>45609</v>
      </c>
      <c r="G70" s="8" t="s">
        <v>312</v>
      </c>
      <c r="H70" s="8" t="s">
        <v>45</v>
      </c>
      <c r="I70" s="8" t="str">
        <f t="shared" si="19"/>
        <v>Isha Nair</v>
      </c>
      <c r="J70" s="8" t="s">
        <v>88</v>
      </c>
      <c r="K70" s="8" t="str">
        <f t="shared" si="13"/>
        <v>Corporate</v>
      </c>
      <c r="L70" s="8" t="s">
        <v>36</v>
      </c>
      <c r="M70" s="8" t="str">
        <f t="shared" si="14"/>
        <v>East</v>
      </c>
      <c r="N70" s="8" t="s">
        <v>227</v>
      </c>
      <c r="O70" s="8" t="str">
        <f t="shared" si="15"/>
        <v>Jharkhand</v>
      </c>
      <c r="P70" s="8" t="s">
        <v>228</v>
      </c>
      <c r="Q70" s="8" t="str">
        <f t="shared" si="16"/>
        <v>Ranchi</v>
      </c>
      <c r="R70" s="8" t="s">
        <v>26</v>
      </c>
      <c r="S70" s="8" t="str">
        <f t="shared" si="17"/>
        <v>Office Supplies</v>
      </c>
      <c r="T70" s="8" t="s">
        <v>122</v>
      </c>
      <c r="U70" s="8" t="str">
        <f t="shared" si="18"/>
        <v>Storage</v>
      </c>
      <c r="V70" s="8" t="s">
        <v>313</v>
      </c>
    </row>
    <row r="71" spans="1:22">
      <c r="A71" s="8" t="s">
        <v>314</v>
      </c>
      <c r="B71" s="8">
        <f t="shared" si="10"/>
        <v>1</v>
      </c>
      <c r="C71" s="8" t="str">
        <f t="shared" si="11"/>
        <v>Unique</v>
      </c>
      <c r="D71" s="9">
        <v>45539</v>
      </c>
      <c r="E71" s="8">
        <f t="shared" si="12"/>
        <v>-143</v>
      </c>
      <c r="F71" s="10">
        <v>45396</v>
      </c>
      <c r="G71" s="8" t="s">
        <v>315</v>
      </c>
      <c r="H71" s="8" t="s">
        <v>77</v>
      </c>
      <c r="I71" s="8" t="str">
        <f t="shared" si="19"/>
        <v>Neha Gupta</v>
      </c>
      <c r="J71" s="8" t="s">
        <v>35</v>
      </c>
      <c r="K71" s="8" t="str">
        <f t="shared" si="13"/>
        <v>Small Business</v>
      </c>
      <c r="L71" s="8" t="s">
        <v>61</v>
      </c>
      <c r="M71" s="8" t="str">
        <f t="shared" si="14"/>
        <v>West</v>
      </c>
      <c r="N71" s="8" t="s">
        <v>178</v>
      </c>
      <c r="O71" s="8" t="str">
        <f t="shared" si="15"/>
        <v>Gujarat</v>
      </c>
      <c r="P71" s="8" t="s">
        <v>179</v>
      </c>
      <c r="Q71" s="8" t="str">
        <f t="shared" si="16"/>
        <v>Ahmedabad</v>
      </c>
      <c r="R71" s="8" t="s">
        <v>72</v>
      </c>
      <c r="S71" s="8" t="str">
        <f t="shared" si="17"/>
        <v>Technology</v>
      </c>
      <c r="T71" s="8" t="s">
        <v>273</v>
      </c>
      <c r="U71" s="8" t="str">
        <f t="shared" si="18"/>
        <v>Machines</v>
      </c>
      <c r="V71" s="8" t="s">
        <v>316</v>
      </c>
    </row>
    <row r="72" spans="1:22">
      <c r="A72" s="8" t="s">
        <v>317</v>
      </c>
      <c r="B72" s="8">
        <f t="shared" si="10"/>
        <v>1</v>
      </c>
      <c r="C72" s="8" t="str">
        <f t="shared" si="11"/>
        <v>Unique</v>
      </c>
      <c r="D72" s="9">
        <v>45891</v>
      </c>
      <c r="E72" s="8">
        <f t="shared" si="12"/>
        <v>5</v>
      </c>
      <c r="F72" s="10">
        <v>45896</v>
      </c>
      <c r="G72" s="8" t="s">
        <v>318</v>
      </c>
      <c r="H72" s="8" t="s">
        <v>21</v>
      </c>
      <c r="I72" s="8" t="str">
        <f t="shared" si="19"/>
        <v>Karan Malhotra</v>
      </c>
      <c r="J72" s="8" t="s">
        <v>88</v>
      </c>
      <c r="K72" s="8" t="str">
        <f t="shared" si="13"/>
        <v>Corporate</v>
      </c>
      <c r="L72" s="8" t="s">
        <v>52</v>
      </c>
      <c r="M72" s="8" t="str">
        <f t="shared" si="14"/>
        <v>South</v>
      </c>
      <c r="N72" s="8" t="s">
        <v>82</v>
      </c>
      <c r="O72" s="8" t="str">
        <f t="shared" si="15"/>
        <v>Andhra Pradesh</v>
      </c>
      <c r="P72" s="8" t="s">
        <v>83</v>
      </c>
      <c r="Q72" s="8" t="str">
        <f t="shared" si="16"/>
        <v>Vijayawada</v>
      </c>
      <c r="R72" s="8" t="s">
        <v>72</v>
      </c>
      <c r="S72" s="8" t="str">
        <f t="shared" si="17"/>
        <v>Technology</v>
      </c>
      <c r="T72" s="8" t="s">
        <v>169</v>
      </c>
      <c r="U72" s="8" t="str">
        <f t="shared" si="18"/>
        <v>Phones</v>
      </c>
      <c r="V72" s="8" t="s">
        <v>319</v>
      </c>
    </row>
    <row r="73" spans="1:22">
      <c r="A73" s="8" t="s">
        <v>320</v>
      </c>
      <c r="B73" s="8">
        <f t="shared" si="10"/>
        <v>1</v>
      </c>
      <c r="C73" s="8" t="str">
        <f t="shared" si="11"/>
        <v>Unique</v>
      </c>
      <c r="D73" s="9">
        <v>45763</v>
      </c>
      <c r="E73" s="8">
        <f t="shared" si="12"/>
        <v>7</v>
      </c>
      <c r="F73" s="10">
        <v>45770</v>
      </c>
      <c r="G73" s="8" t="s">
        <v>321</v>
      </c>
      <c r="H73" s="8" t="s">
        <v>34</v>
      </c>
      <c r="I73" s="8" t="str">
        <f t="shared" si="19"/>
        <v>Mira Das</v>
      </c>
      <c r="J73" s="8" t="s">
        <v>35</v>
      </c>
      <c r="K73" s="8" t="str">
        <f t="shared" si="13"/>
        <v>Small Business</v>
      </c>
      <c r="L73" s="8" t="s">
        <v>61</v>
      </c>
      <c r="M73" s="8" t="str">
        <f t="shared" si="14"/>
        <v>West</v>
      </c>
      <c r="N73" s="8" t="s">
        <v>188</v>
      </c>
      <c r="O73" s="8" t="str">
        <f t="shared" si="15"/>
        <v>Goa</v>
      </c>
      <c r="P73" s="8" t="s">
        <v>189</v>
      </c>
      <c r="Q73" s="8" t="str">
        <f t="shared" si="16"/>
        <v>Panaji</v>
      </c>
      <c r="R73" s="8" t="s">
        <v>72</v>
      </c>
      <c r="S73" s="8" t="str">
        <f t="shared" si="17"/>
        <v>Technology</v>
      </c>
      <c r="T73" s="8" t="s">
        <v>273</v>
      </c>
      <c r="U73" s="8" t="str">
        <f t="shared" si="18"/>
        <v>Machines</v>
      </c>
      <c r="V73" s="8" t="s">
        <v>322</v>
      </c>
    </row>
    <row r="74" spans="1:22">
      <c r="A74" s="8" t="s">
        <v>323</v>
      </c>
      <c r="B74" s="8">
        <f t="shared" si="10"/>
        <v>1</v>
      </c>
      <c r="C74" s="8" t="str">
        <f t="shared" si="11"/>
        <v>Unique</v>
      </c>
      <c r="D74" s="9">
        <v>45598</v>
      </c>
      <c r="E74" s="8">
        <f t="shared" si="12"/>
        <v>-123</v>
      </c>
      <c r="F74" s="10">
        <v>45475</v>
      </c>
      <c r="G74" s="8" t="s">
        <v>324</v>
      </c>
      <c r="H74" s="8" t="s">
        <v>21</v>
      </c>
      <c r="I74" s="8" t="str">
        <f t="shared" si="19"/>
        <v>Karan Malhotra</v>
      </c>
      <c r="J74" s="8" t="s">
        <v>93</v>
      </c>
      <c r="K74" s="8" t="str">
        <f t="shared" si="13"/>
        <v>Home Office</v>
      </c>
      <c r="L74" s="8" t="s">
        <v>52</v>
      </c>
      <c r="M74" s="8" t="str">
        <f t="shared" si="14"/>
        <v>South</v>
      </c>
      <c r="N74" s="8" t="s">
        <v>246</v>
      </c>
      <c r="O74" s="8" t="str">
        <f t="shared" si="15"/>
        <v>Tamil Nadu</v>
      </c>
      <c r="P74" s="8" t="s">
        <v>247</v>
      </c>
      <c r="Q74" s="8" t="str">
        <f t="shared" si="16"/>
        <v>Chennai</v>
      </c>
      <c r="R74" s="8" t="s">
        <v>39</v>
      </c>
      <c r="S74" s="8" t="str">
        <f t="shared" si="17"/>
        <v>Furniture</v>
      </c>
      <c r="T74" s="8" t="s">
        <v>40</v>
      </c>
      <c r="U74" s="8" t="str">
        <f t="shared" si="18"/>
        <v>Tables</v>
      </c>
      <c r="V74" s="8" t="s">
        <v>325</v>
      </c>
    </row>
    <row r="75" spans="1:22">
      <c r="A75" s="8" t="s">
        <v>326</v>
      </c>
      <c r="B75" s="8">
        <f t="shared" si="10"/>
        <v>1</v>
      </c>
      <c r="C75" s="8" t="str">
        <f t="shared" si="11"/>
        <v>Unique</v>
      </c>
      <c r="D75" s="9">
        <v>45745</v>
      </c>
      <c r="E75" s="8">
        <f t="shared" si="12"/>
        <v>5</v>
      </c>
      <c r="F75" s="10">
        <v>45750</v>
      </c>
      <c r="G75" s="8" t="s">
        <v>327</v>
      </c>
      <c r="H75" s="8" t="s">
        <v>130</v>
      </c>
      <c r="I75" s="8" t="str">
        <f t="shared" si="19"/>
        <v>Sneha Kapoor</v>
      </c>
      <c r="J75" s="8" t="s">
        <v>88</v>
      </c>
      <c r="K75" s="8" t="str">
        <f t="shared" si="13"/>
        <v>Corporate</v>
      </c>
      <c r="L75" s="8" t="s">
        <v>36</v>
      </c>
      <c r="M75" s="8" t="str">
        <f t="shared" si="14"/>
        <v>East</v>
      </c>
      <c r="N75" s="8" t="s">
        <v>97</v>
      </c>
      <c r="O75" s="8" t="str">
        <f t="shared" si="15"/>
        <v>West Bengal</v>
      </c>
      <c r="P75" s="8" t="s">
        <v>98</v>
      </c>
      <c r="Q75" s="8" t="str">
        <f t="shared" si="16"/>
        <v>Kolkata</v>
      </c>
      <c r="R75" s="8" t="s">
        <v>39</v>
      </c>
      <c r="S75" s="8" t="str">
        <f t="shared" si="17"/>
        <v>Furniture</v>
      </c>
      <c r="T75" s="8" t="s">
        <v>156</v>
      </c>
      <c r="U75" s="8" t="str">
        <f t="shared" si="18"/>
        <v>Bookcases</v>
      </c>
      <c r="V75" s="8" t="s">
        <v>328</v>
      </c>
    </row>
    <row r="76" spans="1:22">
      <c r="A76" s="8" t="s">
        <v>329</v>
      </c>
      <c r="B76" s="8">
        <f t="shared" si="10"/>
        <v>1</v>
      </c>
      <c r="C76" s="8" t="str">
        <f t="shared" si="11"/>
        <v>Unique</v>
      </c>
      <c r="D76" s="9">
        <v>45715</v>
      </c>
      <c r="E76" s="8">
        <f t="shared" si="12"/>
        <v>-55</v>
      </c>
      <c r="F76" s="10">
        <v>45660</v>
      </c>
      <c r="G76" s="8" t="s">
        <v>330</v>
      </c>
      <c r="H76" s="8" t="s">
        <v>69</v>
      </c>
      <c r="I76" s="8" t="str">
        <f t="shared" si="19"/>
        <v>Vikram Iyer</v>
      </c>
      <c r="J76" s="8" t="s">
        <v>35</v>
      </c>
      <c r="K76" s="8" t="str">
        <f t="shared" si="13"/>
        <v>Small Business</v>
      </c>
      <c r="L76" s="8" t="s">
        <v>36</v>
      </c>
      <c r="M76" s="8" t="str">
        <f t="shared" si="14"/>
        <v>East</v>
      </c>
      <c r="N76" s="8" t="s">
        <v>97</v>
      </c>
      <c r="O76" s="8" t="str">
        <f t="shared" si="15"/>
        <v>West Bengal</v>
      </c>
      <c r="P76" s="8" t="s">
        <v>98</v>
      </c>
      <c r="Q76" s="8" t="str">
        <f t="shared" si="16"/>
        <v>Kolkata</v>
      </c>
      <c r="R76" s="8" t="s">
        <v>39</v>
      </c>
      <c r="S76" s="8" t="str">
        <f t="shared" si="17"/>
        <v>Furniture</v>
      </c>
      <c r="T76" s="8" t="s">
        <v>64</v>
      </c>
      <c r="U76" s="8" t="str">
        <f t="shared" si="18"/>
        <v>Chairs</v>
      </c>
      <c r="V76" s="8" t="s">
        <v>331</v>
      </c>
    </row>
    <row r="77" spans="1:22">
      <c r="A77" s="8" t="s">
        <v>332</v>
      </c>
      <c r="B77" s="8">
        <f t="shared" si="10"/>
        <v>1</v>
      </c>
      <c r="C77" s="8" t="str">
        <f t="shared" si="11"/>
        <v>Unique</v>
      </c>
      <c r="D77" s="9">
        <v>45891</v>
      </c>
      <c r="E77" s="8">
        <f t="shared" si="12"/>
        <v>5</v>
      </c>
      <c r="F77" s="10">
        <v>45896</v>
      </c>
      <c r="G77" s="8" t="s">
        <v>333</v>
      </c>
      <c r="H77" s="8" t="s">
        <v>112</v>
      </c>
      <c r="I77" s="8" t="str">
        <f t="shared" si="19"/>
        <v>Priya Menon</v>
      </c>
      <c r="J77" s="8" t="s">
        <v>35</v>
      </c>
      <c r="K77" s="8" t="str">
        <f t="shared" si="13"/>
        <v>Small Business</v>
      </c>
      <c r="L77" s="8" t="s">
        <v>36</v>
      </c>
      <c r="M77" s="8" t="str">
        <f t="shared" si="14"/>
        <v>East</v>
      </c>
      <c r="N77" s="8" t="s">
        <v>37</v>
      </c>
      <c r="O77" s="8" t="str">
        <f t="shared" si="15"/>
        <v>Odisha</v>
      </c>
      <c r="P77" s="8" t="s">
        <v>38</v>
      </c>
      <c r="Q77" s="8" t="str">
        <f t="shared" si="16"/>
        <v>Bhubaneswar</v>
      </c>
      <c r="R77" s="8" t="s">
        <v>26</v>
      </c>
      <c r="S77" s="8" t="str">
        <f t="shared" si="17"/>
        <v>Office Supplies</v>
      </c>
      <c r="T77" s="8" t="s">
        <v>89</v>
      </c>
      <c r="U77" s="8" t="str">
        <f t="shared" si="18"/>
        <v>Labels</v>
      </c>
      <c r="V77" s="8" t="s">
        <v>334</v>
      </c>
    </row>
    <row r="78" spans="1:22">
      <c r="A78" s="8" t="s">
        <v>335</v>
      </c>
      <c r="B78" s="8">
        <f t="shared" si="10"/>
        <v>1</v>
      </c>
      <c r="C78" s="8" t="str">
        <f t="shared" si="11"/>
        <v>Unique</v>
      </c>
      <c r="D78" s="9">
        <v>45362</v>
      </c>
      <c r="E78" s="8">
        <f t="shared" si="12"/>
        <v>245</v>
      </c>
      <c r="F78" s="10">
        <v>45607</v>
      </c>
      <c r="G78" s="8" t="s">
        <v>336</v>
      </c>
      <c r="H78" s="8" t="s">
        <v>60</v>
      </c>
      <c r="I78" s="8" t="str">
        <f t="shared" si="19"/>
        <v>Ananya Rao</v>
      </c>
      <c r="J78" s="8" t="s">
        <v>88</v>
      </c>
      <c r="K78" s="8" t="str">
        <f t="shared" si="13"/>
        <v>Corporate</v>
      </c>
      <c r="L78" s="8" t="s">
        <v>36</v>
      </c>
      <c r="M78" s="8" t="str">
        <f t="shared" si="14"/>
        <v>East</v>
      </c>
      <c r="N78" s="8" t="s">
        <v>227</v>
      </c>
      <c r="O78" s="8" t="str">
        <f t="shared" si="15"/>
        <v>Jharkhand</v>
      </c>
      <c r="P78" s="8" t="s">
        <v>228</v>
      </c>
      <c r="Q78" s="8" t="str">
        <f t="shared" si="16"/>
        <v>Ranchi</v>
      </c>
      <c r="R78" s="8" t="s">
        <v>26</v>
      </c>
      <c r="S78" s="8" t="str">
        <f t="shared" si="17"/>
        <v>Office Supplies</v>
      </c>
      <c r="T78" s="8" t="s">
        <v>89</v>
      </c>
      <c r="U78" s="8" t="str">
        <f t="shared" si="18"/>
        <v>Labels</v>
      </c>
      <c r="V78" s="8" t="s">
        <v>337</v>
      </c>
    </row>
    <row r="79" spans="1:22">
      <c r="A79" s="8" t="s">
        <v>338</v>
      </c>
      <c r="B79" s="8">
        <f t="shared" si="10"/>
        <v>1</v>
      </c>
      <c r="C79" s="8" t="str">
        <f t="shared" si="11"/>
        <v>Unique</v>
      </c>
      <c r="D79" s="9">
        <v>45846</v>
      </c>
      <c r="E79" s="8">
        <f t="shared" si="12"/>
        <v>152</v>
      </c>
      <c r="F79" s="10">
        <v>45998</v>
      </c>
      <c r="G79" s="8" t="s">
        <v>339</v>
      </c>
      <c r="H79" s="8" t="s">
        <v>139</v>
      </c>
      <c r="I79" s="8" t="str">
        <f t="shared" si="19"/>
        <v>Rohan Mehta</v>
      </c>
      <c r="J79" s="8" t="s">
        <v>93</v>
      </c>
      <c r="K79" s="8" t="str">
        <f t="shared" si="13"/>
        <v>Home Office</v>
      </c>
      <c r="L79" s="8" t="s">
        <v>23</v>
      </c>
      <c r="M79" s="8" t="str">
        <f t="shared" si="14"/>
        <v>North</v>
      </c>
      <c r="N79" s="8" t="s">
        <v>134</v>
      </c>
      <c r="O79" s="8" t="str">
        <f t="shared" si="15"/>
        <v>Uttar Pradesh</v>
      </c>
      <c r="P79" s="8" t="s">
        <v>135</v>
      </c>
      <c r="Q79" s="8" t="str">
        <f t="shared" si="16"/>
        <v>Noida</v>
      </c>
      <c r="R79" s="8" t="s">
        <v>39</v>
      </c>
      <c r="S79" s="8" t="str">
        <f t="shared" si="17"/>
        <v>Furniture</v>
      </c>
      <c r="T79" s="8" t="s">
        <v>55</v>
      </c>
      <c r="U79" s="8" t="str">
        <f t="shared" si="18"/>
        <v>Furnishings</v>
      </c>
      <c r="V79" s="8" t="s">
        <v>340</v>
      </c>
    </row>
    <row r="80" spans="1:22">
      <c r="A80" s="8" t="s">
        <v>341</v>
      </c>
      <c r="B80" s="8">
        <f t="shared" si="10"/>
        <v>1</v>
      </c>
      <c r="C80" s="8" t="str">
        <f t="shared" si="11"/>
        <v>Unique</v>
      </c>
      <c r="D80" s="9">
        <v>45854</v>
      </c>
      <c r="E80" s="8">
        <f t="shared" si="12"/>
        <v>5</v>
      </c>
      <c r="F80" s="10">
        <v>45859</v>
      </c>
      <c r="G80" s="8" t="s">
        <v>342</v>
      </c>
      <c r="H80" s="8" t="s">
        <v>130</v>
      </c>
      <c r="I80" s="8" t="str">
        <f t="shared" si="19"/>
        <v>Sneha Kapoor</v>
      </c>
      <c r="J80" s="8" t="s">
        <v>88</v>
      </c>
      <c r="K80" s="8" t="str">
        <f t="shared" si="13"/>
        <v>Corporate</v>
      </c>
      <c r="L80" s="8" t="s">
        <v>36</v>
      </c>
      <c r="M80" s="8" t="str">
        <f t="shared" si="14"/>
        <v>East</v>
      </c>
      <c r="N80" s="8" t="s">
        <v>97</v>
      </c>
      <c r="O80" s="8" t="str">
        <f t="shared" si="15"/>
        <v>West Bengal</v>
      </c>
      <c r="P80" s="8" t="s">
        <v>98</v>
      </c>
      <c r="Q80" s="8" t="str">
        <f t="shared" si="16"/>
        <v>Kolkata</v>
      </c>
      <c r="R80" s="8" t="s">
        <v>39</v>
      </c>
      <c r="S80" s="8" t="str">
        <f t="shared" si="17"/>
        <v>Furniture</v>
      </c>
      <c r="T80" s="8" t="s">
        <v>40</v>
      </c>
      <c r="U80" s="8" t="str">
        <f t="shared" si="18"/>
        <v>Tables</v>
      </c>
      <c r="V80" s="8" t="s">
        <v>343</v>
      </c>
    </row>
    <row r="81" spans="1:22">
      <c r="A81" s="8" t="s">
        <v>344</v>
      </c>
      <c r="B81" s="8">
        <f t="shared" si="10"/>
        <v>1</v>
      </c>
      <c r="C81" s="8" t="str">
        <f t="shared" si="11"/>
        <v>Unique</v>
      </c>
      <c r="D81" s="9">
        <v>45927</v>
      </c>
      <c r="E81" s="8">
        <f t="shared" si="12"/>
        <v>-201</v>
      </c>
      <c r="F81" s="10">
        <v>45726</v>
      </c>
      <c r="G81" s="8" t="s">
        <v>345</v>
      </c>
      <c r="H81" s="8" t="s">
        <v>160</v>
      </c>
      <c r="I81" s="8" t="str">
        <f t="shared" si="19"/>
        <v>Diya Patel</v>
      </c>
      <c r="J81" s="8" t="s">
        <v>93</v>
      </c>
      <c r="K81" s="8" t="str">
        <f t="shared" si="13"/>
        <v>Home Office</v>
      </c>
      <c r="L81" s="8" t="s">
        <v>52</v>
      </c>
      <c r="M81" s="8" t="str">
        <f t="shared" si="14"/>
        <v>South</v>
      </c>
      <c r="N81" s="8" t="s">
        <v>246</v>
      </c>
      <c r="O81" s="8" t="str">
        <f t="shared" si="15"/>
        <v>Tamil Nadu</v>
      </c>
      <c r="P81" s="8" t="s">
        <v>247</v>
      </c>
      <c r="Q81" s="8" t="str">
        <f t="shared" si="16"/>
        <v>Chennai</v>
      </c>
      <c r="R81" s="8" t="s">
        <v>39</v>
      </c>
      <c r="S81" s="8" t="str">
        <f t="shared" si="17"/>
        <v>Furniture</v>
      </c>
      <c r="T81" s="8" t="s">
        <v>64</v>
      </c>
      <c r="U81" s="8" t="str">
        <f t="shared" si="18"/>
        <v>Chairs</v>
      </c>
      <c r="V81" s="8" t="s">
        <v>346</v>
      </c>
    </row>
    <row r="82" spans="1:22">
      <c r="A82" s="8" t="s">
        <v>347</v>
      </c>
      <c r="B82" s="8">
        <f t="shared" si="10"/>
        <v>1</v>
      </c>
      <c r="C82" s="8" t="str">
        <f t="shared" si="11"/>
        <v>Unique</v>
      </c>
      <c r="D82" s="9">
        <v>45573</v>
      </c>
      <c r="E82" s="8">
        <f t="shared" si="12"/>
        <v>-55</v>
      </c>
      <c r="F82" s="10">
        <v>45518</v>
      </c>
      <c r="G82" s="8" t="s">
        <v>348</v>
      </c>
      <c r="H82" s="8" t="s">
        <v>126</v>
      </c>
      <c r="I82" s="8" t="str">
        <f t="shared" si="19"/>
        <v>Aarav Sharma</v>
      </c>
      <c r="J82" s="8" t="s">
        <v>35</v>
      </c>
      <c r="K82" s="8" t="str">
        <f t="shared" si="13"/>
        <v>Small Business</v>
      </c>
      <c r="L82" s="8" t="s">
        <v>23</v>
      </c>
      <c r="M82" s="8" t="str">
        <f t="shared" si="14"/>
        <v>North</v>
      </c>
      <c r="N82" s="8" t="s">
        <v>349</v>
      </c>
      <c r="O82" s="8" t="str">
        <f t="shared" si="15"/>
        <v>Delhi</v>
      </c>
      <c r="P82" s="8" t="s">
        <v>350</v>
      </c>
      <c r="Q82" s="8" t="str">
        <f t="shared" si="16"/>
        <v>New Delhi</v>
      </c>
      <c r="R82" s="8" t="s">
        <v>26</v>
      </c>
      <c r="S82" s="8" t="str">
        <f t="shared" si="17"/>
        <v>Office Supplies</v>
      </c>
      <c r="T82" s="8" t="s">
        <v>122</v>
      </c>
      <c r="U82" s="8" t="str">
        <f t="shared" si="18"/>
        <v>Storage</v>
      </c>
      <c r="V82" s="8" t="s">
        <v>351</v>
      </c>
    </row>
    <row r="83" spans="1:22">
      <c r="A83" s="8" t="s">
        <v>352</v>
      </c>
      <c r="B83" s="8">
        <f t="shared" si="10"/>
        <v>1</v>
      </c>
      <c r="C83" s="8" t="str">
        <f t="shared" si="11"/>
        <v>Unique</v>
      </c>
      <c r="D83" s="9">
        <v>45732</v>
      </c>
      <c r="E83" s="8">
        <f t="shared" si="12"/>
        <v>1</v>
      </c>
      <c r="F83" s="10">
        <v>45733</v>
      </c>
      <c r="G83" s="8" t="s">
        <v>353</v>
      </c>
      <c r="H83" s="8" t="s">
        <v>21</v>
      </c>
      <c r="I83" s="8" t="str">
        <f t="shared" si="19"/>
        <v>Karan Malhotra</v>
      </c>
      <c r="J83" s="8" t="s">
        <v>93</v>
      </c>
      <c r="K83" s="8" t="str">
        <f t="shared" si="13"/>
        <v>Home Office</v>
      </c>
      <c r="L83" s="8" t="s">
        <v>61</v>
      </c>
      <c r="M83" s="8" t="str">
        <f t="shared" si="14"/>
        <v>West</v>
      </c>
      <c r="N83" s="8" t="s">
        <v>188</v>
      </c>
      <c r="O83" s="8" t="str">
        <f t="shared" si="15"/>
        <v>Goa</v>
      </c>
      <c r="P83" s="8" t="s">
        <v>189</v>
      </c>
      <c r="Q83" s="8" t="str">
        <f t="shared" si="16"/>
        <v>Panaji</v>
      </c>
      <c r="R83" s="8" t="s">
        <v>26</v>
      </c>
      <c r="S83" s="8" t="str">
        <f t="shared" si="17"/>
        <v>Office Supplies</v>
      </c>
      <c r="T83" s="8" t="s">
        <v>89</v>
      </c>
      <c r="U83" s="8" t="str">
        <f t="shared" si="18"/>
        <v>Labels</v>
      </c>
      <c r="V83" s="8" t="s">
        <v>354</v>
      </c>
    </row>
    <row r="84" spans="1:22">
      <c r="A84" s="8" t="s">
        <v>355</v>
      </c>
      <c r="B84" s="8">
        <f t="shared" si="10"/>
        <v>1</v>
      </c>
      <c r="C84" s="8" t="str">
        <f t="shared" si="11"/>
        <v>Unique</v>
      </c>
      <c r="D84" s="9">
        <v>45359</v>
      </c>
      <c r="E84" s="8">
        <f t="shared" si="12"/>
        <v>31</v>
      </c>
      <c r="F84" s="10">
        <v>45390</v>
      </c>
      <c r="G84" s="8" t="s">
        <v>356</v>
      </c>
      <c r="H84" s="8" t="s">
        <v>51</v>
      </c>
      <c r="I84" s="8" t="str">
        <f t="shared" si="19"/>
        <v>Arjun Bose</v>
      </c>
      <c r="J84" s="8" t="s">
        <v>22</v>
      </c>
      <c r="K84" s="8" t="str">
        <f t="shared" si="13"/>
        <v>Consumer</v>
      </c>
      <c r="L84" s="8" t="s">
        <v>23</v>
      </c>
      <c r="M84" s="8" t="str">
        <f t="shared" si="14"/>
        <v>North</v>
      </c>
      <c r="N84" s="8" t="s">
        <v>134</v>
      </c>
      <c r="O84" s="8" t="str">
        <f t="shared" si="15"/>
        <v>Uttar Pradesh</v>
      </c>
      <c r="P84" s="8" t="s">
        <v>135</v>
      </c>
      <c r="Q84" s="8" t="str">
        <f t="shared" si="16"/>
        <v>Noida</v>
      </c>
      <c r="R84" s="8" t="s">
        <v>72</v>
      </c>
      <c r="S84" s="8" t="str">
        <f t="shared" si="17"/>
        <v>Technology</v>
      </c>
      <c r="T84" s="8" t="s">
        <v>78</v>
      </c>
      <c r="U84" s="8" t="str">
        <f t="shared" si="18"/>
        <v>Copiers</v>
      </c>
      <c r="V84" s="8" t="s">
        <v>357</v>
      </c>
    </row>
    <row r="85" spans="1:22">
      <c r="A85" s="8" t="s">
        <v>358</v>
      </c>
      <c r="B85" s="8">
        <f t="shared" si="10"/>
        <v>1</v>
      </c>
      <c r="C85" s="8" t="str">
        <f t="shared" si="11"/>
        <v>Unique</v>
      </c>
      <c r="D85" s="9">
        <v>45591</v>
      </c>
      <c r="E85" s="8">
        <f t="shared" si="12"/>
        <v>3</v>
      </c>
      <c r="F85" s="10">
        <v>45594</v>
      </c>
      <c r="G85" s="8" t="s">
        <v>359</v>
      </c>
      <c r="H85" s="8" t="s">
        <v>87</v>
      </c>
      <c r="I85" s="8" t="str">
        <f t="shared" si="19"/>
        <v>Aditi Sen</v>
      </c>
      <c r="J85" s="8" t="s">
        <v>93</v>
      </c>
      <c r="K85" s="8" t="str">
        <f t="shared" si="13"/>
        <v>Home Office</v>
      </c>
      <c r="L85" s="8" t="s">
        <v>61</v>
      </c>
      <c r="M85" s="8" t="str">
        <f t="shared" si="14"/>
        <v>West</v>
      </c>
      <c r="N85" s="8" t="s">
        <v>62</v>
      </c>
      <c r="O85" s="8" t="str">
        <f t="shared" si="15"/>
        <v>Maharashtra</v>
      </c>
      <c r="P85" s="8" t="s">
        <v>63</v>
      </c>
      <c r="Q85" s="8" t="str">
        <f t="shared" si="16"/>
        <v>Mumbai</v>
      </c>
      <c r="R85" s="8" t="s">
        <v>39</v>
      </c>
      <c r="S85" s="8" t="str">
        <f t="shared" si="17"/>
        <v>Furniture</v>
      </c>
      <c r="T85" s="8" t="s">
        <v>40</v>
      </c>
      <c r="U85" s="8" t="str">
        <f t="shared" si="18"/>
        <v>Tables</v>
      </c>
      <c r="V85" s="8" t="s">
        <v>360</v>
      </c>
    </row>
    <row r="86" spans="1:22">
      <c r="A86" s="8" t="s">
        <v>361</v>
      </c>
      <c r="B86" s="8">
        <f t="shared" si="10"/>
        <v>1</v>
      </c>
      <c r="C86" s="8" t="str">
        <f t="shared" si="11"/>
        <v>Unique</v>
      </c>
      <c r="D86" s="9">
        <v>45301</v>
      </c>
      <c r="E86" s="8">
        <f t="shared" si="12"/>
        <v>60</v>
      </c>
      <c r="F86" s="10">
        <v>45361</v>
      </c>
      <c r="G86" s="8" t="s">
        <v>362</v>
      </c>
      <c r="H86" s="8" t="s">
        <v>139</v>
      </c>
      <c r="I86" s="8" t="str">
        <f t="shared" si="19"/>
        <v>Rohan Mehta</v>
      </c>
      <c r="J86" s="8" t="s">
        <v>88</v>
      </c>
      <c r="K86" s="8" t="str">
        <f t="shared" si="13"/>
        <v>Corporate</v>
      </c>
      <c r="L86" s="8" t="s">
        <v>52</v>
      </c>
      <c r="M86" s="8" t="str">
        <f t="shared" si="14"/>
        <v>South</v>
      </c>
      <c r="N86" s="8" t="s">
        <v>246</v>
      </c>
      <c r="O86" s="8" t="str">
        <f t="shared" si="15"/>
        <v>Tamil Nadu</v>
      </c>
      <c r="P86" s="8" t="s">
        <v>247</v>
      </c>
      <c r="Q86" s="8" t="str">
        <f t="shared" si="16"/>
        <v>Chennai</v>
      </c>
      <c r="R86" s="8" t="s">
        <v>72</v>
      </c>
      <c r="S86" s="8" t="str">
        <f t="shared" si="17"/>
        <v>Technology</v>
      </c>
      <c r="T86" s="8" t="s">
        <v>169</v>
      </c>
      <c r="U86" s="8" t="str">
        <f t="shared" si="18"/>
        <v>Phones</v>
      </c>
      <c r="V86" s="8" t="s">
        <v>363</v>
      </c>
    </row>
    <row r="87" spans="1:22">
      <c r="A87" s="8" t="s">
        <v>364</v>
      </c>
      <c r="B87" s="8">
        <f t="shared" si="10"/>
        <v>1</v>
      </c>
      <c r="C87" s="8" t="str">
        <f t="shared" si="11"/>
        <v>Unique</v>
      </c>
      <c r="D87" s="9">
        <v>45503</v>
      </c>
      <c r="E87" s="8">
        <f t="shared" si="12"/>
        <v>6</v>
      </c>
      <c r="F87" s="10">
        <v>45509</v>
      </c>
      <c r="G87" s="8" t="s">
        <v>365</v>
      </c>
      <c r="H87" s="8" t="s">
        <v>263</v>
      </c>
      <c r="I87" s="8" t="str">
        <f t="shared" si="19"/>
        <v>Kabir Singh</v>
      </c>
      <c r="J87" s="8" t="s">
        <v>88</v>
      </c>
      <c r="K87" s="8" t="str">
        <f t="shared" si="13"/>
        <v>Corporate</v>
      </c>
      <c r="L87" s="8" t="s">
        <v>23</v>
      </c>
      <c r="M87" s="8" t="str">
        <f t="shared" si="14"/>
        <v>North</v>
      </c>
      <c r="N87" s="8" t="s">
        <v>349</v>
      </c>
      <c r="O87" s="8" t="str">
        <f t="shared" si="15"/>
        <v>Delhi</v>
      </c>
      <c r="P87" s="8" t="s">
        <v>350</v>
      </c>
      <c r="Q87" s="8" t="str">
        <f t="shared" si="16"/>
        <v>New Delhi</v>
      </c>
      <c r="R87" s="8" t="s">
        <v>26</v>
      </c>
      <c r="S87" s="8" t="str">
        <f t="shared" si="17"/>
        <v>Office Supplies</v>
      </c>
      <c r="T87" s="8" t="s">
        <v>151</v>
      </c>
      <c r="U87" s="8" t="str">
        <f t="shared" si="18"/>
        <v>Binders</v>
      </c>
      <c r="V87" s="8" t="s">
        <v>366</v>
      </c>
    </row>
    <row r="88" spans="1:22">
      <c r="A88" s="8" t="s">
        <v>367</v>
      </c>
      <c r="B88" s="8">
        <f t="shared" si="10"/>
        <v>1</v>
      </c>
      <c r="C88" s="8" t="str">
        <f t="shared" si="11"/>
        <v>Unique</v>
      </c>
      <c r="D88" s="9">
        <v>45298</v>
      </c>
      <c r="E88" s="8">
        <f t="shared" si="12"/>
        <v>0</v>
      </c>
      <c r="F88" s="10">
        <v>45298</v>
      </c>
      <c r="G88" s="8" t="s">
        <v>368</v>
      </c>
      <c r="H88" s="8" t="s">
        <v>60</v>
      </c>
      <c r="I88" s="8" t="str">
        <f t="shared" si="19"/>
        <v>Ananya Rao</v>
      </c>
      <c r="J88" s="8" t="s">
        <v>35</v>
      </c>
      <c r="K88" s="8" t="str">
        <f t="shared" si="13"/>
        <v>Small Business</v>
      </c>
      <c r="L88" s="8" t="s">
        <v>23</v>
      </c>
      <c r="M88" s="8" t="str">
        <f t="shared" si="14"/>
        <v>North</v>
      </c>
      <c r="N88" s="8" t="s">
        <v>349</v>
      </c>
      <c r="O88" s="8" t="str">
        <f t="shared" si="15"/>
        <v>Delhi</v>
      </c>
      <c r="P88" s="8" t="s">
        <v>350</v>
      </c>
      <c r="Q88" s="8" t="str">
        <f t="shared" si="16"/>
        <v>New Delhi</v>
      </c>
      <c r="R88" s="8" t="s">
        <v>72</v>
      </c>
      <c r="S88" s="8" t="str">
        <f t="shared" si="17"/>
        <v>Technology</v>
      </c>
      <c r="T88" s="8" t="s">
        <v>78</v>
      </c>
      <c r="U88" s="8" t="str">
        <f t="shared" si="18"/>
        <v>Copiers</v>
      </c>
      <c r="V88" s="8" t="s">
        <v>369</v>
      </c>
    </row>
    <row r="89" spans="1:22">
      <c r="A89" s="8" t="s">
        <v>370</v>
      </c>
      <c r="B89" s="8">
        <f t="shared" si="10"/>
        <v>1</v>
      </c>
      <c r="C89" s="8" t="str">
        <f t="shared" si="11"/>
        <v>Unique</v>
      </c>
      <c r="D89" s="9">
        <v>45330</v>
      </c>
      <c r="E89" s="8">
        <f t="shared" si="12"/>
        <v>29</v>
      </c>
      <c r="F89" s="10">
        <v>45359</v>
      </c>
      <c r="G89" s="8" t="s">
        <v>371</v>
      </c>
      <c r="H89" s="8" t="s">
        <v>69</v>
      </c>
      <c r="I89" s="8" t="str">
        <f t="shared" si="19"/>
        <v>Vikram Iyer</v>
      </c>
      <c r="J89" s="8" t="s">
        <v>22</v>
      </c>
      <c r="K89" s="8" t="str">
        <f t="shared" si="13"/>
        <v>Consumer</v>
      </c>
      <c r="L89" s="8" t="s">
        <v>36</v>
      </c>
      <c r="M89" s="8" t="str">
        <f t="shared" si="14"/>
        <v>East</v>
      </c>
      <c r="N89" s="8" t="s">
        <v>164</v>
      </c>
      <c r="O89" s="8" t="str">
        <f t="shared" si="15"/>
        <v>Assam</v>
      </c>
      <c r="P89" s="8" t="s">
        <v>165</v>
      </c>
      <c r="Q89" s="8" t="str">
        <f t="shared" si="16"/>
        <v>Guwahati</v>
      </c>
      <c r="R89" s="8" t="s">
        <v>26</v>
      </c>
      <c r="S89" s="8" t="str">
        <f t="shared" si="17"/>
        <v>Office Supplies</v>
      </c>
      <c r="T89" s="8" t="s">
        <v>151</v>
      </c>
      <c r="U89" s="8" t="str">
        <f t="shared" si="18"/>
        <v>Binders</v>
      </c>
      <c r="V89" s="8" t="s">
        <v>372</v>
      </c>
    </row>
    <row r="90" spans="1:22">
      <c r="A90" s="8" t="s">
        <v>373</v>
      </c>
      <c r="B90" s="8">
        <f t="shared" si="10"/>
        <v>1</v>
      </c>
      <c r="C90" s="8" t="str">
        <f t="shared" si="11"/>
        <v>Unique</v>
      </c>
      <c r="D90" s="9">
        <v>45375</v>
      </c>
      <c r="E90" s="8">
        <f t="shared" si="12"/>
        <v>3</v>
      </c>
      <c r="F90" s="10">
        <v>45378</v>
      </c>
      <c r="G90" s="8" t="s">
        <v>374</v>
      </c>
      <c r="H90" s="8" t="s">
        <v>139</v>
      </c>
      <c r="I90" s="8" t="str">
        <f t="shared" si="19"/>
        <v>Rohan Mehta</v>
      </c>
      <c r="J90" s="8" t="s">
        <v>35</v>
      </c>
      <c r="K90" s="8" t="str">
        <f t="shared" si="13"/>
        <v>Small Business</v>
      </c>
      <c r="L90" s="8" t="s">
        <v>61</v>
      </c>
      <c r="M90" s="8" t="str">
        <f t="shared" si="14"/>
        <v>West</v>
      </c>
      <c r="N90" s="8" t="s">
        <v>62</v>
      </c>
      <c r="O90" s="8" t="str">
        <f t="shared" si="15"/>
        <v>Maharashtra</v>
      </c>
      <c r="P90" s="8" t="s">
        <v>63</v>
      </c>
      <c r="Q90" s="8" t="str">
        <f t="shared" si="16"/>
        <v>Mumbai</v>
      </c>
      <c r="R90" s="8" t="s">
        <v>39</v>
      </c>
      <c r="S90" s="8" t="str">
        <f t="shared" si="17"/>
        <v>Furniture</v>
      </c>
      <c r="T90" s="8" t="s">
        <v>156</v>
      </c>
      <c r="U90" s="8" t="str">
        <f t="shared" si="18"/>
        <v>Bookcases</v>
      </c>
      <c r="V90" s="8" t="s">
        <v>375</v>
      </c>
    </row>
    <row r="91" spans="1:22">
      <c r="A91" s="8" t="s">
        <v>376</v>
      </c>
      <c r="B91" s="8">
        <f t="shared" si="10"/>
        <v>1</v>
      </c>
      <c r="C91" s="8" t="str">
        <f t="shared" si="11"/>
        <v>Unique</v>
      </c>
      <c r="D91" s="9">
        <v>45421</v>
      </c>
      <c r="E91" s="8">
        <f t="shared" si="12"/>
        <v>0</v>
      </c>
      <c r="F91" s="10">
        <v>45421</v>
      </c>
      <c r="G91" s="8" t="s">
        <v>377</v>
      </c>
      <c r="H91" s="8" t="s">
        <v>263</v>
      </c>
      <c r="I91" s="8" t="str">
        <f t="shared" si="19"/>
        <v>Kabir Singh</v>
      </c>
      <c r="J91" s="8" t="s">
        <v>22</v>
      </c>
      <c r="K91" s="8" t="str">
        <f t="shared" si="13"/>
        <v>Consumer</v>
      </c>
      <c r="L91" s="8" t="s">
        <v>52</v>
      </c>
      <c r="M91" s="8" t="str">
        <f t="shared" si="14"/>
        <v>South</v>
      </c>
      <c r="N91" s="8" t="s">
        <v>82</v>
      </c>
      <c r="O91" s="8" t="str">
        <f t="shared" si="15"/>
        <v>Andhra Pradesh</v>
      </c>
      <c r="P91" s="8" t="s">
        <v>83</v>
      </c>
      <c r="Q91" s="8" t="str">
        <f t="shared" si="16"/>
        <v>Vijayawada</v>
      </c>
      <c r="R91" s="8" t="s">
        <v>39</v>
      </c>
      <c r="S91" s="8" t="str">
        <f t="shared" si="17"/>
        <v>Furniture</v>
      </c>
      <c r="T91" s="8" t="s">
        <v>156</v>
      </c>
      <c r="U91" s="8" t="str">
        <f t="shared" si="18"/>
        <v>Bookcases</v>
      </c>
      <c r="V91" s="8" t="s">
        <v>378</v>
      </c>
    </row>
    <row r="92" spans="1:22">
      <c r="A92" s="8" t="s">
        <v>379</v>
      </c>
      <c r="B92" s="8">
        <f t="shared" si="10"/>
        <v>2</v>
      </c>
      <c r="C92" s="8" t="str">
        <f t="shared" si="11"/>
        <v>Review Duplicate ID</v>
      </c>
      <c r="D92" s="9">
        <v>45893</v>
      </c>
      <c r="E92" s="8">
        <f t="shared" si="12"/>
        <v>5</v>
      </c>
      <c r="F92" s="10">
        <v>45898</v>
      </c>
      <c r="G92" s="8" t="s">
        <v>380</v>
      </c>
      <c r="H92" s="8" t="s">
        <v>126</v>
      </c>
      <c r="I92" s="8" t="str">
        <f t="shared" si="19"/>
        <v>Aarav Sharma</v>
      </c>
      <c r="J92" s="8" t="s">
        <v>35</v>
      </c>
      <c r="K92" s="8" t="str">
        <f t="shared" si="13"/>
        <v>Small Business</v>
      </c>
      <c r="L92" s="8" t="s">
        <v>36</v>
      </c>
      <c r="M92" s="8" t="str">
        <f t="shared" si="14"/>
        <v>East</v>
      </c>
      <c r="N92" s="8" t="s">
        <v>143</v>
      </c>
      <c r="O92" s="8" t="str">
        <f t="shared" si="15"/>
        <v>Bihar</v>
      </c>
      <c r="P92" s="8" t="s">
        <v>144</v>
      </c>
      <c r="Q92" s="8" t="str">
        <f t="shared" si="16"/>
        <v>Patna</v>
      </c>
      <c r="R92" s="8" t="s">
        <v>72</v>
      </c>
      <c r="S92" s="8" t="str">
        <f t="shared" si="17"/>
        <v>Technology</v>
      </c>
      <c r="T92" s="8" t="s">
        <v>78</v>
      </c>
      <c r="U92" s="8" t="str">
        <f t="shared" si="18"/>
        <v>Copiers</v>
      </c>
      <c r="V92" s="8" t="s">
        <v>381</v>
      </c>
    </row>
    <row r="93" spans="1:22">
      <c r="A93" s="8" t="s">
        <v>382</v>
      </c>
      <c r="B93" s="8">
        <f t="shared" si="10"/>
        <v>1</v>
      </c>
      <c r="C93" s="8" t="str">
        <f t="shared" si="11"/>
        <v>Unique</v>
      </c>
      <c r="D93" s="9">
        <v>45691</v>
      </c>
      <c r="E93" s="8">
        <f t="shared" si="12"/>
        <v>33</v>
      </c>
      <c r="F93" s="10">
        <v>45724</v>
      </c>
      <c r="G93" s="8" t="s">
        <v>383</v>
      </c>
      <c r="H93" s="8" t="s">
        <v>130</v>
      </c>
      <c r="I93" s="8" t="str">
        <f t="shared" si="19"/>
        <v>Sneha Kapoor</v>
      </c>
      <c r="J93" s="8" t="s">
        <v>88</v>
      </c>
      <c r="K93" s="8" t="str">
        <f t="shared" si="13"/>
        <v>Corporate</v>
      </c>
      <c r="L93" s="8" t="s">
        <v>61</v>
      </c>
      <c r="M93" s="8" t="str">
        <f t="shared" si="14"/>
        <v>West</v>
      </c>
      <c r="N93" s="8" t="s">
        <v>70</v>
      </c>
      <c r="O93" s="8" t="str">
        <f t="shared" si="15"/>
        <v>Madhya Pradesh</v>
      </c>
      <c r="P93" s="8" t="s">
        <v>71</v>
      </c>
      <c r="Q93" s="8" t="str">
        <f t="shared" si="16"/>
        <v>Indore</v>
      </c>
      <c r="R93" s="8" t="s">
        <v>72</v>
      </c>
      <c r="S93" s="8" t="str">
        <f t="shared" si="17"/>
        <v>Technology</v>
      </c>
      <c r="T93" s="8" t="s">
        <v>78</v>
      </c>
      <c r="U93" s="8" t="str">
        <f t="shared" si="18"/>
        <v>Copiers</v>
      </c>
      <c r="V93" s="8" t="s">
        <v>384</v>
      </c>
    </row>
    <row r="94" spans="1:22">
      <c r="A94" s="8" t="s">
        <v>385</v>
      </c>
      <c r="B94" s="8">
        <f t="shared" si="10"/>
        <v>1</v>
      </c>
      <c r="C94" s="8" t="str">
        <f t="shared" si="11"/>
        <v>Unique</v>
      </c>
      <c r="D94" s="9">
        <v>45680</v>
      </c>
      <c r="E94" s="8">
        <f t="shared" si="12"/>
        <v>3</v>
      </c>
      <c r="F94" s="10">
        <v>45683</v>
      </c>
      <c r="G94" s="8" t="s">
        <v>386</v>
      </c>
      <c r="H94" s="8" t="s">
        <v>126</v>
      </c>
      <c r="I94" s="8" t="str">
        <f t="shared" si="19"/>
        <v>Aarav Sharma</v>
      </c>
      <c r="J94" s="8" t="s">
        <v>22</v>
      </c>
      <c r="K94" s="8" t="str">
        <f t="shared" si="13"/>
        <v>Consumer</v>
      </c>
      <c r="L94" s="8" t="s">
        <v>61</v>
      </c>
      <c r="M94" s="8" t="str">
        <f t="shared" si="14"/>
        <v>West</v>
      </c>
      <c r="N94" s="8" t="s">
        <v>70</v>
      </c>
      <c r="O94" s="8" t="str">
        <f t="shared" si="15"/>
        <v>Madhya Pradesh</v>
      </c>
      <c r="P94" s="8" t="s">
        <v>71</v>
      </c>
      <c r="Q94" s="8" t="str">
        <f t="shared" si="16"/>
        <v>Indore</v>
      </c>
      <c r="R94" s="8" t="s">
        <v>26</v>
      </c>
      <c r="S94" s="8" t="str">
        <f t="shared" si="17"/>
        <v>Office Supplies</v>
      </c>
      <c r="T94" s="8" t="s">
        <v>27</v>
      </c>
      <c r="U94" s="8" t="str">
        <f t="shared" si="18"/>
        <v>Paper</v>
      </c>
      <c r="V94" s="8" t="s">
        <v>387</v>
      </c>
    </row>
    <row r="95" spans="1:22">
      <c r="A95" s="8" t="s">
        <v>388</v>
      </c>
      <c r="B95" s="8">
        <f t="shared" si="10"/>
        <v>1</v>
      </c>
      <c r="C95" s="8" t="str">
        <f t="shared" si="11"/>
        <v>Unique</v>
      </c>
      <c r="D95" s="9">
        <v>45298</v>
      </c>
      <c r="E95" s="8">
        <f t="shared" si="12"/>
        <v>6</v>
      </c>
      <c r="F95" s="10">
        <v>45304</v>
      </c>
      <c r="G95" s="8" t="s">
        <v>389</v>
      </c>
      <c r="H95" s="8" t="s">
        <v>139</v>
      </c>
      <c r="I95" s="8" t="str">
        <f t="shared" si="19"/>
        <v>Rohan Mehta</v>
      </c>
      <c r="J95" s="8" t="s">
        <v>88</v>
      </c>
      <c r="K95" s="8" t="str">
        <f t="shared" si="13"/>
        <v>Corporate</v>
      </c>
      <c r="L95" s="8" t="s">
        <v>23</v>
      </c>
      <c r="M95" s="8" t="str">
        <f t="shared" si="14"/>
        <v>North</v>
      </c>
      <c r="N95" s="8" t="s">
        <v>134</v>
      </c>
      <c r="O95" s="8" t="str">
        <f t="shared" si="15"/>
        <v>Uttar Pradesh</v>
      </c>
      <c r="P95" s="8" t="s">
        <v>135</v>
      </c>
      <c r="Q95" s="8" t="str">
        <f t="shared" si="16"/>
        <v>Noida</v>
      </c>
      <c r="R95" s="8" t="s">
        <v>26</v>
      </c>
      <c r="S95" s="8" t="str">
        <f t="shared" si="17"/>
        <v>Office Supplies</v>
      </c>
      <c r="T95" s="8" t="s">
        <v>151</v>
      </c>
      <c r="U95" s="8" t="str">
        <f t="shared" si="18"/>
        <v>Binders</v>
      </c>
      <c r="V95" s="8" t="s">
        <v>390</v>
      </c>
    </row>
    <row r="96" spans="1:22">
      <c r="A96" s="8" t="s">
        <v>391</v>
      </c>
      <c r="B96" s="8">
        <f t="shared" si="10"/>
        <v>1</v>
      </c>
      <c r="C96" s="8" t="str">
        <f t="shared" si="11"/>
        <v>Unique</v>
      </c>
      <c r="D96" s="9">
        <v>45541</v>
      </c>
      <c r="E96" s="8">
        <f t="shared" si="12"/>
        <v>3</v>
      </c>
      <c r="F96" s="10">
        <v>45544</v>
      </c>
      <c r="G96" s="8" t="s">
        <v>392</v>
      </c>
      <c r="H96" s="8" t="s">
        <v>160</v>
      </c>
      <c r="I96" s="8" t="str">
        <f t="shared" si="19"/>
        <v>Diya Patel</v>
      </c>
      <c r="J96" s="8" t="s">
        <v>22</v>
      </c>
      <c r="K96" s="8" t="str">
        <f t="shared" si="13"/>
        <v>Consumer</v>
      </c>
      <c r="L96" s="8" t="s">
        <v>23</v>
      </c>
      <c r="M96" s="8" t="str">
        <f t="shared" si="14"/>
        <v>North</v>
      </c>
      <c r="N96" s="8" t="s">
        <v>235</v>
      </c>
      <c r="O96" s="8" t="str">
        <f t="shared" si="15"/>
        <v>Haryana</v>
      </c>
      <c r="P96" s="8" t="s">
        <v>236</v>
      </c>
      <c r="Q96" s="8" t="str">
        <f t="shared" si="16"/>
        <v>Gurugram</v>
      </c>
      <c r="R96" s="8" t="s">
        <v>72</v>
      </c>
      <c r="S96" s="8" t="str">
        <f t="shared" si="17"/>
        <v>Technology</v>
      </c>
      <c r="T96" s="8" t="s">
        <v>169</v>
      </c>
      <c r="U96" s="8" t="str">
        <f t="shared" si="18"/>
        <v>Phones</v>
      </c>
      <c r="V96" s="8" t="s">
        <v>393</v>
      </c>
    </row>
    <row r="97" spans="1:22">
      <c r="A97" s="8" t="s">
        <v>394</v>
      </c>
      <c r="B97" s="8">
        <f t="shared" si="10"/>
        <v>1</v>
      </c>
      <c r="C97" s="8" t="str">
        <f t="shared" si="11"/>
        <v>Unique</v>
      </c>
      <c r="D97" s="9">
        <v>45786</v>
      </c>
      <c r="E97" s="8">
        <f t="shared" si="12"/>
        <v>124</v>
      </c>
      <c r="F97" s="10">
        <v>45910</v>
      </c>
      <c r="G97" s="8" t="s">
        <v>395</v>
      </c>
      <c r="H97" s="8" t="s">
        <v>130</v>
      </c>
      <c r="I97" s="8" t="str">
        <f t="shared" si="19"/>
        <v>Sneha Kapoor</v>
      </c>
      <c r="J97" s="8" t="s">
        <v>88</v>
      </c>
      <c r="K97" s="8" t="str">
        <f t="shared" si="13"/>
        <v>Corporate</v>
      </c>
      <c r="L97" s="8" t="s">
        <v>61</v>
      </c>
      <c r="M97" s="8" t="str">
        <f t="shared" si="14"/>
        <v>West</v>
      </c>
      <c r="N97" s="8" t="s">
        <v>188</v>
      </c>
      <c r="O97" s="8" t="str">
        <f t="shared" si="15"/>
        <v>Goa</v>
      </c>
      <c r="P97" s="8" t="s">
        <v>189</v>
      </c>
      <c r="Q97" s="8" t="str">
        <f t="shared" si="16"/>
        <v>Panaji</v>
      </c>
      <c r="R97" s="8" t="s">
        <v>39</v>
      </c>
      <c r="S97" s="8" t="str">
        <f t="shared" si="17"/>
        <v>Furniture</v>
      </c>
      <c r="T97" s="8" t="s">
        <v>156</v>
      </c>
      <c r="U97" s="8" t="str">
        <f t="shared" si="18"/>
        <v>Bookcases</v>
      </c>
      <c r="V97" s="8" t="s">
        <v>396</v>
      </c>
    </row>
    <row r="98" spans="1:22">
      <c r="A98" s="8" t="s">
        <v>397</v>
      </c>
      <c r="B98" s="8">
        <f t="shared" si="10"/>
        <v>1</v>
      </c>
      <c r="C98" s="8" t="str">
        <f t="shared" si="11"/>
        <v>Unique</v>
      </c>
      <c r="D98" s="9">
        <v>45418</v>
      </c>
      <c r="E98" s="8">
        <f t="shared" si="12"/>
        <v>61</v>
      </c>
      <c r="F98" s="10">
        <v>45479</v>
      </c>
      <c r="G98" s="8" t="s">
        <v>398</v>
      </c>
      <c r="H98" s="8" t="s">
        <v>116</v>
      </c>
      <c r="I98" s="8" t="str">
        <f t="shared" si="19"/>
        <v>Rahul Verma</v>
      </c>
      <c r="J98" s="8" t="s">
        <v>93</v>
      </c>
      <c r="K98" s="8" t="str">
        <f t="shared" si="13"/>
        <v>Home Office</v>
      </c>
      <c r="L98" s="8" t="s">
        <v>36</v>
      </c>
      <c r="M98" s="8" t="str">
        <f t="shared" si="14"/>
        <v>East</v>
      </c>
      <c r="N98" s="8" t="s">
        <v>37</v>
      </c>
      <c r="O98" s="8" t="str">
        <f t="shared" si="15"/>
        <v>Odisha</v>
      </c>
      <c r="P98" s="8" t="s">
        <v>38</v>
      </c>
      <c r="Q98" s="8" t="str">
        <f t="shared" si="16"/>
        <v>Bhubaneswar</v>
      </c>
      <c r="R98" s="8" t="s">
        <v>72</v>
      </c>
      <c r="S98" s="8" t="str">
        <f t="shared" si="17"/>
        <v>Technology</v>
      </c>
      <c r="T98" s="8" t="s">
        <v>78</v>
      </c>
      <c r="U98" s="8" t="str">
        <f t="shared" si="18"/>
        <v>Copiers</v>
      </c>
      <c r="V98" s="8" t="s">
        <v>399</v>
      </c>
    </row>
    <row r="99" spans="1:22">
      <c r="A99" s="8" t="s">
        <v>400</v>
      </c>
      <c r="B99" s="8">
        <f t="shared" si="10"/>
        <v>1</v>
      </c>
      <c r="C99" s="8" t="str">
        <f t="shared" si="11"/>
        <v>Unique</v>
      </c>
      <c r="D99" s="9">
        <v>45877</v>
      </c>
      <c r="E99" s="8">
        <f t="shared" si="12"/>
        <v>92</v>
      </c>
      <c r="F99" s="10">
        <v>45969</v>
      </c>
      <c r="G99" s="8" t="s">
        <v>401</v>
      </c>
      <c r="H99" s="8" t="s">
        <v>160</v>
      </c>
      <c r="I99" s="8" t="str">
        <f t="shared" si="19"/>
        <v>Diya Patel</v>
      </c>
      <c r="J99" s="8" t="s">
        <v>35</v>
      </c>
      <c r="K99" s="8" t="str">
        <f t="shared" si="13"/>
        <v>Small Business</v>
      </c>
      <c r="L99" s="8" t="s">
        <v>61</v>
      </c>
      <c r="M99" s="8" t="str">
        <f t="shared" si="14"/>
        <v>West</v>
      </c>
      <c r="N99" s="8" t="s">
        <v>178</v>
      </c>
      <c r="O99" s="8" t="str">
        <f t="shared" si="15"/>
        <v>Gujarat</v>
      </c>
      <c r="P99" s="8" t="s">
        <v>179</v>
      </c>
      <c r="Q99" s="8" t="str">
        <f t="shared" si="16"/>
        <v>Ahmedabad</v>
      </c>
      <c r="R99" s="8" t="s">
        <v>26</v>
      </c>
      <c r="S99" s="8" t="str">
        <f t="shared" si="17"/>
        <v>Office Supplies</v>
      </c>
      <c r="T99" s="8" t="s">
        <v>122</v>
      </c>
      <c r="U99" s="8" t="str">
        <f t="shared" si="18"/>
        <v>Storage</v>
      </c>
      <c r="V99" s="8" t="s">
        <v>402</v>
      </c>
    </row>
    <row r="100" spans="1:22">
      <c r="A100" s="8" t="s">
        <v>403</v>
      </c>
      <c r="B100" s="8">
        <f t="shared" si="10"/>
        <v>1</v>
      </c>
      <c r="C100" s="8" t="str">
        <f t="shared" si="11"/>
        <v>Unique</v>
      </c>
      <c r="D100" s="9">
        <v>45317</v>
      </c>
      <c r="E100" s="8">
        <f t="shared" si="12"/>
        <v>6</v>
      </c>
      <c r="F100" s="10">
        <v>45323</v>
      </c>
      <c r="G100" s="8" t="s">
        <v>404</v>
      </c>
      <c r="H100" s="8" t="s">
        <v>139</v>
      </c>
      <c r="I100" s="8" t="str">
        <f t="shared" si="19"/>
        <v>Rohan Mehta</v>
      </c>
      <c r="J100" s="8" t="s">
        <v>93</v>
      </c>
      <c r="K100" s="8" t="str">
        <f t="shared" si="13"/>
        <v>Home Office</v>
      </c>
      <c r="L100" s="8" t="s">
        <v>52</v>
      </c>
      <c r="M100" s="8" t="str">
        <f t="shared" si="14"/>
        <v>South</v>
      </c>
      <c r="N100" s="8" t="s">
        <v>183</v>
      </c>
      <c r="O100" s="8" t="str">
        <f t="shared" si="15"/>
        <v>Kerala</v>
      </c>
      <c r="P100" s="8" t="s">
        <v>184</v>
      </c>
      <c r="Q100" s="8" t="str">
        <f t="shared" si="16"/>
        <v>Kochi</v>
      </c>
      <c r="R100" s="8" t="s">
        <v>72</v>
      </c>
      <c r="S100" s="8" t="str">
        <f t="shared" si="17"/>
        <v>Technology</v>
      </c>
      <c r="T100" s="8" t="s">
        <v>78</v>
      </c>
      <c r="U100" s="8" t="str">
        <f t="shared" si="18"/>
        <v>Copiers</v>
      </c>
      <c r="V100" s="8" t="s">
        <v>405</v>
      </c>
    </row>
    <row r="101" spans="1:22">
      <c r="A101" s="8" t="s">
        <v>406</v>
      </c>
      <c r="B101" s="8">
        <f t="shared" si="10"/>
        <v>1</v>
      </c>
      <c r="C101" s="8" t="str">
        <f t="shared" si="11"/>
        <v>Unique</v>
      </c>
      <c r="D101" s="9">
        <v>45962</v>
      </c>
      <c r="E101" s="8">
        <f t="shared" si="12"/>
        <v>0</v>
      </c>
      <c r="F101" s="10">
        <v>45962</v>
      </c>
      <c r="G101" s="8" t="s">
        <v>407</v>
      </c>
      <c r="H101" s="8" t="s">
        <v>87</v>
      </c>
      <c r="I101" s="8" t="str">
        <f t="shared" si="19"/>
        <v>Aditi Sen</v>
      </c>
      <c r="J101" s="8" t="s">
        <v>35</v>
      </c>
      <c r="K101" s="8" t="str">
        <f t="shared" si="13"/>
        <v>Small Business</v>
      </c>
      <c r="L101" s="8" t="s">
        <v>61</v>
      </c>
      <c r="M101" s="8" t="str">
        <f t="shared" si="14"/>
        <v>West</v>
      </c>
      <c r="N101" s="8" t="s">
        <v>24</v>
      </c>
      <c r="O101" s="8" t="str">
        <f t="shared" si="15"/>
        <v>Rajasthan</v>
      </c>
      <c r="P101" s="8" t="s">
        <v>107</v>
      </c>
      <c r="Q101" s="8" t="str">
        <f t="shared" si="16"/>
        <v>Udaipur</v>
      </c>
      <c r="R101" s="8" t="s">
        <v>72</v>
      </c>
      <c r="S101" s="8" t="str">
        <f t="shared" si="17"/>
        <v>Technology</v>
      </c>
      <c r="T101" s="8" t="s">
        <v>73</v>
      </c>
      <c r="U101" s="8" t="str">
        <f t="shared" si="18"/>
        <v>Accessories</v>
      </c>
      <c r="V101" s="8" t="s">
        <v>408</v>
      </c>
    </row>
    <row r="102" spans="1:22">
      <c r="A102" s="8" t="s">
        <v>409</v>
      </c>
      <c r="B102" s="8">
        <f t="shared" si="10"/>
        <v>1</v>
      </c>
      <c r="C102" s="8" t="str">
        <f t="shared" si="11"/>
        <v>Unique</v>
      </c>
      <c r="D102" s="9">
        <v>46000</v>
      </c>
      <c r="E102" s="8">
        <f t="shared" si="12"/>
        <v>-82</v>
      </c>
      <c r="F102" s="10">
        <v>45918</v>
      </c>
      <c r="G102" s="8" t="s">
        <v>410</v>
      </c>
      <c r="H102" s="8" t="s">
        <v>126</v>
      </c>
      <c r="I102" s="8" t="str">
        <f t="shared" si="19"/>
        <v>Aarav Sharma</v>
      </c>
      <c r="J102" s="8" t="s">
        <v>93</v>
      </c>
      <c r="K102" s="8" t="str">
        <f t="shared" si="13"/>
        <v>Home Office</v>
      </c>
      <c r="L102" s="8" t="s">
        <v>52</v>
      </c>
      <c r="M102" s="8" t="str">
        <f t="shared" si="14"/>
        <v>South</v>
      </c>
      <c r="N102" s="8" t="s">
        <v>183</v>
      </c>
      <c r="O102" s="8" t="str">
        <f t="shared" si="15"/>
        <v>Kerala</v>
      </c>
      <c r="P102" s="8" t="s">
        <v>184</v>
      </c>
      <c r="Q102" s="8" t="str">
        <f t="shared" si="16"/>
        <v>Kochi</v>
      </c>
      <c r="R102" s="8" t="s">
        <v>26</v>
      </c>
      <c r="S102" s="8" t="str">
        <f t="shared" si="17"/>
        <v>Office Supplies</v>
      </c>
      <c r="T102" s="8" t="s">
        <v>122</v>
      </c>
      <c r="U102" s="8" t="str">
        <f t="shared" si="18"/>
        <v>Storage</v>
      </c>
      <c r="V102" s="8" t="s">
        <v>411</v>
      </c>
    </row>
    <row r="103" spans="1:22">
      <c r="A103" s="8" t="s">
        <v>412</v>
      </c>
      <c r="B103" s="8">
        <f t="shared" si="10"/>
        <v>1</v>
      </c>
      <c r="C103" s="8" t="str">
        <f t="shared" si="11"/>
        <v>Unique</v>
      </c>
      <c r="D103" s="9">
        <v>45465</v>
      </c>
      <c r="E103" s="8">
        <f t="shared" si="12"/>
        <v>4</v>
      </c>
      <c r="F103" s="10">
        <v>45469</v>
      </c>
      <c r="G103" s="8" t="s">
        <v>413</v>
      </c>
      <c r="H103" s="8" t="s">
        <v>139</v>
      </c>
      <c r="I103" s="8" t="str">
        <f t="shared" si="19"/>
        <v>Rohan Mehta</v>
      </c>
      <c r="J103" s="8" t="s">
        <v>93</v>
      </c>
      <c r="K103" s="8" t="str">
        <f t="shared" si="13"/>
        <v>Home Office</v>
      </c>
      <c r="L103" s="8" t="s">
        <v>36</v>
      </c>
      <c r="M103" s="8" t="str">
        <f t="shared" si="14"/>
        <v>East</v>
      </c>
      <c r="N103" s="8" t="s">
        <v>143</v>
      </c>
      <c r="O103" s="8" t="str">
        <f t="shared" si="15"/>
        <v>Bihar</v>
      </c>
      <c r="P103" s="8" t="s">
        <v>144</v>
      </c>
      <c r="Q103" s="8" t="str">
        <f t="shared" si="16"/>
        <v>Patna</v>
      </c>
      <c r="R103" s="8" t="s">
        <v>39</v>
      </c>
      <c r="S103" s="8" t="str">
        <f t="shared" si="17"/>
        <v>Furniture</v>
      </c>
      <c r="T103" s="8" t="s">
        <v>55</v>
      </c>
      <c r="U103" s="8" t="str">
        <f t="shared" si="18"/>
        <v>Furnishings</v>
      </c>
      <c r="V103" s="8" t="s">
        <v>414</v>
      </c>
    </row>
    <row r="104" spans="1:22">
      <c r="A104" s="8" t="s">
        <v>415</v>
      </c>
      <c r="B104" s="8">
        <f t="shared" si="10"/>
        <v>1</v>
      </c>
      <c r="C104" s="8" t="str">
        <f t="shared" si="11"/>
        <v>Unique</v>
      </c>
      <c r="D104" s="9">
        <v>45998</v>
      </c>
      <c r="E104" s="8">
        <f t="shared" si="12"/>
        <v>-144</v>
      </c>
      <c r="F104" s="10">
        <v>45854</v>
      </c>
      <c r="G104" s="8" t="s">
        <v>416</v>
      </c>
      <c r="H104" s="8" t="s">
        <v>69</v>
      </c>
      <c r="I104" s="8" t="str">
        <f t="shared" si="19"/>
        <v>Vikram Iyer</v>
      </c>
      <c r="J104" s="8" t="s">
        <v>22</v>
      </c>
      <c r="K104" s="8" t="str">
        <f t="shared" si="13"/>
        <v>Consumer</v>
      </c>
      <c r="L104" s="8" t="s">
        <v>52</v>
      </c>
      <c r="M104" s="8" t="str">
        <f t="shared" si="14"/>
        <v>South</v>
      </c>
      <c r="N104" s="8" t="s">
        <v>173</v>
      </c>
      <c r="O104" s="8" t="str">
        <f t="shared" si="15"/>
        <v>Karnataka</v>
      </c>
      <c r="P104" s="8" t="s">
        <v>174</v>
      </c>
      <c r="Q104" s="8" t="str">
        <f t="shared" si="16"/>
        <v>Bengaluru</v>
      </c>
      <c r="R104" s="8" t="s">
        <v>39</v>
      </c>
      <c r="S104" s="8" t="str">
        <f t="shared" si="17"/>
        <v>Furniture</v>
      </c>
      <c r="T104" s="8" t="s">
        <v>64</v>
      </c>
      <c r="U104" s="8" t="str">
        <f t="shared" si="18"/>
        <v>Chairs</v>
      </c>
      <c r="V104" s="8" t="s">
        <v>417</v>
      </c>
    </row>
    <row r="105" spans="1:22">
      <c r="A105" s="8" t="s">
        <v>418</v>
      </c>
      <c r="B105" s="8">
        <f t="shared" si="10"/>
        <v>1</v>
      </c>
      <c r="C105" s="8" t="str">
        <f t="shared" si="11"/>
        <v>Unique</v>
      </c>
      <c r="D105" s="9">
        <v>45779</v>
      </c>
      <c r="E105" s="8">
        <f t="shared" si="12"/>
        <v>8</v>
      </c>
      <c r="F105" s="10">
        <v>45787</v>
      </c>
      <c r="G105" s="8" t="s">
        <v>419</v>
      </c>
      <c r="H105" s="8" t="s">
        <v>263</v>
      </c>
      <c r="I105" s="8" t="str">
        <f t="shared" si="19"/>
        <v>Kabir Singh</v>
      </c>
      <c r="J105" s="8" t="s">
        <v>88</v>
      </c>
      <c r="K105" s="8" t="str">
        <f t="shared" si="13"/>
        <v>Corporate</v>
      </c>
      <c r="L105" s="8" t="s">
        <v>61</v>
      </c>
      <c r="M105" s="8" t="str">
        <f t="shared" si="14"/>
        <v>West</v>
      </c>
      <c r="N105" s="8" t="s">
        <v>62</v>
      </c>
      <c r="O105" s="8" t="str">
        <f t="shared" si="15"/>
        <v>Maharashtra</v>
      </c>
      <c r="P105" s="8" t="s">
        <v>63</v>
      </c>
      <c r="Q105" s="8" t="str">
        <f t="shared" si="16"/>
        <v>Mumbai</v>
      </c>
      <c r="R105" s="8" t="s">
        <v>39</v>
      </c>
      <c r="S105" s="8" t="str">
        <f t="shared" si="17"/>
        <v>Furniture</v>
      </c>
      <c r="T105" s="8" t="s">
        <v>40</v>
      </c>
      <c r="U105" s="8" t="str">
        <f t="shared" si="18"/>
        <v>Tables</v>
      </c>
      <c r="V105" s="8" t="s">
        <v>420</v>
      </c>
    </row>
    <row r="106" spans="1:22">
      <c r="A106" s="8" t="s">
        <v>421</v>
      </c>
      <c r="B106" s="8">
        <f t="shared" si="10"/>
        <v>1</v>
      </c>
      <c r="C106" s="8" t="str">
        <f t="shared" si="11"/>
        <v>Unique</v>
      </c>
      <c r="D106" s="9">
        <v>45659</v>
      </c>
      <c r="E106" s="8">
        <f t="shared" si="12"/>
        <v>37</v>
      </c>
      <c r="F106" s="10">
        <v>45696</v>
      </c>
      <c r="G106" s="8" t="s">
        <v>422</v>
      </c>
      <c r="H106" s="8" t="s">
        <v>60</v>
      </c>
      <c r="I106" s="8" t="str">
        <f t="shared" si="19"/>
        <v>Ananya Rao</v>
      </c>
      <c r="J106" s="8" t="s">
        <v>22</v>
      </c>
      <c r="K106" s="8" t="str">
        <f t="shared" si="13"/>
        <v>Consumer</v>
      </c>
      <c r="L106" s="8" t="s">
        <v>52</v>
      </c>
      <c r="M106" s="8" t="str">
        <f t="shared" si="14"/>
        <v>South</v>
      </c>
      <c r="N106" s="8" t="s">
        <v>173</v>
      </c>
      <c r="O106" s="8" t="str">
        <f t="shared" si="15"/>
        <v>Karnataka</v>
      </c>
      <c r="P106" s="8" t="s">
        <v>174</v>
      </c>
      <c r="Q106" s="8" t="str">
        <f t="shared" si="16"/>
        <v>Bengaluru</v>
      </c>
      <c r="R106" s="8" t="s">
        <v>26</v>
      </c>
      <c r="S106" s="8" t="str">
        <f t="shared" si="17"/>
        <v>Office Supplies</v>
      </c>
      <c r="T106" s="8" t="s">
        <v>89</v>
      </c>
      <c r="U106" s="8" t="str">
        <f t="shared" si="18"/>
        <v>Labels</v>
      </c>
      <c r="V106" s="8" t="s">
        <v>423</v>
      </c>
    </row>
    <row r="107" spans="1:22">
      <c r="A107" s="8" t="s">
        <v>424</v>
      </c>
      <c r="B107" s="8">
        <f t="shared" si="10"/>
        <v>1</v>
      </c>
      <c r="C107" s="8" t="str">
        <f t="shared" si="11"/>
        <v>Unique</v>
      </c>
      <c r="D107" s="9">
        <v>45467</v>
      </c>
      <c r="E107" s="8">
        <f t="shared" si="12"/>
        <v>5</v>
      </c>
      <c r="F107" s="10">
        <v>45472</v>
      </c>
      <c r="G107" s="8" t="s">
        <v>425</v>
      </c>
      <c r="H107" s="8" t="s">
        <v>34</v>
      </c>
      <c r="I107" s="8" t="str">
        <f t="shared" si="19"/>
        <v>Mira Das</v>
      </c>
      <c r="J107" s="8" t="s">
        <v>93</v>
      </c>
      <c r="K107" s="8" t="str">
        <f t="shared" si="13"/>
        <v>Home Office</v>
      </c>
      <c r="L107" s="8" t="s">
        <v>36</v>
      </c>
      <c r="M107" s="8" t="str">
        <f t="shared" si="14"/>
        <v>East</v>
      </c>
      <c r="N107" s="8" t="s">
        <v>97</v>
      </c>
      <c r="O107" s="8" t="str">
        <f t="shared" si="15"/>
        <v>West Bengal</v>
      </c>
      <c r="P107" s="8" t="s">
        <v>98</v>
      </c>
      <c r="Q107" s="8" t="str">
        <f t="shared" si="16"/>
        <v>Kolkata</v>
      </c>
      <c r="R107" s="8" t="s">
        <v>39</v>
      </c>
      <c r="S107" s="8" t="str">
        <f t="shared" si="17"/>
        <v>Furniture</v>
      </c>
      <c r="T107" s="8" t="s">
        <v>40</v>
      </c>
      <c r="U107" s="8" t="str">
        <f t="shared" si="18"/>
        <v>Tables</v>
      </c>
      <c r="V107" s="8" t="s">
        <v>426</v>
      </c>
    </row>
    <row r="108" spans="1:22">
      <c r="A108" s="8" t="s">
        <v>427</v>
      </c>
      <c r="B108" s="8">
        <f t="shared" si="10"/>
        <v>1</v>
      </c>
      <c r="C108" s="8" t="str">
        <f t="shared" si="11"/>
        <v>Unique</v>
      </c>
      <c r="D108" s="9">
        <v>45342</v>
      </c>
      <c r="E108" s="8">
        <f t="shared" si="12"/>
        <v>8</v>
      </c>
      <c r="F108" s="10">
        <v>45350</v>
      </c>
      <c r="G108" s="8" t="s">
        <v>428</v>
      </c>
      <c r="H108" s="8" t="s">
        <v>51</v>
      </c>
      <c r="I108" s="8" t="str">
        <f t="shared" si="19"/>
        <v>Arjun Bose</v>
      </c>
      <c r="J108" s="8" t="s">
        <v>93</v>
      </c>
      <c r="K108" s="8" t="str">
        <f t="shared" si="13"/>
        <v>Home Office</v>
      </c>
      <c r="L108" s="8" t="s">
        <v>36</v>
      </c>
      <c r="M108" s="8" t="str">
        <f t="shared" si="14"/>
        <v>East</v>
      </c>
      <c r="N108" s="8" t="s">
        <v>97</v>
      </c>
      <c r="O108" s="8" t="str">
        <f t="shared" si="15"/>
        <v>West Bengal</v>
      </c>
      <c r="P108" s="8" t="s">
        <v>98</v>
      </c>
      <c r="Q108" s="8" t="str">
        <f t="shared" si="16"/>
        <v>Kolkata</v>
      </c>
      <c r="R108" s="8" t="s">
        <v>26</v>
      </c>
      <c r="S108" s="8" t="str">
        <f t="shared" si="17"/>
        <v>Office Supplies</v>
      </c>
      <c r="T108" s="8" t="s">
        <v>27</v>
      </c>
      <c r="U108" s="8" t="str">
        <f t="shared" si="18"/>
        <v>Paper</v>
      </c>
      <c r="V108" s="8" t="s">
        <v>429</v>
      </c>
    </row>
    <row r="109" spans="1:22">
      <c r="A109" s="8" t="s">
        <v>430</v>
      </c>
      <c r="B109" s="8">
        <f t="shared" si="10"/>
        <v>1</v>
      </c>
      <c r="C109" s="8" t="str">
        <f t="shared" si="11"/>
        <v>Unique</v>
      </c>
      <c r="D109" s="9">
        <v>45594</v>
      </c>
      <c r="E109" s="8">
        <f t="shared" si="12"/>
        <v>-201</v>
      </c>
      <c r="F109" s="10">
        <v>45393</v>
      </c>
      <c r="G109" s="8" t="s">
        <v>431</v>
      </c>
      <c r="H109" s="8" t="s">
        <v>139</v>
      </c>
      <c r="I109" s="8" t="str">
        <f t="shared" si="19"/>
        <v>Rohan Mehta</v>
      </c>
      <c r="J109" s="8" t="s">
        <v>93</v>
      </c>
      <c r="K109" s="8" t="str">
        <f t="shared" si="13"/>
        <v>Home Office</v>
      </c>
      <c r="L109" s="8" t="s">
        <v>36</v>
      </c>
      <c r="M109" s="8" t="str">
        <f t="shared" si="14"/>
        <v>East</v>
      </c>
      <c r="N109" s="8" t="s">
        <v>97</v>
      </c>
      <c r="O109" s="8" t="str">
        <f t="shared" si="15"/>
        <v>West Bengal</v>
      </c>
      <c r="P109" s="8" t="s">
        <v>98</v>
      </c>
      <c r="Q109" s="8" t="str">
        <f t="shared" si="16"/>
        <v>Kolkata</v>
      </c>
      <c r="R109" s="8" t="s">
        <v>39</v>
      </c>
      <c r="S109" s="8" t="str">
        <f t="shared" si="17"/>
        <v>Furniture</v>
      </c>
      <c r="T109" s="8" t="s">
        <v>55</v>
      </c>
      <c r="U109" s="8" t="str">
        <f t="shared" si="18"/>
        <v>Furnishings</v>
      </c>
      <c r="V109" s="8" t="s">
        <v>432</v>
      </c>
    </row>
    <row r="110" spans="1:22">
      <c r="A110" s="8" t="s">
        <v>433</v>
      </c>
      <c r="B110" s="8">
        <f t="shared" si="10"/>
        <v>1</v>
      </c>
      <c r="C110" s="8" t="str">
        <f t="shared" si="11"/>
        <v>Unique</v>
      </c>
      <c r="D110" s="9">
        <v>45519</v>
      </c>
      <c r="E110" s="8">
        <f t="shared" si="12"/>
        <v>8</v>
      </c>
      <c r="F110" s="10">
        <v>45527</v>
      </c>
      <c r="G110" s="8" t="s">
        <v>434</v>
      </c>
      <c r="H110" s="8" t="s">
        <v>87</v>
      </c>
      <c r="I110" s="8" t="str">
        <f t="shared" si="19"/>
        <v>Aditi Sen</v>
      </c>
      <c r="J110" s="8" t="s">
        <v>35</v>
      </c>
      <c r="K110" s="8" t="str">
        <f t="shared" si="13"/>
        <v>Small Business</v>
      </c>
      <c r="L110" s="8" t="s">
        <v>36</v>
      </c>
      <c r="M110" s="8" t="str">
        <f t="shared" si="14"/>
        <v>East</v>
      </c>
      <c r="N110" s="8" t="s">
        <v>37</v>
      </c>
      <c r="O110" s="8" t="str">
        <f t="shared" si="15"/>
        <v>Odisha</v>
      </c>
      <c r="P110" s="8" t="s">
        <v>38</v>
      </c>
      <c r="Q110" s="8" t="str">
        <f t="shared" si="16"/>
        <v>Bhubaneswar</v>
      </c>
      <c r="R110" s="8" t="s">
        <v>39</v>
      </c>
      <c r="S110" s="8" t="str">
        <f t="shared" si="17"/>
        <v>Furniture</v>
      </c>
      <c r="T110" s="8" t="s">
        <v>156</v>
      </c>
      <c r="U110" s="8" t="str">
        <f t="shared" si="18"/>
        <v>Bookcases</v>
      </c>
      <c r="V110" s="8" t="s">
        <v>435</v>
      </c>
    </row>
    <row r="111" spans="1:22">
      <c r="A111" s="8" t="s">
        <v>436</v>
      </c>
      <c r="B111" s="8">
        <f t="shared" si="10"/>
        <v>1</v>
      </c>
      <c r="C111" s="8" t="str">
        <f t="shared" si="11"/>
        <v>Unique</v>
      </c>
      <c r="D111" s="9">
        <v>45892</v>
      </c>
      <c r="E111" s="8">
        <f t="shared" si="12"/>
        <v>4</v>
      </c>
      <c r="F111" s="10">
        <v>45896</v>
      </c>
      <c r="G111" s="8" t="s">
        <v>437</v>
      </c>
      <c r="H111" s="8" t="s">
        <v>130</v>
      </c>
      <c r="I111" s="8" t="str">
        <f t="shared" si="19"/>
        <v>Sneha Kapoor</v>
      </c>
      <c r="J111" s="8" t="s">
        <v>22</v>
      </c>
      <c r="K111" s="8" t="str">
        <f t="shared" si="13"/>
        <v>Consumer</v>
      </c>
      <c r="L111" s="8" t="s">
        <v>23</v>
      </c>
      <c r="M111" s="8" t="str">
        <f t="shared" si="14"/>
        <v>North</v>
      </c>
      <c r="N111" s="8" t="s">
        <v>349</v>
      </c>
      <c r="O111" s="8" t="str">
        <f t="shared" si="15"/>
        <v>Delhi</v>
      </c>
      <c r="P111" s="8" t="s">
        <v>350</v>
      </c>
      <c r="Q111" s="8" t="str">
        <f t="shared" si="16"/>
        <v>New Delhi</v>
      </c>
      <c r="R111" s="8" t="s">
        <v>26</v>
      </c>
      <c r="S111" s="8" t="str">
        <f t="shared" si="17"/>
        <v>Office Supplies</v>
      </c>
      <c r="T111" s="8" t="s">
        <v>151</v>
      </c>
      <c r="U111" s="8" t="str">
        <f t="shared" si="18"/>
        <v>Binders</v>
      </c>
      <c r="V111" s="8" t="s">
        <v>438</v>
      </c>
    </row>
    <row r="112" spans="1:22">
      <c r="A112" s="8" t="s">
        <v>439</v>
      </c>
      <c r="B112" s="8">
        <f t="shared" si="10"/>
        <v>1</v>
      </c>
      <c r="C112" s="8" t="str">
        <f t="shared" si="11"/>
        <v>Unique</v>
      </c>
      <c r="D112" s="9">
        <v>45583</v>
      </c>
      <c r="E112" s="8">
        <f t="shared" si="12"/>
        <v>6</v>
      </c>
      <c r="F112" s="10">
        <v>45589</v>
      </c>
      <c r="G112" s="8" t="s">
        <v>440</v>
      </c>
      <c r="H112" s="8" t="s">
        <v>69</v>
      </c>
      <c r="I112" s="8" t="str">
        <f t="shared" si="19"/>
        <v>Vikram Iyer</v>
      </c>
      <c r="J112" s="8" t="s">
        <v>88</v>
      </c>
      <c r="K112" s="8" t="str">
        <f t="shared" si="13"/>
        <v>Corporate</v>
      </c>
      <c r="L112" s="8" t="s">
        <v>52</v>
      </c>
      <c r="M112" s="8" t="str">
        <f t="shared" si="14"/>
        <v>South</v>
      </c>
      <c r="N112" s="8" t="s">
        <v>183</v>
      </c>
      <c r="O112" s="8" t="str">
        <f t="shared" si="15"/>
        <v>Kerala</v>
      </c>
      <c r="P112" s="8" t="s">
        <v>184</v>
      </c>
      <c r="Q112" s="8" t="str">
        <f t="shared" si="16"/>
        <v>Kochi</v>
      </c>
      <c r="R112" s="8" t="s">
        <v>26</v>
      </c>
      <c r="S112" s="8" t="str">
        <f t="shared" si="17"/>
        <v>Office Supplies</v>
      </c>
      <c r="T112" s="8" t="s">
        <v>89</v>
      </c>
      <c r="U112" s="8" t="str">
        <f t="shared" si="18"/>
        <v>Labels</v>
      </c>
      <c r="V112" s="8" t="s">
        <v>441</v>
      </c>
    </row>
    <row r="113" spans="1:22">
      <c r="A113" s="8" t="s">
        <v>442</v>
      </c>
      <c r="B113" s="8">
        <f t="shared" si="10"/>
        <v>1</v>
      </c>
      <c r="C113" s="8" t="str">
        <f t="shared" si="11"/>
        <v>Unique</v>
      </c>
      <c r="D113" s="9">
        <v>45835</v>
      </c>
      <c r="E113" s="8">
        <f t="shared" si="12"/>
        <v>3</v>
      </c>
      <c r="F113" s="10">
        <v>45838</v>
      </c>
      <c r="G113" s="8" t="s">
        <v>443</v>
      </c>
      <c r="H113" s="8" t="s">
        <v>77</v>
      </c>
      <c r="I113" s="8" t="str">
        <f t="shared" si="19"/>
        <v>Neha Gupta</v>
      </c>
      <c r="J113" s="8" t="s">
        <v>88</v>
      </c>
      <c r="K113" s="8" t="str">
        <f t="shared" si="13"/>
        <v>Corporate</v>
      </c>
      <c r="L113" s="8" t="s">
        <v>36</v>
      </c>
      <c r="M113" s="8" t="str">
        <f t="shared" si="14"/>
        <v>East</v>
      </c>
      <c r="N113" s="8" t="s">
        <v>143</v>
      </c>
      <c r="O113" s="8" t="str">
        <f t="shared" si="15"/>
        <v>Bihar</v>
      </c>
      <c r="P113" s="8" t="s">
        <v>144</v>
      </c>
      <c r="Q113" s="8" t="str">
        <f t="shared" si="16"/>
        <v>Patna</v>
      </c>
      <c r="R113" s="8" t="s">
        <v>72</v>
      </c>
      <c r="S113" s="8" t="str">
        <f t="shared" si="17"/>
        <v>Technology</v>
      </c>
      <c r="T113" s="8" t="s">
        <v>73</v>
      </c>
      <c r="U113" s="8" t="str">
        <f t="shared" si="18"/>
        <v>Accessories</v>
      </c>
      <c r="V113" s="8" t="s">
        <v>444</v>
      </c>
    </row>
    <row r="114" spans="1:22">
      <c r="A114" s="8" t="s">
        <v>445</v>
      </c>
      <c r="B114" s="8">
        <f t="shared" si="10"/>
        <v>1</v>
      </c>
      <c r="C114" s="8" t="str">
        <f t="shared" si="11"/>
        <v>Unique</v>
      </c>
      <c r="D114" s="9">
        <v>45566</v>
      </c>
      <c r="E114" s="8">
        <f t="shared" si="12"/>
        <v>-261</v>
      </c>
      <c r="F114" s="10">
        <v>45305</v>
      </c>
      <c r="G114" s="8" t="s">
        <v>446</v>
      </c>
      <c r="H114" s="8" t="s">
        <v>130</v>
      </c>
      <c r="I114" s="8" t="str">
        <f t="shared" si="19"/>
        <v>Sneha Kapoor</v>
      </c>
      <c r="J114" s="8" t="s">
        <v>22</v>
      </c>
      <c r="K114" s="8" t="str">
        <f t="shared" si="13"/>
        <v>Consumer</v>
      </c>
      <c r="M114" s="8" t="str">
        <f t="shared" si="14"/>
        <v/>
      </c>
      <c r="N114" s="8" t="s">
        <v>178</v>
      </c>
      <c r="O114" s="8" t="str">
        <f t="shared" si="15"/>
        <v>Gujarat</v>
      </c>
      <c r="P114" s="8" t="s">
        <v>179</v>
      </c>
      <c r="Q114" s="8" t="str">
        <f t="shared" si="16"/>
        <v>Ahmedabad</v>
      </c>
      <c r="R114" s="8" t="s">
        <v>72</v>
      </c>
      <c r="S114" s="8" t="str">
        <f t="shared" si="17"/>
        <v>Technology</v>
      </c>
      <c r="T114" s="8" t="s">
        <v>73</v>
      </c>
      <c r="U114" s="8" t="str">
        <f t="shared" si="18"/>
        <v>Accessories</v>
      </c>
      <c r="V114" s="8" t="s">
        <v>447</v>
      </c>
    </row>
    <row r="115" spans="1:22">
      <c r="A115" s="8" t="s">
        <v>448</v>
      </c>
      <c r="B115" s="8">
        <f t="shared" si="10"/>
        <v>1</v>
      </c>
      <c r="C115" s="8" t="str">
        <f t="shared" si="11"/>
        <v>Unique</v>
      </c>
      <c r="D115" s="9">
        <v>45628</v>
      </c>
      <c r="E115" s="8">
        <f t="shared" si="12"/>
        <v>0</v>
      </c>
      <c r="F115" s="10">
        <v>45628</v>
      </c>
      <c r="G115" s="8" t="s">
        <v>359</v>
      </c>
      <c r="H115" s="8" t="s">
        <v>45</v>
      </c>
      <c r="I115" s="8" t="str">
        <f t="shared" si="19"/>
        <v>Isha Nair</v>
      </c>
      <c r="J115" s="8" t="s">
        <v>93</v>
      </c>
      <c r="K115" s="8" t="str">
        <f t="shared" si="13"/>
        <v>Home Office</v>
      </c>
      <c r="L115" s="8" t="s">
        <v>52</v>
      </c>
      <c r="M115" s="8" t="str">
        <f t="shared" si="14"/>
        <v>South</v>
      </c>
      <c r="N115" s="8" t="s">
        <v>246</v>
      </c>
      <c r="O115" s="8" t="str">
        <f t="shared" si="15"/>
        <v>Tamil Nadu</v>
      </c>
      <c r="P115" s="8" t="s">
        <v>247</v>
      </c>
      <c r="Q115" s="8" t="str">
        <f t="shared" si="16"/>
        <v>Chennai</v>
      </c>
      <c r="R115" s="8" t="s">
        <v>39</v>
      </c>
      <c r="S115" s="8" t="str">
        <f t="shared" si="17"/>
        <v>Furniture</v>
      </c>
      <c r="T115" s="8" t="s">
        <v>40</v>
      </c>
      <c r="U115" s="8" t="str">
        <f t="shared" si="18"/>
        <v>Tables</v>
      </c>
      <c r="V115" s="8" t="s">
        <v>449</v>
      </c>
    </row>
    <row r="116" spans="1:22">
      <c r="A116" s="8" t="s">
        <v>450</v>
      </c>
      <c r="B116" s="8">
        <f t="shared" si="10"/>
        <v>1</v>
      </c>
      <c r="C116" s="8" t="str">
        <f t="shared" si="11"/>
        <v>Unique</v>
      </c>
      <c r="D116" s="9">
        <v>45560</v>
      </c>
      <c r="E116" s="8">
        <f t="shared" si="12"/>
        <v>5</v>
      </c>
      <c r="F116" s="10">
        <v>45565</v>
      </c>
      <c r="G116" s="8" t="s">
        <v>451</v>
      </c>
      <c r="H116" s="8" t="s">
        <v>77</v>
      </c>
      <c r="I116" s="8" t="str">
        <f t="shared" si="19"/>
        <v>Neha Gupta</v>
      </c>
      <c r="J116" s="8" t="s">
        <v>35</v>
      </c>
      <c r="K116" s="8" t="str">
        <f t="shared" si="13"/>
        <v>Small Business</v>
      </c>
      <c r="L116" s="8" t="s">
        <v>23</v>
      </c>
      <c r="M116" s="8" t="str">
        <f t="shared" si="14"/>
        <v>North</v>
      </c>
      <c r="N116" s="8" t="s">
        <v>24</v>
      </c>
      <c r="O116" s="8" t="str">
        <f t="shared" si="15"/>
        <v>Rajasthan</v>
      </c>
      <c r="P116" s="8" t="s">
        <v>25</v>
      </c>
      <c r="Q116" s="8" t="str">
        <f t="shared" si="16"/>
        <v>Jaipur</v>
      </c>
      <c r="R116" s="8" t="s">
        <v>72</v>
      </c>
      <c r="S116" s="8" t="str">
        <f t="shared" si="17"/>
        <v>Technology</v>
      </c>
      <c r="T116" s="8" t="s">
        <v>73</v>
      </c>
      <c r="U116" s="8" t="str">
        <f t="shared" si="18"/>
        <v>Accessories</v>
      </c>
      <c r="V116" s="8" t="s">
        <v>452</v>
      </c>
    </row>
    <row r="117" spans="1:22">
      <c r="A117" s="8" t="s">
        <v>453</v>
      </c>
      <c r="B117" s="8">
        <f t="shared" si="10"/>
        <v>1</v>
      </c>
      <c r="C117" s="8" t="str">
        <f t="shared" si="11"/>
        <v>Unique</v>
      </c>
      <c r="D117" s="9">
        <v>45653</v>
      </c>
      <c r="E117" s="8">
        <f t="shared" si="12"/>
        <v>5</v>
      </c>
      <c r="F117" s="10">
        <v>45658</v>
      </c>
      <c r="G117" s="8" t="s">
        <v>454</v>
      </c>
      <c r="H117" s="8" t="s">
        <v>263</v>
      </c>
      <c r="I117" s="8" t="str">
        <f t="shared" si="19"/>
        <v>Kabir Singh</v>
      </c>
      <c r="J117" s="8" t="s">
        <v>88</v>
      </c>
      <c r="K117" s="8" t="str">
        <f t="shared" si="13"/>
        <v>Corporate</v>
      </c>
      <c r="L117" s="8" t="s">
        <v>52</v>
      </c>
      <c r="M117" s="8" t="str">
        <f t="shared" si="14"/>
        <v>South</v>
      </c>
      <c r="N117" s="8" t="s">
        <v>246</v>
      </c>
      <c r="O117" s="8" t="str">
        <f t="shared" si="15"/>
        <v>Tamil Nadu</v>
      </c>
      <c r="P117" s="8" t="s">
        <v>247</v>
      </c>
      <c r="Q117" s="8" t="str">
        <f t="shared" si="16"/>
        <v>Chennai</v>
      </c>
      <c r="R117" s="8" t="s">
        <v>26</v>
      </c>
      <c r="S117" s="8" t="str">
        <f t="shared" si="17"/>
        <v>Office Supplies</v>
      </c>
      <c r="T117" s="8" t="s">
        <v>151</v>
      </c>
      <c r="U117" s="8" t="str">
        <f t="shared" si="18"/>
        <v>Binders</v>
      </c>
      <c r="V117" s="8" t="s">
        <v>455</v>
      </c>
    </row>
    <row r="118" spans="1:22">
      <c r="A118" s="8" t="s">
        <v>456</v>
      </c>
      <c r="B118" s="8">
        <f t="shared" si="10"/>
        <v>1</v>
      </c>
      <c r="C118" s="8" t="str">
        <f t="shared" si="11"/>
        <v>Unique</v>
      </c>
      <c r="D118" s="9">
        <v>45703</v>
      </c>
      <c r="E118" s="8">
        <f t="shared" si="12"/>
        <v>4</v>
      </c>
      <c r="F118" s="10">
        <v>45707</v>
      </c>
      <c r="G118" s="8" t="s">
        <v>457</v>
      </c>
      <c r="H118" s="8" t="s">
        <v>60</v>
      </c>
      <c r="I118" s="8" t="str">
        <f t="shared" si="19"/>
        <v>Ananya Rao</v>
      </c>
      <c r="J118" s="8" t="s">
        <v>35</v>
      </c>
      <c r="K118" s="8" t="str">
        <f t="shared" si="13"/>
        <v>Small Business</v>
      </c>
      <c r="M118" s="8" t="str">
        <f t="shared" si="14"/>
        <v/>
      </c>
      <c r="N118" s="8" t="s">
        <v>70</v>
      </c>
      <c r="O118" s="8" t="str">
        <f t="shared" si="15"/>
        <v>Madhya Pradesh</v>
      </c>
      <c r="P118" s="8" t="s">
        <v>71</v>
      </c>
      <c r="Q118" s="8" t="str">
        <f t="shared" si="16"/>
        <v>Indore</v>
      </c>
      <c r="R118" s="8" t="s">
        <v>26</v>
      </c>
      <c r="S118" s="8" t="str">
        <f t="shared" si="17"/>
        <v>Office Supplies</v>
      </c>
      <c r="T118" s="8" t="s">
        <v>151</v>
      </c>
      <c r="U118" s="8" t="str">
        <f t="shared" si="18"/>
        <v>Binders</v>
      </c>
      <c r="V118" s="8" t="s">
        <v>458</v>
      </c>
    </row>
    <row r="119" spans="1:22">
      <c r="A119" s="8" t="s">
        <v>459</v>
      </c>
      <c r="B119" s="8">
        <f t="shared" si="10"/>
        <v>1</v>
      </c>
      <c r="C119" s="8" t="str">
        <f t="shared" si="11"/>
        <v>Unique</v>
      </c>
      <c r="D119" s="9">
        <v>45337</v>
      </c>
      <c r="E119" s="8">
        <f t="shared" si="12"/>
        <v>2</v>
      </c>
      <c r="F119" s="10">
        <v>45339</v>
      </c>
      <c r="G119" s="8" t="s">
        <v>460</v>
      </c>
      <c r="H119" s="8" t="s">
        <v>34</v>
      </c>
      <c r="I119" s="8" t="str">
        <f t="shared" si="19"/>
        <v>Mira Das</v>
      </c>
      <c r="J119" s="8" t="s">
        <v>93</v>
      </c>
      <c r="K119" s="8" t="str">
        <f t="shared" si="13"/>
        <v>Home Office</v>
      </c>
      <c r="L119" s="8" t="s">
        <v>52</v>
      </c>
      <c r="M119" s="8" t="str">
        <f t="shared" si="14"/>
        <v>South</v>
      </c>
      <c r="N119" s="8" t="s">
        <v>246</v>
      </c>
      <c r="O119" s="8" t="str">
        <f t="shared" si="15"/>
        <v>Tamil Nadu</v>
      </c>
      <c r="P119" s="8" t="s">
        <v>247</v>
      </c>
      <c r="Q119" s="8" t="str">
        <f t="shared" si="16"/>
        <v>Chennai</v>
      </c>
      <c r="R119" s="8" t="s">
        <v>72</v>
      </c>
      <c r="S119" s="8" t="str">
        <f t="shared" si="17"/>
        <v>Technology</v>
      </c>
      <c r="T119" s="8" t="s">
        <v>273</v>
      </c>
      <c r="U119" s="8" t="str">
        <f t="shared" si="18"/>
        <v>Machines</v>
      </c>
      <c r="V119" s="8" t="s">
        <v>461</v>
      </c>
    </row>
    <row r="120" spans="1:22">
      <c r="A120" s="8" t="s">
        <v>463</v>
      </c>
      <c r="B120" s="8">
        <f t="shared" si="10"/>
        <v>1</v>
      </c>
      <c r="C120" s="8" t="str">
        <f t="shared" si="11"/>
        <v>Unique</v>
      </c>
      <c r="D120" s="9">
        <v>45453</v>
      </c>
      <c r="E120" s="8">
        <f t="shared" si="12"/>
        <v>8</v>
      </c>
      <c r="F120" s="10">
        <v>45461</v>
      </c>
      <c r="G120" s="8" t="s">
        <v>464</v>
      </c>
      <c r="H120" s="8" t="s">
        <v>465</v>
      </c>
      <c r="I120" s="8" t="str">
        <f t="shared" si="19"/>
        <v>Vikram Iyer</v>
      </c>
      <c r="J120" s="8" t="s">
        <v>93</v>
      </c>
      <c r="K120" s="8" t="str">
        <f t="shared" si="13"/>
        <v>Home Office</v>
      </c>
      <c r="L120" s="8" t="s">
        <v>52</v>
      </c>
      <c r="M120" s="8" t="str">
        <f t="shared" si="14"/>
        <v>South</v>
      </c>
      <c r="N120" s="8" t="s">
        <v>82</v>
      </c>
      <c r="O120" s="8" t="str">
        <f t="shared" si="15"/>
        <v>Andhra Pradesh</v>
      </c>
      <c r="P120" s="8" t="s">
        <v>83</v>
      </c>
      <c r="Q120" s="8" t="str">
        <f t="shared" si="16"/>
        <v>Vijayawada</v>
      </c>
      <c r="R120" s="8" t="s">
        <v>72</v>
      </c>
      <c r="S120" s="8" t="str">
        <f t="shared" si="17"/>
        <v>Technology</v>
      </c>
      <c r="T120" s="8" t="s">
        <v>78</v>
      </c>
      <c r="U120" s="8" t="str">
        <f t="shared" si="18"/>
        <v>Copiers</v>
      </c>
      <c r="V120" s="8" t="s">
        <v>466</v>
      </c>
    </row>
    <row r="121" spans="1:22">
      <c r="A121" s="8" t="s">
        <v>467</v>
      </c>
      <c r="B121" s="8">
        <f t="shared" si="10"/>
        <v>1</v>
      </c>
      <c r="C121" s="8" t="str">
        <f t="shared" si="11"/>
        <v>Unique</v>
      </c>
      <c r="D121" s="9">
        <v>45632</v>
      </c>
      <c r="E121" s="8">
        <f t="shared" si="12"/>
        <v>-170</v>
      </c>
      <c r="F121" s="10">
        <v>45462</v>
      </c>
      <c r="G121" s="8" t="s">
        <v>468</v>
      </c>
      <c r="H121" s="8" t="s">
        <v>87</v>
      </c>
      <c r="I121" s="8" t="str">
        <f t="shared" si="19"/>
        <v>Aditi Sen</v>
      </c>
      <c r="J121" s="8" t="s">
        <v>35</v>
      </c>
      <c r="K121" s="8" t="str">
        <f t="shared" si="13"/>
        <v>Small Business</v>
      </c>
      <c r="L121" s="8" t="s">
        <v>52</v>
      </c>
      <c r="M121" s="8" t="str">
        <f t="shared" si="14"/>
        <v>South</v>
      </c>
      <c r="N121" s="8" t="s">
        <v>183</v>
      </c>
      <c r="O121" s="8" t="str">
        <f t="shared" si="15"/>
        <v>Kerala</v>
      </c>
      <c r="P121" s="8" t="s">
        <v>184</v>
      </c>
      <c r="Q121" s="8" t="str">
        <f t="shared" si="16"/>
        <v>Kochi</v>
      </c>
      <c r="R121" s="8" t="s">
        <v>39</v>
      </c>
      <c r="S121" s="8" t="str">
        <f t="shared" si="17"/>
        <v>Furniture</v>
      </c>
      <c r="T121" s="8" t="s">
        <v>64</v>
      </c>
      <c r="U121" s="8" t="str">
        <f t="shared" si="18"/>
        <v>Chairs</v>
      </c>
      <c r="V121" s="8" t="s">
        <v>469</v>
      </c>
    </row>
    <row r="122" spans="1:22">
      <c r="A122" s="8" t="s">
        <v>470</v>
      </c>
      <c r="B122" s="8">
        <f t="shared" si="10"/>
        <v>1</v>
      </c>
      <c r="C122" s="8" t="str">
        <f t="shared" si="11"/>
        <v>Unique</v>
      </c>
      <c r="D122" s="9">
        <v>45573</v>
      </c>
      <c r="E122" s="8">
        <f t="shared" si="12"/>
        <v>-51</v>
      </c>
      <c r="F122" s="10">
        <v>45522</v>
      </c>
      <c r="G122" s="8" t="s">
        <v>471</v>
      </c>
      <c r="H122" s="8" t="s">
        <v>130</v>
      </c>
      <c r="I122" s="8" t="str">
        <f t="shared" si="19"/>
        <v>Sneha Kapoor</v>
      </c>
      <c r="J122" s="8" t="s">
        <v>35</v>
      </c>
      <c r="K122" s="8" t="str">
        <f t="shared" si="13"/>
        <v>Small Business</v>
      </c>
      <c r="L122" s="8" t="s">
        <v>36</v>
      </c>
      <c r="M122" s="8" t="str">
        <f t="shared" si="14"/>
        <v>East</v>
      </c>
      <c r="N122" s="8" t="s">
        <v>143</v>
      </c>
      <c r="O122" s="8" t="str">
        <f t="shared" si="15"/>
        <v>Bihar</v>
      </c>
      <c r="P122" s="8" t="s">
        <v>144</v>
      </c>
      <c r="Q122" s="8" t="str">
        <f t="shared" si="16"/>
        <v>Patna</v>
      </c>
      <c r="R122" s="8" t="s">
        <v>72</v>
      </c>
      <c r="S122" s="8" t="str">
        <f t="shared" si="17"/>
        <v>Technology</v>
      </c>
      <c r="T122" s="8" t="s">
        <v>169</v>
      </c>
      <c r="U122" s="8" t="str">
        <f t="shared" si="18"/>
        <v>Phones</v>
      </c>
      <c r="V122" s="8" t="s">
        <v>472</v>
      </c>
    </row>
    <row r="123" spans="1:22">
      <c r="A123" s="8" t="s">
        <v>473</v>
      </c>
      <c r="B123" s="8">
        <f t="shared" si="10"/>
        <v>1</v>
      </c>
      <c r="C123" s="8" t="str">
        <f t="shared" si="11"/>
        <v>Unique</v>
      </c>
      <c r="D123" s="9">
        <v>45891</v>
      </c>
      <c r="E123" s="8">
        <f t="shared" si="12"/>
        <v>4</v>
      </c>
      <c r="F123" s="10">
        <v>45895</v>
      </c>
      <c r="G123" s="8" t="s">
        <v>474</v>
      </c>
      <c r="H123" s="8" t="s">
        <v>263</v>
      </c>
      <c r="I123" s="8" t="str">
        <f t="shared" si="19"/>
        <v>Kabir Singh</v>
      </c>
      <c r="J123" s="8" t="s">
        <v>475</v>
      </c>
      <c r="K123" s="8" t="str">
        <f t="shared" si="13"/>
        <v>Small Business</v>
      </c>
      <c r="L123" s="8" t="s">
        <v>52</v>
      </c>
      <c r="M123" s="8" t="str">
        <f t="shared" si="14"/>
        <v>South</v>
      </c>
      <c r="N123" s="8" t="s">
        <v>82</v>
      </c>
      <c r="O123" s="8" t="str">
        <f t="shared" si="15"/>
        <v>Andhra Pradesh</v>
      </c>
      <c r="P123" s="8" t="s">
        <v>83</v>
      </c>
      <c r="Q123" s="8" t="str">
        <f t="shared" si="16"/>
        <v>Vijayawada</v>
      </c>
      <c r="R123" s="8" t="s">
        <v>72</v>
      </c>
      <c r="S123" s="8" t="str">
        <f t="shared" si="17"/>
        <v>Technology</v>
      </c>
      <c r="T123" s="8" t="s">
        <v>273</v>
      </c>
      <c r="U123" s="8" t="str">
        <f t="shared" si="18"/>
        <v>Machines</v>
      </c>
      <c r="V123" s="8" t="s">
        <v>476</v>
      </c>
    </row>
    <row r="124" spans="1:22">
      <c r="A124" s="8" t="s">
        <v>477</v>
      </c>
      <c r="B124" s="8">
        <f t="shared" si="10"/>
        <v>1</v>
      </c>
      <c r="C124" s="8" t="str">
        <f t="shared" si="11"/>
        <v>Unique</v>
      </c>
      <c r="D124" s="9">
        <v>45626</v>
      </c>
      <c r="E124" s="8">
        <f t="shared" si="12"/>
        <v>-232</v>
      </c>
      <c r="F124" s="10">
        <v>45394</v>
      </c>
      <c r="G124" s="8" t="s">
        <v>478</v>
      </c>
      <c r="H124" s="8" t="s">
        <v>60</v>
      </c>
      <c r="I124" s="8" t="str">
        <f t="shared" si="19"/>
        <v>Ananya Rao</v>
      </c>
      <c r="J124" s="8" t="s">
        <v>35</v>
      </c>
      <c r="K124" s="8" t="str">
        <f t="shared" si="13"/>
        <v>Small Business</v>
      </c>
      <c r="L124" s="8" t="s">
        <v>36</v>
      </c>
      <c r="M124" s="8" t="str">
        <f t="shared" si="14"/>
        <v>East</v>
      </c>
      <c r="N124" s="8" t="s">
        <v>164</v>
      </c>
      <c r="O124" s="8" t="str">
        <f t="shared" si="15"/>
        <v>Assam</v>
      </c>
      <c r="P124" s="8" t="s">
        <v>165</v>
      </c>
      <c r="Q124" s="8" t="str">
        <f t="shared" si="16"/>
        <v>Guwahati</v>
      </c>
      <c r="R124" s="8" t="s">
        <v>39</v>
      </c>
      <c r="S124" s="8" t="str">
        <f t="shared" si="17"/>
        <v>Furniture</v>
      </c>
      <c r="T124" s="8" t="s">
        <v>64</v>
      </c>
      <c r="U124" s="8" t="str">
        <f t="shared" si="18"/>
        <v>Chairs</v>
      </c>
      <c r="V124" s="8" t="s">
        <v>479</v>
      </c>
    </row>
    <row r="125" spans="1:22">
      <c r="A125" s="8" t="s">
        <v>480</v>
      </c>
      <c r="B125" s="8">
        <f t="shared" si="10"/>
        <v>3</v>
      </c>
      <c r="C125" s="8" t="str">
        <f t="shared" si="11"/>
        <v>Review Duplicate ID</v>
      </c>
      <c r="D125" s="9">
        <v>45436</v>
      </c>
      <c r="E125" s="8">
        <f t="shared" si="12"/>
        <v>1</v>
      </c>
      <c r="F125" s="10">
        <v>45437</v>
      </c>
      <c r="G125" s="8" t="s">
        <v>481</v>
      </c>
      <c r="H125" s="8" t="s">
        <v>130</v>
      </c>
      <c r="I125" s="8" t="str">
        <f t="shared" si="19"/>
        <v>Sneha Kapoor</v>
      </c>
      <c r="J125" s="8" t="s">
        <v>35</v>
      </c>
      <c r="K125" s="8" t="str">
        <f t="shared" si="13"/>
        <v>Small Business</v>
      </c>
      <c r="L125" s="8" t="s">
        <v>482</v>
      </c>
      <c r="M125" s="8" t="str">
        <f t="shared" si="14"/>
        <v>North</v>
      </c>
      <c r="N125" s="8" t="s">
        <v>120</v>
      </c>
      <c r="O125" s="8" t="str">
        <f t="shared" si="15"/>
        <v>Punjab</v>
      </c>
      <c r="P125" s="8" t="s">
        <v>121</v>
      </c>
      <c r="Q125" s="8" t="str">
        <f t="shared" si="16"/>
        <v>Ludhiana</v>
      </c>
      <c r="R125" s="8" t="s">
        <v>72</v>
      </c>
      <c r="S125" s="8" t="str">
        <f t="shared" si="17"/>
        <v>Technology</v>
      </c>
      <c r="T125" s="8" t="s">
        <v>78</v>
      </c>
      <c r="U125" s="8" t="str">
        <f t="shared" si="18"/>
        <v>Copiers</v>
      </c>
      <c r="V125" s="8" t="s">
        <v>483</v>
      </c>
    </row>
    <row r="126" spans="1:22">
      <c r="A126" s="8" t="s">
        <v>484</v>
      </c>
      <c r="B126" s="8">
        <f t="shared" si="10"/>
        <v>1</v>
      </c>
      <c r="C126" s="8" t="str">
        <f t="shared" si="11"/>
        <v>Unique</v>
      </c>
      <c r="D126" s="9">
        <v>45494</v>
      </c>
      <c r="E126" s="8">
        <f t="shared" si="12"/>
        <v>3</v>
      </c>
      <c r="F126" s="10">
        <v>45497</v>
      </c>
      <c r="G126" s="8" t="s">
        <v>485</v>
      </c>
      <c r="H126" s="8" t="s">
        <v>45</v>
      </c>
      <c r="I126" s="8" t="str">
        <f t="shared" si="19"/>
        <v>Isha Nair</v>
      </c>
      <c r="J126" s="8" t="s">
        <v>88</v>
      </c>
      <c r="K126" s="8" t="str">
        <f t="shared" si="13"/>
        <v>Corporate</v>
      </c>
      <c r="L126" s="8" t="s">
        <v>52</v>
      </c>
      <c r="M126" s="8" t="str">
        <f t="shared" si="14"/>
        <v>South</v>
      </c>
      <c r="N126" s="8" t="s">
        <v>173</v>
      </c>
      <c r="O126" s="8" t="str">
        <f t="shared" si="15"/>
        <v>Karnataka</v>
      </c>
      <c r="P126" s="8" t="s">
        <v>174</v>
      </c>
      <c r="Q126" s="8" t="str">
        <f t="shared" si="16"/>
        <v>Bengaluru</v>
      </c>
      <c r="R126" s="8" t="s">
        <v>72</v>
      </c>
      <c r="S126" s="8" t="str">
        <f t="shared" si="17"/>
        <v>Technology</v>
      </c>
      <c r="T126" s="8" t="s">
        <v>78</v>
      </c>
      <c r="U126" s="8" t="str">
        <f t="shared" si="18"/>
        <v>Copiers</v>
      </c>
      <c r="V126" s="8" t="s">
        <v>486</v>
      </c>
    </row>
    <row r="127" spans="1:22">
      <c r="A127" s="8" t="s">
        <v>487</v>
      </c>
      <c r="B127" s="8">
        <f t="shared" si="10"/>
        <v>1</v>
      </c>
      <c r="C127" s="8" t="str">
        <f t="shared" si="11"/>
        <v>Unique</v>
      </c>
      <c r="D127" s="9">
        <v>45855</v>
      </c>
      <c r="E127" s="8">
        <f t="shared" si="12"/>
        <v>1</v>
      </c>
      <c r="F127" s="10">
        <v>45856</v>
      </c>
      <c r="G127" s="8" t="s">
        <v>488</v>
      </c>
      <c r="H127" s="8" t="s">
        <v>77</v>
      </c>
      <c r="I127" s="8" t="str">
        <f t="shared" si="19"/>
        <v>Neha Gupta</v>
      </c>
      <c r="J127" s="8" t="s">
        <v>35</v>
      </c>
      <c r="K127" s="8" t="str">
        <f t="shared" si="13"/>
        <v>Small Business</v>
      </c>
      <c r="L127" s="8" t="s">
        <v>61</v>
      </c>
      <c r="M127" s="8" t="str">
        <f t="shared" si="14"/>
        <v>West</v>
      </c>
      <c r="N127" s="8" t="s">
        <v>24</v>
      </c>
      <c r="O127" s="8" t="str">
        <f t="shared" si="15"/>
        <v>Rajasthan</v>
      </c>
      <c r="P127" s="8" t="s">
        <v>107</v>
      </c>
      <c r="Q127" s="8" t="str">
        <f t="shared" si="16"/>
        <v>Udaipur</v>
      </c>
      <c r="R127" s="8" t="s">
        <v>39</v>
      </c>
      <c r="S127" s="8" t="str">
        <f t="shared" si="17"/>
        <v>Furniture</v>
      </c>
      <c r="T127" s="8" t="s">
        <v>40</v>
      </c>
      <c r="U127" s="8" t="str">
        <f t="shared" si="18"/>
        <v>Tables</v>
      </c>
      <c r="V127" s="8" t="s">
        <v>489</v>
      </c>
    </row>
    <row r="128" spans="1:22">
      <c r="A128" s="8" t="s">
        <v>490</v>
      </c>
      <c r="B128" s="8">
        <f t="shared" si="10"/>
        <v>1</v>
      </c>
      <c r="C128" s="8" t="str">
        <f t="shared" si="11"/>
        <v>Unique</v>
      </c>
      <c r="D128" s="9">
        <v>45924</v>
      </c>
      <c r="E128" s="8">
        <f t="shared" si="12"/>
        <v>2</v>
      </c>
      <c r="F128" s="10">
        <v>45926</v>
      </c>
      <c r="G128" s="8" t="s">
        <v>491</v>
      </c>
      <c r="H128" s="8" t="s">
        <v>112</v>
      </c>
      <c r="I128" s="8" t="str">
        <f t="shared" si="19"/>
        <v>Priya Menon</v>
      </c>
      <c r="J128" s="8" t="s">
        <v>88</v>
      </c>
      <c r="K128" s="8" t="str">
        <f t="shared" si="13"/>
        <v>Corporate</v>
      </c>
      <c r="L128" s="8" t="s">
        <v>23</v>
      </c>
      <c r="M128" s="8" t="str">
        <f t="shared" si="14"/>
        <v>North</v>
      </c>
      <c r="N128" s="8" t="s">
        <v>349</v>
      </c>
      <c r="O128" s="8" t="str">
        <f t="shared" si="15"/>
        <v>Delhi</v>
      </c>
      <c r="P128" s="8" t="s">
        <v>350</v>
      </c>
      <c r="Q128" s="8" t="str">
        <f t="shared" si="16"/>
        <v>New Delhi</v>
      </c>
      <c r="R128" s="8" t="s">
        <v>72</v>
      </c>
      <c r="S128" s="8" t="str">
        <f t="shared" si="17"/>
        <v>Technology</v>
      </c>
      <c r="T128" s="8" t="s">
        <v>78</v>
      </c>
      <c r="U128" s="8" t="str">
        <f t="shared" si="18"/>
        <v>Copiers</v>
      </c>
      <c r="V128" s="8" t="s">
        <v>492</v>
      </c>
    </row>
    <row r="129" spans="1:22">
      <c r="A129" s="8" t="s">
        <v>493</v>
      </c>
      <c r="B129" s="8">
        <f t="shared" si="10"/>
        <v>2</v>
      </c>
      <c r="C129" s="8" t="str">
        <f t="shared" si="11"/>
        <v>Review Duplicate ID</v>
      </c>
      <c r="D129" s="9">
        <v>45687</v>
      </c>
      <c r="E129" s="8">
        <f t="shared" si="12"/>
        <v>-4</v>
      </c>
      <c r="F129" s="10">
        <v>45683</v>
      </c>
      <c r="G129" s="8" t="s">
        <v>494</v>
      </c>
      <c r="H129" s="8" t="s">
        <v>112</v>
      </c>
      <c r="I129" s="8" t="str">
        <f t="shared" si="19"/>
        <v>Priya Menon</v>
      </c>
      <c r="J129" s="8" t="s">
        <v>88</v>
      </c>
      <c r="K129" s="8" t="str">
        <f t="shared" si="13"/>
        <v>Corporate</v>
      </c>
      <c r="L129" s="8" t="s">
        <v>61</v>
      </c>
      <c r="M129" s="8" t="str">
        <f t="shared" si="14"/>
        <v>West</v>
      </c>
      <c r="N129" s="8" t="s">
        <v>70</v>
      </c>
      <c r="O129" s="8" t="str">
        <f t="shared" si="15"/>
        <v>Madhya Pradesh</v>
      </c>
      <c r="P129" s="8" t="s">
        <v>71</v>
      </c>
      <c r="Q129" s="8" t="str">
        <f t="shared" si="16"/>
        <v>Indore</v>
      </c>
      <c r="R129" s="8" t="s">
        <v>26</v>
      </c>
      <c r="S129" s="8" t="str">
        <f t="shared" si="17"/>
        <v>Office Supplies</v>
      </c>
      <c r="T129" s="8" t="s">
        <v>122</v>
      </c>
      <c r="U129" s="8" t="str">
        <f t="shared" si="18"/>
        <v>Storage</v>
      </c>
      <c r="V129" s="8" t="s">
        <v>495</v>
      </c>
    </row>
    <row r="130" spans="1:22">
      <c r="A130" s="8" t="s">
        <v>496</v>
      </c>
      <c r="B130" s="8">
        <f t="shared" si="10"/>
        <v>1</v>
      </c>
      <c r="C130" s="8" t="str">
        <f t="shared" si="11"/>
        <v>Unique</v>
      </c>
      <c r="D130" s="9">
        <v>45639</v>
      </c>
      <c r="E130" s="8">
        <f t="shared" si="12"/>
        <v>3</v>
      </c>
      <c r="F130" s="10">
        <v>45642</v>
      </c>
      <c r="G130" s="8" t="s">
        <v>497</v>
      </c>
      <c r="H130" s="8" t="s">
        <v>77</v>
      </c>
      <c r="I130" s="8" t="str">
        <f t="shared" si="19"/>
        <v>Neha Gupta</v>
      </c>
      <c r="J130" s="8" t="s">
        <v>35</v>
      </c>
      <c r="K130" s="8" t="str">
        <f t="shared" si="13"/>
        <v>Small Business</v>
      </c>
      <c r="L130" s="8" t="s">
        <v>36</v>
      </c>
      <c r="M130" s="8" t="str">
        <f t="shared" si="14"/>
        <v>East</v>
      </c>
      <c r="N130" s="8" t="s">
        <v>37</v>
      </c>
      <c r="O130" s="8" t="str">
        <f t="shared" si="15"/>
        <v>Odisha</v>
      </c>
      <c r="P130" s="8" t="s">
        <v>38</v>
      </c>
      <c r="Q130" s="8" t="str">
        <f t="shared" si="16"/>
        <v>Bhubaneswar</v>
      </c>
      <c r="R130" s="8" t="s">
        <v>39</v>
      </c>
      <c r="S130" s="8" t="str">
        <f t="shared" si="17"/>
        <v>Furniture</v>
      </c>
      <c r="T130" s="8" t="s">
        <v>55</v>
      </c>
      <c r="U130" s="8" t="str">
        <f t="shared" si="18"/>
        <v>Furnishings</v>
      </c>
      <c r="V130" s="8" t="s">
        <v>498</v>
      </c>
    </row>
    <row r="131" spans="1:22">
      <c r="A131" s="8" t="s">
        <v>499</v>
      </c>
      <c r="B131" s="8">
        <f t="shared" ref="B131:B194" si="20">COUNTIF($A:$A,A131)</f>
        <v>1</v>
      </c>
      <c r="C131" s="8" t="str">
        <f t="shared" ref="C131:C194" si="21">IF(B131&gt;1,"Review Duplicate ID","Unique")</f>
        <v>Unique</v>
      </c>
      <c r="D131" s="9">
        <v>45492</v>
      </c>
      <c r="E131" s="8">
        <f t="shared" ref="E131:E194" si="22">F131-D131</f>
        <v>6</v>
      </c>
      <c r="F131" s="10">
        <v>45498</v>
      </c>
      <c r="G131" s="8" t="s">
        <v>500</v>
      </c>
      <c r="H131" s="8" t="s">
        <v>45</v>
      </c>
      <c r="I131" s="8" t="str">
        <f t="shared" si="19"/>
        <v>Isha Nair</v>
      </c>
      <c r="J131" s="8" t="s">
        <v>35</v>
      </c>
      <c r="K131" s="8" t="str">
        <f t="shared" ref="K131:K194" si="23">PROPER(TRIM(J131))</f>
        <v>Small Business</v>
      </c>
      <c r="L131" s="8" t="s">
        <v>61</v>
      </c>
      <c r="M131" s="8" t="str">
        <f t="shared" ref="M131:M194" si="24">PROPER(TRIM(L131))</f>
        <v>West</v>
      </c>
      <c r="N131" s="8" t="s">
        <v>188</v>
      </c>
      <c r="O131" s="8" t="str">
        <f t="shared" ref="O131:O194" si="25">PROPER(TRIM(N131))</f>
        <v>Goa</v>
      </c>
      <c r="P131" s="8" t="s">
        <v>189</v>
      </c>
      <c r="Q131" s="8" t="str">
        <f t="shared" ref="Q131:Q194" si="26">PROPER(TRIM(P131))</f>
        <v>Panaji</v>
      </c>
      <c r="R131" s="8" t="s">
        <v>26</v>
      </c>
      <c r="S131" s="8" t="str">
        <f t="shared" ref="S131:S194" si="27">PROPER(TRIM(R131))</f>
        <v>Office Supplies</v>
      </c>
      <c r="T131" s="8" t="s">
        <v>151</v>
      </c>
      <c r="U131" s="8" t="str">
        <f t="shared" ref="U131:U194" si="28">PROPER(TRIM(T131))</f>
        <v>Binders</v>
      </c>
      <c r="V131" s="8" t="s">
        <v>501</v>
      </c>
    </row>
    <row r="132" spans="1:22">
      <c r="A132" s="8" t="s">
        <v>502</v>
      </c>
      <c r="B132" s="8">
        <f t="shared" si="20"/>
        <v>1</v>
      </c>
      <c r="C132" s="8" t="str">
        <f t="shared" si="21"/>
        <v>Unique</v>
      </c>
      <c r="D132" s="9">
        <v>45318</v>
      </c>
      <c r="E132" s="8">
        <f t="shared" si="22"/>
        <v>6</v>
      </c>
      <c r="F132" s="10">
        <v>45324</v>
      </c>
      <c r="G132" s="8" t="s">
        <v>503</v>
      </c>
      <c r="H132" s="8" t="s">
        <v>51</v>
      </c>
      <c r="I132" s="8" t="str">
        <f t="shared" ref="I132:I195" si="29">PROPER(TRIM(H132))</f>
        <v>Arjun Bose</v>
      </c>
      <c r="J132" s="8" t="s">
        <v>22</v>
      </c>
      <c r="K132" s="8" t="str">
        <f t="shared" si="23"/>
        <v>Consumer</v>
      </c>
      <c r="L132" s="8" t="s">
        <v>61</v>
      </c>
      <c r="M132" s="8" t="str">
        <f t="shared" si="24"/>
        <v>West</v>
      </c>
      <c r="N132" s="8" t="s">
        <v>178</v>
      </c>
      <c r="O132" s="8" t="str">
        <f t="shared" si="25"/>
        <v>Gujarat</v>
      </c>
      <c r="P132" s="8" t="s">
        <v>179</v>
      </c>
      <c r="Q132" s="8" t="str">
        <f t="shared" si="26"/>
        <v>Ahmedabad</v>
      </c>
      <c r="R132" s="8" t="s">
        <v>26</v>
      </c>
      <c r="S132" s="8" t="str">
        <f t="shared" si="27"/>
        <v>Office Supplies</v>
      </c>
      <c r="T132" s="8" t="s">
        <v>89</v>
      </c>
      <c r="U132" s="8" t="str">
        <f t="shared" si="28"/>
        <v>Labels</v>
      </c>
      <c r="V132" s="8" t="s">
        <v>504</v>
      </c>
    </row>
    <row r="133" spans="1:22">
      <c r="A133" s="8" t="s">
        <v>505</v>
      </c>
      <c r="B133" s="8">
        <f t="shared" si="20"/>
        <v>1</v>
      </c>
      <c r="C133" s="8" t="str">
        <f t="shared" si="21"/>
        <v>Unique</v>
      </c>
      <c r="D133" s="9">
        <v>45929</v>
      </c>
      <c r="E133" s="8">
        <f t="shared" si="22"/>
        <v>-172</v>
      </c>
      <c r="F133" s="10">
        <v>45757</v>
      </c>
      <c r="G133" s="8" t="s">
        <v>506</v>
      </c>
      <c r="H133" s="8" t="s">
        <v>60</v>
      </c>
      <c r="I133" s="8" t="str">
        <f t="shared" si="29"/>
        <v>Ananya Rao</v>
      </c>
      <c r="J133" s="8" t="s">
        <v>93</v>
      </c>
      <c r="K133" s="8" t="str">
        <f t="shared" si="23"/>
        <v>Home Office</v>
      </c>
      <c r="L133" s="8" t="s">
        <v>36</v>
      </c>
      <c r="M133" s="8" t="str">
        <f t="shared" si="24"/>
        <v>East</v>
      </c>
      <c r="N133" s="8" t="s">
        <v>227</v>
      </c>
      <c r="O133" s="8" t="str">
        <f t="shared" si="25"/>
        <v>Jharkhand</v>
      </c>
      <c r="P133" s="8" t="s">
        <v>228</v>
      </c>
      <c r="Q133" s="8" t="str">
        <f t="shared" si="26"/>
        <v>Ranchi</v>
      </c>
      <c r="R133" s="8" t="s">
        <v>26</v>
      </c>
      <c r="S133" s="8" t="str">
        <f t="shared" si="27"/>
        <v>Office Supplies</v>
      </c>
      <c r="T133" s="8" t="s">
        <v>27</v>
      </c>
      <c r="U133" s="8" t="str">
        <f t="shared" si="28"/>
        <v>Paper</v>
      </c>
      <c r="V133" s="8" t="s">
        <v>507</v>
      </c>
    </row>
    <row r="134" spans="1:22">
      <c r="A134" s="8" t="s">
        <v>508</v>
      </c>
      <c r="B134" s="8">
        <f t="shared" si="20"/>
        <v>1</v>
      </c>
      <c r="C134" s="8" t="str">
        <f t="shared" si="21"/>
        <v>Unique</v>
      </c>
      <c r="D134" s="9">
        <v>45393</v>
      </c>
      <c r="E134" s="8">
        <f t="shared" si="22"/>
        <v>0</v>
      </c>
      <c r="F134" s="10">
        <v>45393</v>
      </c>
      <c r="G134" s="8" t="s">
        <v>509</v>
      </c>
      <c r="H134" s="8" t="s">
        <v>263</v>
      </c>
      <c r="I134" s="8" t="str">
        <f t="shared" si="29"/>
        <v>Kabir Singh</v>
      </c>
      <c r="J134" s="8" t="s">
        <v>88</v>
      </c>
      <c r="K134" s="8" t="str">
        <f t="shared" si="23"/>
        <v>Corporate</v>
      </c>
      <c r="L134" s="8" t="s">
        <v>36</v>
      </c>
      <c r="M134" s="8" t="str">
        <f t="shared" si="24"/>
        <v>East</v>
      </c>
      <c r="N134" s="8" t="s">
        <v>164</v>
      </c>
      <c r="O134" s="8" t="str">
        <f t="shared" si="25"/>
        <v>Assam</v>
      </c>
      <c r="P134" s="8" t="s">
        <v>165</v>
      </c>
      <c r="Q134" s="8" t="str">
        <f t="shared" si="26"/>
        <v>Guwahati</v>
      </c>
      <c r="R134" s="8" t="s">
        <v>72</v>
      </c>
      <c r="S134" s="8" t="str">
        <f t="shared" si="27"/>
        <v>Technology</v>
      </c>
      <c r="T134" s="8" t="s">
        <v>273</v>
      </c>
      <c r="U134" s="8" t="str">
        <f t="shared" si="28"/>
        <v>Machines</v>
      </c>
      <c r="V134" s="8" t="s">
        <v>510</v>
      </c>
    </row>
    <row r="135" spans="1:22">
      <c r="A135" s="8" t="s">
        <v>511</v>
      </c>
      <c r="B135" s="8">
        <f t="shared" si="20"/>
        <v>2</v>
      </c>
      <c r="C135" s="8" t="str">
        <f t="shared" si="21"/>
        <v>Review Duplicate ID</v>
      </c>
      <c r="D135" s="9">
        <v>45639</v>
      </c>
      <c r="E135" s="8">
        <f t="shared" si="22"/>
        <v>5</v>
      </c>
      <c r="F135" s="10">
        <v>45644</v>
      </c>
      <c r="G135" s="8" t="s">
        <v>512</v>
      </c>
      <c r="H135" s="8" t="s">
        <v>21</v>
      </c>
      <c r="I135" s="8" t="str">
        <f t="shared" si="29"/>
        <v>Karan Malhotra</v>
      </c>
      <c r="J135" s="8" t="s">
        <v>22</v>
      </c>
      <c r="K135" s="8" t="str">
        <f t="shared" si="23"/>
        <v>Consumer</v>
      </c>
      <c r="L135" s="8" t="s">
        <v>61</v>
      </c>
      <c r="M135" s="8" t="str">
        <f t="shared" si="24"/>
        <v>West</v>
      </c>
      <c r="N135" s="8" t="s">
        <v>188</v>
      </c>
      <c r="O135" s="8" t="str">
        <f t="shared" si="25"/>
        <v>Goa</v>
      </c>
      <c r="P135" s="8" t="s">
        <v>189</v>
      </c>
      <c r="Q135" s="8" t="str">
        <f t="shared" si="26"/>
        <v>Panaji</v>
      </c>
      <c r="R135" s="8" t="s">
        <v>72</v>
      </c>
      <c r="S135" s="8" t="str">
        <f t="shared" si="27"/>
        <v>Technology</v>
      </c>
      <c r="T135" s="8" t="s">
        <v>169</v>
      </c>
      <c r="U135" s="8" t="str">
        <f t="shared" si="28"/>
        <v>Phones</v>
      </c>
      <c r="V135" s="8" t="s">
        <v>513</v>
      </c>
    </row>
    <row r="136" spans="1:22">
      <c r="A136" s="8" t="s">
        <v>514</v>
      </c>
      <c r="B136" s="8">
        <f t="shared" si="20"/>
        <v>1</v>
      </c>
      <c r="C136" s="8" t="str">
        <f t="shared" si="21"/>
        <v>Unique</v>
      </c>
      <c r="D136" s="9">
        <v>45852</v>
      </c>
      <c r="E136" s="8">
        <f t="shared" si="22"/>
        <v>0</v>
      </c>
      <c r="F136" s="10">
        <v>45852</v>
      </c>
      <c r="G136" s="8" t="s">
        <v>515</v>
      </c>
      <c r="H136" s="8" t="s">
        <v>69</v>
      </c>
      <c r="I136" s="8" t="str">
        <f t="shared" si="29"/>
        <v>Vikram Iyer</v>
      </c>
      <c r="J136" s="8" t="s">
        <v>93</v>
      </c>
      <c r="K136" s="8" t="str">
        <f t="shared" si="23"/>
        <v>Home Office</v>
      </c>
      <c r="L136" s="8" t="s">
        <v>36</v>
      </c>
      <c r="M136" s="8" t="str">
        <f t="shared" si="24"/>
        <v>East</v>
      </c>
      <c r="N136" s="8" t="s">
        <v>97</v>
      </c>
      <c r="O136" s="8" t="str">
        <f t="shared" si="25"/>
        <v>West Bengal</v>
      </c>
      <c r="P136" s="8" t="s">
        <v>98</v>
      </c>
      <c r="Q136" s="8" t="str">
        <f t="shared" si="26"/>
        <v>Kolkata</v>
      </c>
      <c r="R136" s="8" t="s">
        <v>39</v>
      </c>
      <c r="S136" s="8" t="str">
        <f t="shared" si="27"/>
        <v>Furniture</v>
      </c>
      <c r="T136" s="8" t="s">
        <v>156</v>
      </c>
      <c r="U136" s="8" t="str">
        <f t="shared" si="28"/>
        <v>Bookcases</v>
      </c>
      <c r="V136" s="8" t="s">
        <v>516</v>
      </c>
    </row>
    <row r="137" spans="1:22">
      <c r="A137" s="8" t="s">
        <v>517</v>
      </c>
      <c r="B137" s="8">
        <f t="shared" si="20"/>
        <v>1</v>
      </c>
      <c r="C137" s="8" t="str">
        <f t="shared" si="21"/>
        <v>Unique</v>
      </c>
      <c r="D137" s="9">
        <v>45893</v>
      </c>
      <c r="E137" s="8">
        <f t="shared" si="22"/>
        <v>0</v>
      </c>
      <c r="F137" s="10">
        <v>45893</v>
      </c>
      <c r="G137" s="8" t="s">
        <v>518</v>
      </c>
      <c r="H137" s="8" t="s">
        <v>160</v>
      </c>
      <c r="I137" s="8" t="str">
        <f t="shared" si="29"/>
        <v>Diya Patel</v>
      </c>
      <c r="J137" s="8" t="s">
        <v>35</v>
      </c>
      <c r="K137" s="8" t="str">
        <f t="shared" si="23"/>
        <v>Small Business</v>
      </c>
      <c r="L137" s="8" t="s">
        <v>52</v>
      </c>
      <c r="M137" s="8" t="str">
        <f t="shared" si="24"/>
        <v>South</v>
      </c>
      <c r="N137" s="8" t="s">
        <v>183</v>
      </c>
      <c r="O137" s="8" t="str">
        <f t="shared" si="25"/>
        <v>Kerala</v>
      </c>
      <c r="P137" s="8" t="s">
        <v>184</v>
      </c>
      <c r="Q137" s="8" t="str">
        <f t="shared" si="26"/>
        <v>Kochi</v>
      </c>
      <c r="R137" s="8" t="s">
        <v>39</v>
      </c>
      <c r="S137" s="8" t="str">
        <f t="shared" si="27"/>
        <v>Furniture</v>
      </c>
      <c r="T137" s="8" t="s">
        <v>156</v>
      </c>
      <c r="U137" s="8" t="str">
        <f t="shared" si="28"/>
        <v>Bookcases</v>
      </c>
      <c r="V137" s="8" t="s">
        <v>519</v>
      </c>
    </row>
    <row r="138" spans="1:22">
      <c r="A138" s="8" t="s">
        <v>520</v>
      </c>
      <c r="B138" s="8">
        <f t="shared" si="20"/>
        <v>1</v>
      </c>
      <c r="C138" s="8" t="str">
        <f t="shared" si="21"/>
        <v>Unique</v>
      </c>
      <c r="D138" s="9">
        <v>45902</v>
      </c>
      <c r="E138" s="8">
        <f t="shared" si="22"/>
        <v>-199</v>
      </c>
      <c r="F138" s="10">
        <v>45703</v>
      </c>
      <c r="G138" s="8" t="s">
        <v>521</v>
      </c>
      <c r="H138" s="8" t="s">
        <v>34</v>
      </c>
      <c r="I138" s="8" t="str">
        <f t="shared" si="29"/>
        <v>Mira Das</v>
      </c>
      <c r="J138" s="8" t="s">
        <v>93</v>
      </c>
      <c r="K138" s="8" t="str">
        <f t="shared" si="23"/>
        <v>Home Office</v>
      </c>
      <c r="L138" s="8" t="s">
        <v>36</v>
      </c>
      <c r="M138" s="8" t="str">
        <f t="shared" si="24"/>
        <v>East</v>
      </c>
      <c r="N138" s="8" t="s">
        <v>227</v>
      </c>
      <c r="O138" s="8" t="str">
        <f t="shared" si="25"/>
        <v>Jharkhand</v>
      </c>
      <c r="P138" s="8" t="s">
        <v>228</v>
      </c>
      <c r="Q138" s="8" t="str">
        <f t="shared" si="26"/>
        <v>Ranchi</v>
      </c>
      <c r="R138" s="8" t="s">
        <v>26</v>
      </c>
      <c r="S138" s="8" t="str">
        <f t="shared" si="27"/>
        <v>Office Supplies</v>
      </c>
      <c r="T138" s="8" t="s">
        <v>151</v>
      </c>
      <c r="U138" s="8" t="str">
        <f t="shared" si="28"/>
        <v>Binders</v>
      </c>
      <c r="V138" s="8" t="s">
        <v>522</v>
      </c>
    </row>
    <row r="139" spans="1:22">
      <c r="A139" s="8" t="s">
        <v>524</v>
      </c>
      <c r="B139" s="8">
        <f t="shared" si="20"/>
        <v>1</v>
      </c>
      <c r="C139" s="8" t="str">
        <f t="shared" si="21"/>
        <v>Unique</v>
      </c>
      <c r="D139" s="9">
        <v>45666</v>
      </c>
      <c r="E139" s="8">
        <f t="shared" si="22"/>
        <v>235</v>
      </c>
      <c r="F139" s="10">
        <v>45901</v>
      </c>
      <c r="G139" s="8" t="s">
        <v>525</v>
      </c>
      <c r="H139" s="8" t="s">
        <v>130</v>
      </c>
      <c r="I139" s="8" t="str">
        <f t="shared" si="29"/>
        <v>Sneha Kapoor</v>
      </c>
      <c r="J139" s="8" t="s">
        <v>35</v>
      </c>
      <c r="K139" s="8" t="str">
        <f t="shared" si="23"/>
        <v>Small Business</v>
      </c>
      <c r="L139" s="8" t="s">
        <v>23</v>
      </c>
      <c r="M139" s="8" t="str">
        <f t="shared" si="24"/>
        <v>North</v>
      </c>
      <c r="N139" s="8" t="s">
        <v>24</v>
      </c>
      <c r="O139" s="8" t="str">
        <f t="shared" si="25"/>
        <v>Rajasthan</v>
      </c>
      <c r="P139" s="8" t="s">
        <v>25</v>
      </c>
      <c r="Q139" s="8" t="str">
        <f t="shared" si="26"/>
        <v>Jaipur</v>
      </c>
      <c r="R139" s="8" t="s">
        <v>39</v>
      </c>
      <c r="S139" s="8" t="str">
        <f t="shared" si="27"/>
        <v>Furniture</v>
      </c>
      <c r="T139" s="8" t="s">
        <v>64</v>
      </c>
      <c r="U139" s="8" t="str">
        <f t="shared" si="28"/>
        <v>Chairs</v>
      </c>
      <c r="V139" s="8" t="s">
        <v>526</v>
      </c>
    </row>
    <row r="140" spans="1:22">
      <c r="A140" s="8" t="s">
        <v>527</v>
      </c>
      <c r="B140" s="8">
        <f t="shared" si="20"/>
        <v>1</v>
      </c>
      <c r="C140" s="8" t="str">
        <f t="shared" si="21"/>
        <v>Unique</v>
      </c>
      <c r="D140" s="9">
        <v>45311</v>
      </c>
      <c r="E140" s="8">
        <f t="shared" si="22"/>
        <v>6</v>
      </c>
      <c r="F140" s="10">
        <v>45317</v>
      </c>
      <c r="G140" s="8" t="s">
        <v>528</v>
      </c>
      <c r="H140" s="8" t="s">
        <v>160</v>
      </c>
      <c r="I140" s="8" t="str">
        <f t="shared" si="29"/>
        <v>Diya Patel</v>
      </c>
      <c r="J140" s="8" t="s">
        <v>93</v>
      </c>
      <c r="K140" s="8" t="str">
        <f t="shared" si="23"/>
        <v>Home Office</v>
      </c>
      <c r="L140" s="8" t="s">
        <v>36</v>
      </c>
      <c r="M140" s="8" t="str">
        <f t="shared" si="24"/>
        <v>East</v>
      </c>
      <c r="N140" s="8" t="s">
        <v>227</v>
      </c>
      <c r="O140" s="8" t="str">
        <f t="shared" si="25"/>
        <v>Jharkhand</v>
      </c>
      <c r="P140" s="8" t="s">
        <v>228</v>
      </c>
      <c r="Q140" s="8" t="str">
        <f t="shared" si="26"/>
        <v>Ranchi</v>
      </c>
      <c r="R140" s="8" t="s">
        <v>72</v>
      </c>
      <c r="S140" s="8" t="str">
        <f t="shared" si="27"/>
        <v>Technology</v>
      </c>
      <c r="T140" s="8" t="s">
        <v>273</v>
      </c>
      <c r="U140" s="8" t="str">
        <f t="shared" si="28"/>
        <v>Machines</v>
      </c>
      <c r="V140" s="8" t="s">
        <v>529</v>
      </c>
    </row>
    <row r="141" spans="1:22">
      <c r="A141" s="8" t="s">
        <v>530</v>
      </c>
      <c r="B141" s="8">
        <f t="shared" si="20"/>
        <v>1</v>
      </c>
      <c r="C141" s="8" t="str">
        <f t="shared" si="21"/>
        <v>Unique</v>
      </c>
      <c r="D141" s="9">
        <v>45718</v>
      </c>
      <c r="E141" s="8">
        <f t="shared" si="22"/>
        <v>123</v>
      </c>
      <c r="F141" s="10">
        <v>45841</v>
      </c>
      <c r="G141" s="8" t="s">
        <v>531</v>
      </c>
      <c r="H141" s="8" t="s">
        <v>77</v>
      </c>
      <c r="I141" s="8" t="str">
        <f t="shared" si="29"/>
        <v>Neha Gupta</v>
      </c>
      <c r="J141" s="8" t="s">
        <v>93</v>
      </c>
      <c r="K141" s="8" t="str">
        <f t="shared" si="23"/>
        <v>Home Office</v>
      </c>
      <c r="L141" s="8" t="s">
        <v>52</v>
      </c>
      <c r="M141" s="8" t="str">
        <f t="shared" si="24"/>
        <v>South</v>
      </c>
      <c r="N141" s="8" t="s">
        <v>173</v>
      </c>
      <c r="O141" s="8" t="str">
        <f t="shared" si="25"/>
        <v>Karnataka</v>
      </c>
      <c r="P141" s="8" t="s">
        <v>174</v>
      </c>
      <c r="Q141" s="8" t="str">
        <f t="shared" si="26"/>
        <v>Bengaluru</v>
      </c>
      <c r="R141" s="8" t="s">
        <v>26</v>
      </c>
      <c r="S141" s="8" t="str">
        <f t="shared" si="27"/>
        <v>Office Supplies</v>
      </c>
      <c r="T141" s="8" t="s">
        <v>89</v>
      </c>
      <c r="U141" s="8" t="str">
        <f t="shared" si="28"/>
        <v>Labels</v>
      </c>
      <c r="V141" s="8" t="s">
        <v>532</v>
      </c>
    </row>
    <row r="142" spans="1:22">
      <c r="A142" s="8" t="s">
        <v>533</v>
      </c>
      <c r="B142" s="8">
        <f t="shared" si="20"/>
        <v>1</v>
      </c>
      <c r="C142" s="8" t="str">
        <f t="shared" si="21"/>
        <v>Unique</v>
      </c>
      <c r="D142" s="9">
        <v>45443</v>
      </c>
      <c r="E142" s="8">
        <f t="shared" si="22"/>
        <v>-146</v>
      </c>
      <c r="F142" s="10">
        <v>45297</v>
      </c>
      <c r="G142" s="8" t="s">
        <v>534</v>
      </c>
      <c r="H142" s="8" t="s">
        <v>34</v>
      </c>
      <c r="I142" s="8" t="str">
        <f t="shared" si="29"/>
        <v>Mira Das</v>
      </c>
      <c r="J142" s="8" t="s">
        <v>88</v>
      </c>
      <c r="K142" s="8" t="str">
        <f t="shared" si="23"/>
        <v>Corporate</v>
      </c>
      <c r="L142" s="8" t="s">
        <v>52</v>
      </c>
      <c r="M142" s="8" t="str">
        <f t="shared" si="24"/>
        <v>South</v>
      </c>
      <c r="N142" s="8" t="s">
        <v>173</v>
      </c>
      <c r="O142" s="8" t="str">
        <f t="shared" si="25"/>
        <v>Karnataka</v>
      </c>
      <c r="P142" s="8" t="s">
        <v>174</v>
      </c>
      <c r="Q142" s="8" t="str">
        <f t="shared" si="26"/>
        <v>Bengaluru</v>
      </c>
      <c r="R142" s="8" t="s">
        <v>39</v>
      </c>
      <c r="S142" s="8" t="str">
        <f t="shared" si="27"/>
        <v>Furniture</v>
      </c>
      <c r="T142" s="8" t="s">
        <v>156</v>
      </c>
      <c r="U142" s="8" t="str">
        <f t="shared" si="28"/>
        <v>Bookcases</v>
      </c>
      <c r="V142" s="8" t="s">
        <v>535</v>
      </c>
    </row>
    <row r="143" spans="1:22">
      <c r="A143" s="8" t="s">
        <v>536</v>
      </c>
      <c r="B143" s="8">
        <f t="shared" si="20"/>
        <v>1</v>
      </c>
      <c r="C143" s="8" t="str">
        <f t="shared" si="21"/>
        <v>Unique</v>
      </c>
      <c r="D143" s="9">
        <v>45374</v>
      </c>
      <c r="E143" s="8">
        <f t="shared" si="22"/>
        <v>6</v>
      </c>
      <c r="F143" s="10">
        <v>45380</v>
      </c>
      <c r="G143" s="8" t="s">
        <v>537</v>
      </c>
      <c r="H143" s="8" t="s">
        <v>112</v>
      </c>
      <c r="I143" s="8" t="str">
        <f t="shared" si="29"/>
        <v>Priya Menon</v>
      </c>
      <c r="J143" s="8" t="s">
        <v>88</v>
      </c>
      <c r="K143" s="8" t="str">
        <f t="shared" si="23"/>
        <v>Corporate</v>
      </c>
      <c r="L143" s="8" t="s">
        <v>23</v>
      </c>
      <c r="M143" s="8" t="str">
        <f t="shared" si="24"/>
        <v>North</v>
      </c>
      <c r="N143" s="8" t="s">
        <v>349</v>
      </c>
      <c r="O143" s="8" t="str">
        <f t="shared" si="25"/>
        <v>Delhi</v>
      </c>
      <c r="P143" s="8" t="s">
        <v>350</v>
      </c>
      <c r="Q143" s="8" t="str">
        <f t="shared" si="26"/>
        <v>New Delhi</v>
      </c>
      <c r="R143" s="8" t="s">
        <v>39</v>
      </c>
      <c r="S143" s="8" t="str">
        <f t="shared" si="27"/>
        <v>Furniture</v>
      </c>
      <c r="T143" s="8" t="s">
        <v>156</v>
      </c>
      <c r="U143" s="8" t="str">
        <f t="shared" si="28"/>
        <v>Bookcases</v>
      </c>
      <c r="V143" s="8" t="s">
        <v>538</v>
      </c>
    </row>
    <row r="144" spans="1:22">
      <c r="A144" s="8" t="s">
        <v>539</v>
      </c>
      <c r="B144" s="8">
        <f t="shared" si="20"/>
        <v>2</v>
      </c>
      <c r="C144" s="8" t="str">
        <f t="shared" si="21"/>
        <v>Review Duplicate ID</v>
      </c>
      <c r="D144" s="9">
        <v>45381</v>
      </c>
      <c r="E144" s="8">
        <f t="shared" si="22"/>
        <v>-4</v>
      </c>
      <c r="F144" s="10">
        <v>45377</v>
      </c>
      <c r="G144" s="8" t="s">
        <v>540</v>
      </c>
      <c r="H144" s="8" t="s">
        <v>87</v>
      </c>
      <c r="I144" s="8" t="str">
        <f t="shared" si="29"/>
        <v>Aditi Sen</v>
      </c>
      <c r="J144" s="8" t="s">
        <v>93</v>
      </c>
      <c r="K144" s="8" t="str">
        <f t="shared" si="23"/>
        <v>Home Office</v>
      </c>
      <c r="L144" s="8" t="s">
        <v>23</v>
      </c>
      <c r="M144" s="8" t="str">
        <f t="shared" si="24"/>
        <v>North</v>
      </c>
      <c r="N144" s="8" t="s">
        <v>24</v>
      </c>
      <c r="O144" s="8" t="str">
        <f t="shared" si="25"/>
        <v>Rajasthan</v>
      </c>
      <c r="P144" s="8" t="s">
        <v>25</v>
      </c>
      <c r="Q144" s="8" t="str">
        <f t="shared" si="26"/>
        <v>Jaipur</v>
      </c>
      <c r="R144" s="8" t="s">
        <v>72</v>
      </c>
      <c r="S144" s="8" t="str">
        <f t="shared" si="27"/>
        <v>Technology</v>
      </c>
      <c r="T144" s="8" t="s">
        <v>169</v>
      </c>
      <c r="U144" s="8" t="str">
        <f t="shared" si="28"/>
        <v>Phones</v>
      </c>
      <c r="V144" s="8" t="s">
        <v>541</v>
      </c>
    </row>
    <row r="145" spans="1:22">
      <c r="A145" s="8" t="s">
        <v>542</v>
      </c>
      <c r="B145" s="8">
        <f t="shared" si="20"/>
        <v>1</v>
      </c>
      <c r="C145" s="8" t="str">
        <f t="shared" si="21"/>
        <v>Unique</v>
      </c>
      <c r="D145" s="9">
        <v>45375</v>
      </c>
      <c r="E145" s="8">
        <f t="shared" si="22"/>
        <v>2</v>
      </c>
      <c r="F145" s="10">
        <v>45377</v>
      </c>
      <c r="G145" s="8" t="s">
        <v>543</v>
      </c>
      <c r="H145" s="8" t="s">
        <v>112</v>
      </c>
      <c r="I145" s="8" t="str">
        <f t="shared" si="29"/>
        <v>Priya Menon</v>
      </c>
      <c r="J145" s="8" t="s">
        <v>22</v>
      </c>
      <c r="K145" s="8" t="str">
        <f t="shared" si="23"/>
        <v>Consumer</v>
      </c>
      <c r="L145" s="8" t="s">
        <v>61</v>
      </c>
      <c r="M145" s="8" t="str">
        <f t="shared" si="24"/>
        <v>West</v>
      </c>
      <c r="N145" s="8" t="s">
        <v>178</v>
      </c>
      <c r="O145" s="8" t="str">
        <f t="shared" si="25"/>
        <v>Gujarat</v>
      </c>
      <c r="P145" s="8" t="s">
        <v>179</v>
      </c>
      <c r="Q145" s="8" t="str">
        <f t="shared" si="26"/>
        <v>Ahmedabad</v>
      </c>
      <c r="R145" s="8" t="s">
        <v>26</v>
      </c>
      <c r="S145" s="8" t="str">
        <f t="shared" si="27"/>
        <v>Office Supplies</v>
      </c>
      <c r="T145" s="8" t="s">
        <v>27</v>
      </c>
      <c r="U145" s="8" t="str">
        <f t="shared" si="28"/>
        <v>Paper</v>
      </c>
      <c r="V145" s="8" t="s">
        <v>544</v>
      </c>
    </row>
    <row r="146" spans="1:22">
      <c r="A146" s="8" t="s">
        <v>545</v>
      </c>
      <c r="B146" s="8">
        <f t="shared" si="20"/>
        <v>1</v>
      </c>
      <c r="C146" s="8" t="str">
        <f t="shared" si="21"/>
        <v>Unique</v>
      </c>
      <c r="D146" s="9">
        <v>45479</v>
      </c>
      <c r="E146" s="8">
        <f t="shared" si="22"/>
        <v>-21</v>
      </c>
      <c r="F146" s="10">
        <v>45458</v>
      </c>
      <c r="G146" s="8" t="s">
        <v>546</v>
      </c>
      <c r="H146" s="8" t="s">
        <v>263</v>
      </c>
      <c r="I146" s="8" t="str">
        <f t="shared" si="29"/>
        <v>Kabir Singh</v>
      </c>
      <c r="J146" s="8" t="s">
        <v>35</v>
      </c>
      <c r="K146" s="8" t="str">
        <f t="shared" si="23"/>
        <v>Small Business</v>
      </c>
      <c r="L146" s="8" t="s">
        <v>52</v>
      </c>
      <c r="M146" s="8" t="str">
        <f t="shared" si="24"/>
        <v>South</v>
      </c>
      <c r="N146" s="8" t="s">
        <v>53</v>
      </c>
      <c r="O146" s="8" t="str">
        <f t="shared" si="25"/>
        <v>Telangana</v>
      </c>
      <c r="P146" s="8" t="s">
        <v>54</v>
      </c>
      <c r="Q146" s="8" t="str">
        <f t="shared" si="26"/>
        <v>Hyderabad</v>
      </c>
      <c r="R146" s="8" t="s">
        <v>72</v>
      </c>
      <c r="S146" s="8" t="str">
        <f t="shared" si="27"/>
        <v>Technology</v>
      </c>
      <c r="T146" s="8" t="s">
        <v>73</v>
      </c>
      <c r="U146" s="8" t="str">
        <f t="shared" si="28"/>
        <v>Accessories</v>
      </c>
      <c r="V146" s="8" t="s">
        <v>547</v>
      </c>
    </row>
    <row r="147" spans="1:22">
      <c r="A147" s="8" t="s">
        <v>548</v>
      </c>
      <c r="B147" s="8">
        <f t="shared" si="20"/>
        <v>1</v>
      </c>
      <c r="C147" s="8" t="str">
        <f t="shared" si="21"/>
        <v>Unique</v>
      </c>
      <c r="D147" s="9">
        <v>45965</v>
      </c>
      <c r="E147" s="8">
        <f t="shared" si="22"/>
        <v>-205</v>
      </c>
      <c r="F147" s="10">
        <v>45760</v>
      </c>
      <c r="G147" s="8" t="s">
        <v>549</v>
      </c>
      <c r="H147" s="8" t="s">
        <v>34</v>
      </c>
      <c r="I147" s="8" t="str">
        <f t="shared" si="29"/>
        <v>Mira Das</v>
      </c>
      <c r="J147" s="8" t="s">
        <v>35</v>
      </c>
      <c r="K147" s="8" t="str">
        <f t="shared" si="23"/>
        <v>Small Business</v>
      </c>
      <c r="L147" s="8" t="s">
        <v>61</v>
      </c>
      <c r="M147" s="8" t="str">
        <f t="shared" si="24"/>
        <v>West</v>
      </c>
      <c r="N147" s="8" t="s">
        <v>188</v>
      </c>
      <c r="O147" s="8" t="str">
        <f t="shared" si="25"/>
        <v>Goa</v>
      </c>
      <c r="P147" s="8" t="s">
        <v>189</v>
      </c>
      <c r="Q147" s="8" t="str">
        <f t="shared" si="26"/>
        <v>Panaji</v>
      </c>
      <c r="R147" s="8" t="s">
        <v>26</v>
      </c>
      <c r="S147" s="8" t="str">
        <f t="shared" si="27"/>
        <v>Office Supplies</v>
      </c>
      <c r="T147" s="8" t="s">
        <v>27</v>
      </c>
      <c r="U147" s="8" t="str">
        <f t="shared" si="28"/>
        <v>Paper</v>
      </c>
      <c r="V147" s="8" t="s">
        <v>550</v>
      </c>
    </row>
    <row r="148" spans="1:22">
      <c r="A148" s="8" t="s">
        <v>551</v>
      </c>
      <c r="B148" s="8">
        <f t="shared" si="20"/>
        <v>1</v>
      </c>
      <c r="C148" s="8" t="str">
        <f t="shared" si="21"/>
        <v>Unique</v>
      </c>
      <c r="D148" s="9">
        <v>45868</v>
      </c>
      <c r="E148" s="8">
        <f t="shared" si="22"/>
        <v>2</v>
      </c>
      <c r="F148" s="10">
        <v>45870</v>
      </c>
      <c r="G148" s="8" t="s">
        <v>552</v>
      </c>
      <c r="H148" s="8" t="s">
        <v>130</v>
      </c>
      <c r="I148" s="8" t="str">
        <f t="shared" si="29"/>
        <v>Sneha Kapoor</v>
      </c>
      <c r="J148" s="8" t="s">
        <v>35</v>
      </c>
      <c r="K148" s="8" t="str">
        <f t="shared" si="23"/>
        <v>Small Business</v>
      </c>
      <c r="L148" s="8" t="s">
        <v>52</v>
      </c>
      <c r="M148" s="8" t="str">
        <f t="shared" si="24"/>
        <v>South</v>
      </c>
      <c r="N148" s="8" t="s">
        <v>246</v>
      </c>
      <c r="O148" s="8" t="str">
        <f t="shared" si="25"/>
        <v>Tamil Nadu</v>
      </c>
      <c r="P148" s="8" t="s">
        <v>247</v>
      </c>
      <c r="Q148" s="8" t="str">
        <f t="shared" si="26"/>
        <v>Chennai</v>
      </c>
      <c r="R148" s="8" t="s">
        <v>26</v>
      </c>
      <c r="S148" s="8" t="str">
        <f t="shared" si="27"/>
        <v>Office Supplies</v>
      </c>
      <c r="T148" s="8" t="s">
        <v>122</v>
      </c>
      <c r="U148" s="8" t="str">
        <f t="shared" si="28"/>
        <v>Storage</v>
      </c>
      <c r="V148" s="8" t="s">
        <v>553</v>
      </c>
    </row>
    <row r="149" spans="1:22">
      <c r="A149" s="8" t="s">
        <v>554</v>
      </c>
      <c r="B149" s="8">
        <f t="shared" si="20"/>
        <v>1</v>
      </c>
      <c r="C149" s="8" t="str">
        <f t="shared" si="21"/>
        <v>Unique</v>
      </c>
      <c r="D149" s="9">
        <v>45649</v>
      </c>
      <c r="E149" s="8">
        <f t="shared" si="22"/>
        <v>7</v>
      </c>
      <c r="F149" s="10">
        <v>45656</v>
      </c>
      <c r="G149" s="8" t="s">
        <v>555</v>
      </c>
      <c r="H149" s="8" t="s">
        <v>112</v>
      </c>
      <c r="I149" s="8" t="str">
        <f t="shared" si="29"/>
        <v>Priya Menon</v>
      </c>
      <c r="J149" s="8" t="s">
        <v>93</v>
      </c>
      <c r="K149" s="8" t="str">
        <f t="shared" si="23"/>
        <v>Home Office</v>
      </c>
      <c r="L149" s="8" t="s">
        <v>61</v>
      </c>
      <c r="M149" s="8" t="str">
        <f t="shared" si="24"/>
        <v>West</v>
      </c>
      <c r="N149" s="8" t="s">
        <v>188</v>
      </c>
      <c r="O149" s="8" t="str">
        <f t="shared" si="25"/>
        <v>Goa</v>
      </c>
      <c r="P149" s="8" t="s">
        <v>189</v>
      </c>
      <c r="Q149" s="8" t="str">
        <f t="shared" si="26"/>
        <v>Panaji</v>
      </c>
      <c r="R149" s="8" t="s">
        <v>39</v>
      </c>
      <c r="S149" s="8" t="str">
        <f t="shared" si="27"/>
        <v>Furniture</v>
      </c>
      <c r="T149" s="8" t="s">
        <v>55</v>
      </c>
      <c r="U149" s="8" t="str">
        <f t="shared" si="28"/>
        <v>Furnishings</v>
      </c>
      <c r="V149" s="8" t="s">
        <v>556</v>
      </c>
    </row>
    <row r="150" spans="1:22">
      <c r="A150" s="8" t="s">
        <v>557</v>
      </c>
      <c r="B150" s="8">
        <f t="shared" si="20"/>
        <v>1</v>
      </c>
      <c r="C150" s="8" t="str">
        <f t="shared" si="21"/>
        <v>Unique</v>
      </c>
      <c r="D150" s="9">
        <v>45902</v>
      </c>
      <c r="E150" s="8">
        <f t="shared" si="22"/>
        <v>-201</v>
      </c>
      <c r="F150" s="10">
        <v>45701</v>
      </c>
      <c r="G150" s="8" t="s">
        <v>558</v>
      </c>
      <c r="H150" s="8" t="s">
        <v>34</v>
      </c>
      <c r="I150" s="8" t="str">
        <f t="shared" si="29"/>
        <v>Mira Das</v>
      </c>
      <c r="J150" s="8" t="s">
        <v>93</v>
      </c>
      <c r="K150" s="8" t="str">
        <f t="shared" si="23"/>
        <v>Home Office</v>
      </c>
      <c r="L150" s="8" t="s">
        <v>61</v>
      </c>
      <c r="M150" s="8" t="str">
        <f t="shared" si="24"/>
        <v>West</v>
      </c>
      <c r="N150" s="8" t="s">
        <v>70</v>
      </c>
      <c r="O150" s="8" t="str">
        <f t="shared" si="25"/>
        <v>Madhya Pradesh</v>
      </c>
      <c r="P150" s="8" t="s">
        <v>71</v>
      </c>
      <c r="Q150" s="8" t="str">
        <f t="shared" si="26"/>
        <v>Indore</v>
      </c>
      <c r="R150" s="8" t="s">
        <v>72</v>
      </c>
      <c r="S150" s="8" t="str">
        <f t="shared" si="27"/>
        <v>Technology</v>
      </c>
      <c r="T150" s="8" t="s">
        <v>169</v>
      </c>
      <c r="U150" s="8" t="str">
        <f t="shared" si="28"/>
        <v>Phones</v>
      </c>
      <c r="V150" s="8" t="s">
        <v>559</v>
      </c>
    </row>
    <row r="151" spans="1:22">
      <c r="A151" s="8" t="s">
        <v>560</v>
      </c>
      <c r="B151" s="8">
        <f t="shared" si="20"/>
        <v>1</v>
      </c>
      <c r="C151" s="8" t="str">
        <f t="shared" si="21"/>
        <v>Unique</v>
      </c>
      <c r="D151" s="9">
        <v>45321</v>
      </c>
      <c r="E151" s="8">
        <f t="shared" si="22"/>
        <v>0</v>
      </c>
      <c r="F151" s="10">
        <v>45321</v>
      </c>
      <c r="G151" s="8" t="s">
        <v>561</v>
      </c>
      <c r="H151" s="8" t="s">
        <v>126</v>
      </c>
      <c r="I151" s="8" t="str">
        <f t="shared" si="29"/>
        <v>Aarav Sharma</v>
      </c>
      <c r="J151" s="8" t="s">
        <v>35</v>
      </c>
      <c r="K151" s="8" t="str">
        <f t="shared" si="23"/>
        <v>Small Business</v>
      </c>
      <c r="L151" s="8" t="s">
        <v>562</v>
      </c>
      <c r="M151" s="8" t="str">
        <f t="shared" si="24"/>
        <v>West</v>
      </c>
      <c r="N151" s="8" t="s">
        <v>24</v>
      </c>
      <c r="O151" s="8" t="str">
        <f t="shared" si="25"/>
        <v>Rajasthan</v>
      </c>
      <c r="P151" s="8" t="s">
        <v>107</v>
      </c>
      <c r="Q151" s="8" t="str">
        <f t="shared" si="26"/>
        <v>Udaipur</v>
      </c>
      <c r="R151" s="8" t="s">
        <v>72</v>
      </c>
      <c r="S151" s="8" t="str">
        <f t="shared" si="27"/>
        <v>Technology</v>
      </c>
      <c r="T151" s="8" t="s">
        <v>78</v>
      </c>
      <c r="U151" s="8" t="str">
        <f t="shared" si="28"/>
        <v>Copiers</v>
      </c>
      <c r="V151" s="8" t="s">
        <v>563</v>
      </c>
    </row>
    <row r="152" spans="1:22">
      <c r="A152" s="8" t="s">
        <v>564</v>
      </c>
      <c r="B152" s="8">
        <f t="shared" si="20"/>
        <v>1</v>
      </c>
      <c r="C152" s="8" t="str">
        <f t="shared" si="21"/>
        <v>Unique</v>
      </c>
      <c r="D152" s="9">
        <v>45385</v>
      </c>
      <c r="E152" s="8">
        <f t="shared" si="22"/>
        <v>244</v>
      </c>
      <c r="F152" s="10">
        <v>45629</v>
      </c>
      <c r="G152" s="8" t="s">
        <v>565</v>
      </c>
      <c r="H152" s="8" t="s">
        <v>51</v>
      </c>
      <c r="I152" s="8" t="str">
        <f t="shared" si="29"/>
        <v>Arjun Bose</v>
      </c>
      <c r="J152" s="8" t="s">
        <v>22</v>
      </c>
      <c r="K152" s="8" t="str">
        <f t="shared" si="23"/>
        <v>Consumer</v>
      </c>
      <c r="M152" s="8" t="str">
        <f t="shared" si="24"/>
        <v/>
      </c>
      <c r="N152" s="8" t="s">
        <v>178</v>
      </c>
      <c r="O152" s="8" t="str">
        <f t="shared" si="25"/>
        <v>Gujarat</v>
      </c>
      <c r="P152" s="8" t="s">
        <v>179</v>
      </c>
      <c r="Q152" s="8" t="str">
        <f t="shared" si="26"/>
        <v>Ahmedabad</v>
      </c>
      <c r="R152" s="8" t="s">
        <v>39</v>
      </c>
      <c r="S152" s="8" t="str">
        <f t="shared" si="27"/>
        <v>Furniture</v>
      </c>
      <c r="T152" s="8" t="s">
        <v>156</v>
      </c>
      <c r="U152" s="8" t="str">
        <f t="shared" si="28"/>
        <v>Bookcases</v>
      </c>
      <c r="V152" s="8" t="s">
        <v>566</v>
      </c>
    </row>
    <row r="153" spans="1:22">
      <c r="A153" s="8" t="s">
        <v>567</v>
      </c>
      <c r="B153" s="8">
        <f t="shared" si="20"/>
        <v>1</v>
      </c>
      <c r="C153" s="8" t="str">
        <f t="shared" si="21"/>
        <v>Unique</v>
      </c>
      <c r="D153" s="9">
        <v>45470</v>
      </c>
      <c r="E153" s="8">
        <f t="shared" si="22"/>
        <v>0</v>
      </c>
      <c r="F153" s="10">
        <v>45470</v>
      </c>
      <c r="G153" s="8" t="s">
        <v>568</v>
      </c>
      <c r="H153" s="8" t="s">
        <v>77</v>
      </c>
      <c r="I153" s="8" t="str">
        <f t="shared" si="29"/>
        <v>Neha Gupta</v>
      </c>
      <c r="J153" s="8" t="s">
        <v>93</v>
      </c>
      <c r="K153" s="8" t="str">
        <f t="shared" si="23"/>
        <v>Home Office</v>
      </c>
      <c r="M153" s="8" t="str">
        <f t="shared" si="24"/>
        <v/>
      </c>
      <c r="N153" s="8" t="s">
        <v>70</v>
      </c>
      <c r="O153" s="8" t="str">
        <f t="shared" si="25"/>
        <v>Madhya Pradesh</v>
      </c>
      <c r="P153" s="8" t="s">
        <v>71</v>
      </c>
      <c r="Q153" s="8" t="str">
        <f t="shared" si="26"/>
        <v>Indore</v>
      </c>
      <c r="R153" s="8" t="s">
        <v>72</v>
      </c>
      <c r="S153" s="8" t="str">
        <f t="shared" si="27"/>
        <v>Technology</v>
      </c>
      <c r="T153" s="8" t="s">
        <v>78</v>
      </c>
      <c r="U153" s="8" t="str">
        <f t="shared" si="28"/>
        <v>Copiers</v>
      </c>
      <c r="V153" s="8" t="s">
        <v>569</v>
      </c>
    </row>
    <row r="154" spans="1:22">
      <c r="A154" s="8" t="s">
        <v>570</v>
      </c>
      <c r="B154" s="8">
        <f t="shared" si="20"/>
        <v>1</v>
      </c>
      <c r="C154" s="8" t="str">
        <f t="shared" si="21"/>
        <v>Unique</v>
      </c>
      <c r="D154" s="9">
        <v>45457</v>
      </c>
      <c r="E154" s="8">
        <f t="shared" si="22"/>
        <v>3</v>
      </c>
      <c r="F154" s="10">
        <v>45460</v>
      </c>
      <c r="G154" s="8" t="s">
        <v>571</v>
      </c>
      <c r="H154" s="8" t="s">
        <v>263</v>
      </c>
      <c r="I154" s="8" t="str">
        <f t="shared" si="29"/>
        <v>Kabir Singh</v>
      </c>
      <c r="J154" s="8" t="s">
        <v>35</v>
      </c>
      <c r="K154" s="8" t="str">
        <f t="shared" si="23"/>
        <v>Small Business</v>
      </c>
      <c r="L154" s="8" t="s">
        <v>52</v>
      </c>
      <c r="M154" s="8" t="str">
        <f t="shared" si="24"/>
        <v>South</v>
      </c>
      <c r="N154" s="8" t="s">
        <v>183</v>
      </c>
      <c r="O154" s="8" t="str">
        <f t="shared" si="25"/>
        <v>Kerala</v>
      </c>
      <c r="P154" s="8" t="s">
        <v>184</v>
      </c>
      <c r="Q154" s="8" t="str">
        <f t="shared" si="26"/>
        <v>Kochi</v>
      </c>
      <c r="R154" s="8" t="s">
        <v>39</v>
      </c>
      <c r="S154" s="8" t="str">
        <f t="shared" si="27"/>
        <v>Furniture</v>
      </c>
      <c r="T154" s="8" t="s">
        <v>40</v>
      </c>
      <c r="U154" s="8" t="str">
        <f t="shared" si="28"/>
        <v>Tables</v>
      </c>
      <c r="V154" s="8" t="s">
        <v>572</v>
      </c>
    </row>
    <row r="155" spans="1:22">
      <c r="A155" s="8" t="s">
        <v>573</v>
      </c>
      <c r="B155" s="8">
        <f t="shared" si="20"/>
        <v>1</v>
      </c>
      <c r="C155" s="8" t="str">
        <f t="shared" si="21"/>
        <v>Unique</v>
      </c>
      <c r="D155" s="9">
        <v>45923</v>
      </c>
      <c r="E155" s="8">
        <f t="shared" si="22"/>
        <v>2</v>
      </c>
      <c r="F155" s="10">
        <v>45925</v>
      </c>
      <c r="G155" s="8" t="s">
        <v>574</v>
      </c>
      <c r="H155" s="8" t="s">
        <v>87</v>
      </c>
      <c r="I155" s="8" t="str">
        <f t="shared" si="29"/>
        <v>Aditi Sen</v>
      </c>
      <c r="J155" s="8" t="s">
        <v>22</v>
      </c>
      <c r="K155" s="8" t="str">
        <f t="shared" si="23"/>
        <v>Consumer</v>
      </c>
      <c r="L155" s="8" t="s">
        <v>36</v>
      </c>
      <c r="M155" s="8" t="str">
        <f t="shared" si="24"/>
        <v>East</v>
      </c>
      <c r="N155" s="8" t="s">
        <v>37</v>
      </c>
      <c r="O155" s="8" t="str">
        <f t="shared" si="25"/>
        <v>Odisha</v>
      </c>
      <c r="P155" s="8" t="s">
        <v>38</v>
      </c>
      <c r="Q155" s="8" t="str">
        <f t="shared" si="26"/>
        <v>Bhubaneswar</v>
      </c>
      <c r="R155" s="8" t="s">
        <v>26</v>
      </c>
      <c r="S155" s="8" t="str">
        <f t="shared" si="27"/>
        <v>Office Supplies</v>
      </c>
      <c r="T155" s="8" t="s">
        <v>89</v>
      </c>
      <c r="U155" s="8" t="str">
        <f t="shared" si="28"/>
        <v>Labels</v>
      </c>
      <c r="V155" s="8" t="s">
        <v>575</v>
      </c>
    </row>
    <row r="156" spans="1:22">
      <c r="A156" s="8" t="s">
        <v>576</v>
      </c>
      <c r="B156" s="8">
        <f t="shared" si="20"/>
        <v>1</v>
      </c>
      <c r="C156" s="8" t="str">
        <f t="shared" si="21"/>
        <v>Unique</v>
      </c>
      <c r="D156" s="9">
        <v>45628</v>
      </c>
      <c r="E156" s="8">
        <f t="shared" si="22"/>
        <v>-295</v>
      </c>
      <c r="F156" s="10">
        <v>45333</v>
      </c>
      <c r="G156" s="8" t="s">
        <v>454</v>
      </c>
      <c r="H156" s="8" t="s">
        <v>112</v>
      </c>
      <c r="I156" s="8" t="str">
        <f t="shared" si="29"/>
        <v>Priya Menon</v>
      </c>
      <c r="J156" s="8" t="s">
        <v>22</v>
      </c>
      <c r="K156" s="8" t="str">
        <f t="shared" si="23"/>
        <v>Consumer</v>
      </c>
      <c r="L156" s="8" t="s">
        <v>52</v>
      </c>
      <c r="M156" s="8" t="str">
        <f t="shared" si="24"/>
        <v>South</v>
      </c>
      <c r="N156" s="8" t="s">
        <v>246</v>
      </c>
      <c r="O156" s="8" t="str">
        <f t="shared" si="25"/>
        <v>Tamil Nadu</v>
      </c>
      <c r="P156" s="8" t="s">
        <v>247</v>
      </c>
      <c r="Q156" s="8" t="str">
        <f t="shared" si="26"/>
        <v>Chennai</v>
      </c>
      <c r="R156" s="8" t="s">
        <v>39</v>
      </c>
      <c r="S156" s="8" t="str">
        <f t="shared" si="27"/>
        <v>Furniture</v>
      </c>
      <c r="T156" s="8" t="s">
        <v>156</v>
      </c>
      <c r="U156" s="8" t="str">
        <f t="shared" si="28"/>
        <v>Bookcases</v>
      </c>
      <c r="V156" s="8" t="s">
        <v>577</v>
      </c>
    </row>
    <row r="157" spans="1:22">
      <c r="A157" s="8" t="s">
        <v>578</v>
      </c>
      <c r="B157" s="8">
        <f t="shared" si="20"/>
        <v>1</v>
      </c>
      <c r="C157" s="8" t="str">
        <f t="shared" si="21"/>
        <v>Unique</v>
      </c>
      <c r="D157" s="9">
        <v>45683</v>
      </c>
      <c r="E157" s="8">
        <f t="shared" si="22"/>
        <v>35</v>
      </c>
      <c r="F157" s="10">
        <v>45718</v>
      </c>
      <c r="G157" s="8" t="s">
        <v>579</v>
      </c>
      <c r="H157" s="8" t="s">
        <v>21</v>
      </c>
      <c r="I157" s="8" t="str">
        <f t="shared" si="29"/>
        <v>Karan Malhotra</v>
      </c>
      <c r="J157" s="8" t="s">
        <v>88</v>
      </c>
      <c r="K157" s="8" t="str">
        <f t="shared" si="23"/>
        <v>Corporate</v>
      </c>
      <c r="L157" s="8" t="s">
        <v>61</v>
      </c>
      <c r="M157" s="8" t="str">
        <f t="shared" si="24"/>
        <v>West</v>
      </c>
      <c r="N157" s="8" t="s">
        <v>24</v>
      </c>
      <c r="O157" s="8" t="str">
        <f t="shared" si="25"/>
        <v>Rajasthan</v>
      </c>
      <c r="P157" s="8" t="s">
        <v>107</v>
      </c>
      <c r="Q157" s="8" t="str">
        <f t="shared" si="26"/>
        <v>Udaipur</v>
      </c>
      <c r="R157" s="8" t="s">
        <v>39</v>
      </c>
      <c r="S157" s="8" t="str">
        <f t="shared" si="27"/>
        <v>Furniture</v>
      </c>
      <c r="T157" s="8" t="s">
        <v>55</v>
      </c>
      <c r="U157" s="8" t="str">
        <f t="shared" si="28"/>
        <v>Furnishings</v>
      </c>
      <c r="V157" s="8" t="s">
        <v>580</v>
      </c>
    </row>
    <row r="158" spans="1:22">
      <c r="A158" s="8" t="s">
        <v>581</v>
      </c>
      <c r="B158" s="8">
        <f t="shared" si="20"/>
        <v>1</v>
      </c>
      <c r="C158" s="8" t="str">
        <f t="shared" si="21"/>
        <v>Unique</v>
      </c>
      <c r="D158" s="9">
        <v>45743</v>
      </c>
      <c r="E158" s="8">
        <f t="shared" si="22"/>
        <v>0</v>
      </c>
      <c r="F158" s="10">
        <v>45743</v>
      </c>
      <c r="G158" s="8" t="s">
        <v>582</v>
      </c>
      <c r="H158" s="8" t="s">
        <v>69</v>
      </c>
      <c r="I158" s="8" t="str">
        <f t="shared" si="29"/>
        <v>Vikram Iyer</v>
      </c>
      <c r="J158" s="8" t="s">
        <v>35</v>
      </c>
      <c r="K158" s="8" t="str">
        <f t="shared" si="23"/>
        <v>Small Business</v>
      </c>
      <c r="L158" s="8" t="s">
        <v>36</v>
      </c>
      <c r="M158" s="8" t="str">
        <f t="shared" si="24"/>
        <v>East</v>
      </c>
      <c r="N158" s="8" t="s">
        <v>143</v>
      </c>
      <c r="O158" s="8" t="str">
        <f t="shared" si="25"/>
        <v>Bihar</v>
      </c>
      <c r="P158" s="8" t="s">
        <v>144</v>
      </c>
      <c r="Q158" s="8" t="str">
        <f t="shared" si="26"/>
        <v>Patna</v>
      </c>
      <c r="R158" s="8" t="s">
        <v>72</v>
      </c>
      <c r="S158" s="8" t="str">
        <f t="shared" si="27"/>
        <v>Technology</v>
      </c>
      <c r="T158" s="8" t="s">
        <v>273</v>
      </c>
      <c r="U158" s="8" t="str">
        <f t="shared" si="28"/>
        <v>Machines</v>
      </c>
      <c r="V158" s="8" t="s">
        <v>583</v>
      </c>
    </row>
    <row r="159" spans="1:22">
      <c r="A159" s="8" t="s">
        <v>584</v>
      </c>
      <c r="B159" s="8">
        <f t="shared" si="20"/>
        <v>1</v>
      </c>
      <c r="C159" s="8" t="str">
        <f t="shared" si="21"/>
        <v>Unique</v>
      </c>
      <c r="D159" s="9">
        <v>45587</v>
      </c>
      <c r="E159" s="8">
        <f t="shared" si="22"/>
        <v>2</v>
      </c>
      <c r="F159" s="10">
        <v>45589</v>
      </c>
      <c r="G159" s="8" t="s">
        <v>585</v>
      </c>
      <c r="H159" s="8" t="s">
        <v>139</v>
      </c>
      <c r="I159" s="8" t="str">
        <f t="shared" si="29"/>
        <v>Rohan Mehta</v>
      </c>
      <c r="J159" s="8" t="s">
        <v>35</v>
      </c>
      <c r="K159" s="8" t="str">
        <f t="shared" si="23"/>
        <v>Small Business</v>
      </c>
      <c r="L159" s="8" t="s">
        <v>52</v>
      </c>
      <c r="M159" s="8" t="str">
        <f t="shared" si="24"/>
        <v>South</v>
      </c>
      <c r="N159" s="8" t="s">
        <v>82</v>
      </c>
      <c r="O159" s="8" t="str">
        <f t="shared" si="25"/>
        <v>Andhra Pradesh</v>
      </c>
      <c r="P159" s="8" t="s">
        <v>83</v>
      </c>
      <c r="Q159" s="8" t="str">
        <f t="shared" si="26"/>
        <v>Vijayawada</v>
      </c>
      <c r="R159" s="8" t="s">
        <v>39</v>
      </c>
      <c r="S159" s="8" t="str">
        <f t="shared" si="27"/>
        <v>Furniture</v>
      </c>
      <c r="T159" s="8" t="s">
        <v>156</v>
      </c>
      <c r="U159" s="8" t="str">
        <f t="shared" si="28"/>
        <v>Bookcases</v>
      </c>
      <c r="V159" s="8" t="s">
        <v>586</v>
      </c>
    </row>
    <row r="160" spans="1:22">
      <c r="A160" s="8" t="s">
        <v>587</v>
      </c>
      <c r="B160" s="8">
        <f t="shared" si="20"/>
        <v>1</v>
      </c>
      <c r="C160" s="8" t="str">
        <f t="shared" si="21"/>
        <v>Unique</v>
      </c>
      <c r="D160" s="9">
        <v>45544</v>
      </c>
      <c r="E160" s="8">
        <f t="shared" si="22"/>
        <v>2</v>
      </c>
      <c r="F160" s="10">
        <v>45546</v>
      </c>
      <c r="G160" s="8" t="s">
        <v>588</v>
      </c>
      <c r="H160" s="8" t="s">
        <v>77</v>
      </c>
      <c r="I160" s="8" t="str">
        <f t="shared" si="29"/>
        <v>Neha Gupta</v>
      </c>
      <c r="J160" s="8" t="s">
        <v>93</v>
      </c>
      <c r="K160" s="8" t="str">
        <f t="shared" si="23"/>
        <v>Home Office</v>
      </c>
      <c r="L160" s="8" t="s">
        <v>52</v>
      </c>
      <c r="M160" s="8" t="str">
        <f t="shared" si="24"/>
        <v>South</v>
      </c>
      <c r="N160" s="8" t="s">
        <v>53</v>
      </c>
      <c r="O160" s="8" t="str">
        <f t="shared" si="25"/>
        <v>Telangana</v>
      </c>
      <c r="P160" s="8" t="s">
        <v>54</v>
      </c>
      <c r="Q160" s="8" t="str">
        <f t="shared" si="26"/>
        <v>Hyderabad</v>
      </c>
      <c r="R160" s="8" t="s">
        <v>39</v>
      </c>
      <c r="S160" s="8" t="str">
        <f t="shared" si="27"/>
        <v>Furniture</v>
      </c>
      <c r="T160" s="8" t="s">
        <v>156</v>
      </c>
      <c r="U160" s="8" t="str">
        <f t="shared" si="28"/>
        <v>Bookcases</v>
      </c>
      <c r="V160" s="8" t="s">
        <v>589</v>
      </c>
    </row>
    <row r="161" spans="1:22">
      <c r="A161" s="8" t="s">
        <v>590</v>
      </c>
      <c r="B161" s="8">
        <f t="shared" si="20"/>
        <v>1</v>
      </c>
      <c r="C161" s="8" t="str">
        <f t="shared" si="21"/>
        <v>Unique</v>
      </c>
      <c r="D161" s="9">
        <v>45687</v>
      </c>
      <c r="E161" s="8">
        <f t="shared" si="22"/>
        <v>62</v>
      </c>
      <c r="F161" s="10">
        <v>45749</v>
      </c>
      <c r="G161" s="8" t="s">
        <v>591</v>
      </c>
      <c r="H161" s="8" t="s">
        <v>112</v>
      </c>
      <c r="I161" s="8" t="str">
        <f t="shared" si="29"/>
        <v>Priya Menon</v>
      </c>
      <c r="J161" s="8" t="s">
        <v>88</v>
      </c>
      <c r="K161" s="8" t="str">
        <f t="shared" si="23"/>
        <v>Corporate</v>
      </c>
      <c r="L161" s="8" t="s">
        <v>23</v>
      </c>
      <c r="M161" s="8" t="str">
        <f t="shared" si="24"/>
        <v>North</v>
      </c>
      <c r="N161" s="8" t="s">
        <v>235</v>
      </c>
      <c r="O161" s="8" t="str">
        <f t="shared" si="25"/>
        <v>Haryana</v>
      </c>
      <c r="P161" s="8" t="s">
        <v>236</v>
      </c>
      <c r="Q161" s="8" t="str">
        <f t="shared" si="26"/>
        <v>Gurugram</v>
      </c>
      <c r="R161" s="8" t="s">
        <v>39</v>
      </c>
      <c r="S161" s="8" t="str">
        <f t="shared" si="27"/>
        <v>Furniture</v>
      </c>
      <c r="T161" s="8" t="s">
        <v>64</v>
      </c>
      <c r="U161" s="8" t="str">
        <f t="shared" si="28"/>
        <v>Chairs</v>
      </c>
      <c r="V161" s="8" t="s">
        <v>592</v>
      </c>
    </row>
    <row r="162" spans="1:22">
      <c r="A162" s="8" t="s">
        <v>593</v>
      </c>
      <c r="B162" s="8">
        <f t="shared" si="20"/>
        <v>1</v>
      </c>
      <c r="C162" s="8" t="str">
        <f t="shared" si="21"/>
        <v>Unique</v>
      </c>
      <c r="D162" s="9">
        <v>45879</v>
      </c>
      <c r="E162" s="8">
        <f t="shared" si="22"/>
        <v>57</v>
      </c>
      <c r="F162" s="10">
        <v>45936</v>
      </c>
      <c r="G162" s="8" t="s">
        <v>594</v>
      </c>
      <c r="H162" s="8" t="s">
        <v>69</v>
      </c>
      <c r="I162" s="8" t="str">
        <f t="shared" si="29"/>
        <v>Vikram Iyer</v>
      </c>
      <c r="J162" s="8" t="s">
        <v>35</v>
      </c>
      <c r="K162" s="8" t="str">
        <f t="shared" si="23"/>
        <v>Small Business</v>
      </c>
      <c r="L162" s="8" t="s">
        <v>61</v>
      </c>
      <c r="M162" s="8" t="str">
        <f t="shared" si="24"/>
        <v>West</v>
      </c>
      <c r="N162" s="8" t="s">
        <v>62</v>
      </c>
      <c r="O162" s="8" t="str">
        <f t="shared" si="25"/>
        <v>Maharashtra</v>
      </c>
      <c r="P162" s="8" t="s">
        <v>63</v>
      </c>
      <c r="Q162" s="8" t="str">
        <f t="shared" si="26"/>
        <v>Mumbai</v>
      </c>
      <c r="R162" s="8" t="s">
        <v>26</v>
      </c>
      <c r="S162" s="8" t="str">
        <f t="shared" si="27"/>
        <v>Office Supplies</v>
      </c>
      <c r="T162" s="8" t="s">
        <v>27</v>
      </c>
      <c r="U162" s="8" t="str">
        <f t="shared" si="28"/>
        <v>Paper</v>
      </c>
      <c r="V162" s="8" t="s">
        <v>595</v>
      </c>
    </row>
    <row r="163" spans="1:22">
      <c r="A163" s="8" t="s">
        <v>596</v>
      </c>
      <c r="B163" s="8">
        <f t="shared" si="20"/>
        <v>1</v>
      </c>
      <c r="C163" s="8" t="str">
        <f t="shared" si="21"/>
        <v>Unique</v>
      </c>
      <c r="D163" s="9">
        <v>45862</v>
      </c>
      <c r="E163" s="8">
        <f t="shared" si="22"/>
        <v>6</v>
      </c>
      <c r="F163" s="10">
        <v>45868</v>
      </c>
      <c r="G163" s="8" t="s">
        <v>597</v>
      </c>
      <c r="H163" s="8" t="s">
        <v>51</v>
      </c>
      <c r="I163" s="8" t="str">
        <f t="shared" si="29"/>
        <v>Arjun Bose</v>
      </c>
      <c r="J163" s="8" t="s">
        <v>598</v>
      </c>
      <c r="K163" s="8" t="str">
        <f t="shared" si="23"/>
        <v>Consumer</v>
      </c>
      <c r="L163" s="8" t="s">
        <v>61</v>
      </c>
      <c r="M163" s="8" t="str">
        <f t="shared" si="24"/>
        <v>West</v>
      </c>
      <c r="N163" s="8" t="s">
        <v>24</v>
      </c>
      <c r="O163" s="8" t="str">
        <f t="shared" si="25"/>
        <v>Rajasthan</v>
      </c>
      <c r="P163" s="8" t="s">
        <v>107</v>
      </c>
      <c r="Q163" s="8" t="str">
        <f t="shared" si="26"/>
        <v>Udaipur</v>
      </c>
      <c r="R163" s="8" t="s">
        <v>26</v>
      </c>
      <c r="S163" s="8" t="str">
        <f t="shared" si="27"/>
        <v>Office Supplies</v>
      </c>
      <c r="T163" s="8" t="s">
        <v>151</v>
      </c>
      <c r="U163" s="8" t="str">
        <f t="shared" si="28"/>
        <v>Binders</v>
      </c>
      <c r="V163" s="8" t="s">
        <v>599</v>
      </c>
    </row>
    <row r="164" spans="1:22">
      <c r="A164" s="8" t="s">
        <v>600</v>
      </c>
      <c r="B164" s="8">
        <f t="shared" si="20"/>
        <v>1</v>
      </c>
      <c r="C164" s="8" t="str">
        <f t="shared" si="21"/>
        <v>Unique</v>
      </c>
      <c r="D164" s="9">
        <v>45538</v>
      </c>
      <c r="E164" s="8">
        <f t="shared" si="22"/>
        <v>-173</v>
      </c>
      <c r="F164" s="10">
        <v>45365</v>
      </c>
      <c r="G164" s="8" t="s">
        <v>601</v>
      </c>
      <c r="H164" s="8" t="s">
        <v>77</v>
      </c>
      <c r="I164" s="8" t="str">
        <f t="shared" si="29"/>
        <v>Neha Gupta</v>
      </c>
      <c r="J164" s="8" t="s">
        <v>35</v>
      </c>
      <c r="K164" s="8" t="str">
        <f t="shared" si="23"/>
        <v>Small Business</v>
      </c>
      <c r="L164" s="8" t="s">
        <v>61</v>
      </c>
      <c r="M164" s="8" t="str">
        <f t="shared" si="24"/>
        <v>West</v>
      </c>
      <c r="N164" s="8" t="s">
        <v>188</v>
      </c>
      <c r="O164" s="8" t="str">
        <f t="shared" si="25"/>
        <v>Goa</v>
      </c>
      <c r="P164" s="8" t="s">
        <v>189</v>
      </c>
      <c r="Q164" s="8" t="str">
        <f t="shared" si="26"/>
        <v>Panaji</v>
      </c>
      <c r="R164" s="8" t="s">
        <v>39</v>
      </c>
      <c r="S164" s="8" t="str">
        <f t="shared" si="27"/>
        <v>Furniture</v>
      </c>
      <c r="T164" s="8" t="s">
        <v>55</v>
      </c>
      <c r="U164" s="8" t="str">
        <f t="shared" si="28"/>
        <v>Furnishings</v>
      </c>
      <c r="V164" s="8" t="s">
        <v>602</v>
      </c>
    </row>
    <row r="165" spans="1:22">
      <c r="A165" s="8" t="s">
        <v>603</v>
      </c>
      <c r="B165" s="8">
        <f t="shared" si="20"/>
        <v>1</v>
      </c>
      <c r="C165" s="8" t="str">
        <f t="shared" si="21"/>
        <v>Unique</v>
      </c>
      <c r="D165" s="9">
        <v>45921</v>
      </c>
      <c r="E165" s="8">
        <f t="shared" si="22"/>
        <v>5</v>
      </c>
      <c r="F165" s="10">
        <v>45926</v>
      </c>
      <c r="G165" s="8" t="s">
        <v>604</v>
      </c>
      <c r="H165" s="8" t="s">
        <v>139</v>
      </c>
      <c r="I165" s="8" t="str">
        <f t="shared" si="29"/>
        <v>Rohan Mehta</v>
      </c>
      <c r="J165" s="8" t="s">
        <v>93</v>
      </c>
      <c r="K165" s="8" t="str">
        <f t="shared" si="23"/>
        <v>Home Office</v>
      </c>
      <c r="L165" s="8" t="s">
        <v>61</v>
      </c>
      <c r="M165" s="8" t="str">
        <f t="shared" si="24"/>
        <v>West</v>
      </c>
      <c r="N165" s="8" t="s">
        <v>178</v>
      </c>
      <c r="O165" s="8" t="str">
        <f t="shared" si="25"/>
        <v>Gujarat</v>
      </c>
      <c r="P165" s="8" t="s">
        <v>179</v>
      </c>
      <c r="Q165" s="8" t="str">
        <f t="shared" si="26"/>
        <v>Ahmedabad</v>
      </c>
      <c r="R165" s="8" t="s">
        <v>39</v>
      </c>
      <c r="S165" s="8" t="str">
        <f t="shared" si="27"/>
        <v>Furniture</v>
      </c>
      <c r="T165" s="8" t="s">
        <v>40</v>
      </c>
      <c r="U165" s="8" t="str">
        <f t="shared" si="28"/>
        <v>Tables</v>
      </c>
      <c r="V165" s="8" t="s">
        <v>605</v>
      </c>
    </row>
    <row r="166" spans="1:22">
      <c r="A166" s="8" t="s">
        <v>606</v>
      </c>
      <c r="B166" s="8">
        <f t="shared" si="20"/>
        <v>1</v>
      </c>
      <c r="C166" s="8" t="str">
        <f t="shared" si="21"/>
        <v>Unique</v>
      </c>
      <c r="D166" s="9">
        <v>45909</v>
      </c>
      <c r="E166" s="8">
        <f t="shared" si="22"/>
        <v>5</v>
      </c>
      <c r="F166" s="10">
        <v>45914</v>
      </c>
      <c r="G166" s="8" t="s">
        <v>607</v>
      </c>
      <c r="H166" s="8" t="s">
        <v>116</v>
      </c>
      <c r="I166" s="8" t="str">
        <f t="shared" si="29"/>
        <v>Rahul Verma</v>
      </c>
      <c r="J166" s="8" t="s">
        <v>35</v>
      </c>
      <c r="K166" s="8" t="str">
        <f t="shared" si="23"/>
        <v>Small Business</v>
      </c>
      <c r="L166" s="8" t="s">
        <v>36</v>
      </c>
      <c r="M166" s="8" t="str">
        <f t="shared" si="24"/>
        <v>East</v>
      </c>
      <c r="N166" s="8" t="s">
        <v>97</v>
      </c>
      <c r="O166" s="8" t="str">
        <f t="shared" si="25"/>
        <v>West Bengal</v>
      </c>
      <c r="P166" s="8" t="s">
        <v>98</v>
      </c>
      <c r="Q166" s="8" t="str">
        <f t="shared" si="26"/>
        <v>Kolkata</v>
      </c>
      <c r="R166" s="8" t="s">
        <v>39</v>
      </c>
      <c r="S166" s="8" t="str">
        <f t="shared" si="27"/>
        <v>Furniture</v>
      </c>
      <c r="T166" s="8" t="s">
        <v>156</v>
      </c>
      <c r="U166" s="8" t="str">
        <f t="shared" si="28"/>
        <v>Bookcases</v>
      </c>
      <c r="V166" s="8" t="s">
        <v>608</v>
      </c>
    </row>
    <row r="167" spans="1:22">
      <c r="A167" s="8" t="s">
        <v>609</v>
      </c>
      <c r="B167" s="8">
        <f t="shared" si="20"/>
        <v>1</v>
      </c>
      <c r="C167" s="8" t="str">
        <f t="shared" si="21"/>
        <v>Unique</v>
      </c>
      <c r="D167" s="9">
        <v>45618</v>
      </c>
      <c r="E167" s="8">
        <f t="shared" si="22"/>
        <v>7</v>
      </c>
      <c r="F167" s="10">
        <v>45625</v>
      </c>
      <c r="G167" s="8" t="s">
        <v>610</v>
      </c>
      <c r="H167" s="8" t="s">
        <v>34</v>
      </c>
      <c r="I167" s="8" t="str">
        <f t="shared" si="29"/>
        <v>Mira Das</v>
      </c>
      <c r="J167" s="8" t="s">
        <v>93</v>
      </c>
      <c r="K167" s="8" t="str">
        <f t="shared" si="23"/>
        <v>Home Office</v>
      </c>
      <c r="L167" s="8" t="s">
        <v>36</v>
      </c>
      <c r="M167" s="8" t="str">
        <f t="shared" si="24"/>
        <v>East</v>
      </c>
      <c r="N167" s="8" t="s">
        <v>143</v>
      </c>
      <c r="O167" s="8" t="str">
        <f t="shared" si="25"/>
        <v>Bihar</v>
      </c>
      <c r="P167" s="8" t="s">
        <v>144</v>
      </c>
      <c r="Q167" s="8" t="str">
        <f t="shared" si="26"/>
        <v>Patna</v>
      </c>
      <c r="R167" s="8" t="s">
        <v>39</v>
      </c>
      <c r="S167" s="8" t="str">
        <f t="shared" si="27"/>
        <v>Furniture</v>
      </c>
      <c r="T167" s="8" t="s">
        <v>64</v>
      </c>
      <c r="U167" s="8" t="str">
        <f t="shared" si="28"/>
        <v>Chairs</v>
      </c>
      <c r="V167" s="8" t="s">
        <v>611</v>
      </c>
    </row>
    <row r="168" spans="1:22">
      <c r="A168" s="8" t="s">
        <v>612</v>
      </c>
      <c r="B168" s="8">
        <f t="shared" si="20"/>
        <v>1</v>
      </c>
      <c r="C168" s="8" t="str">
        <f t="shared" si="21"/>
        <v>Unique</v>
      </c>
      <c r="D168" s="9">
        <v>45708</v>
      </c>
      <c r="E168" s="8">
        <f t="shared" si="22"/>
        <v>6</v>
      </c>
      <c r="F168" s="10">
        <v>45714</v>
      </c>
      <c r="G168" s="8" t="s">
        <v>613</v>
      </c>
      <c r="H168" s="8" t="s">
        <v>21</v>
      </c>
      <c r="I168" s="8" t="str">
        <f t="shared" si="29"/>
        <v>Karan Malhotra</v>
      </c>
      <c r="J168" s="8" t="s">
        <v>35</v>
      </c>
      <c r="K168" s="8" t="str">
        <f t="shared" si="23"/>
        <v>Small Business</v>
      </c>
      <c r="L168" s="8" t="s">
        <v>61</v>
      </c>
      <c r="M168" s="8" t="str">
        <f t="shared" si="24"/>
        <v>West</v>
      </c>
      <c r="N168" s="8" t="s">
        <v>178</v>
      </c>
      <c r="O168" s="8" t="str">
        <f t="shared" si="25"/>
        <v>Gujarat</v>
      </c>
      <c r="P168" s="8" t="s">
        <v>179</v>
      </c>
      <c r="Q168" s="8" t="str">
        <f t="shared" si="26"/>
        <v>Ahmedabad</v>
      </c>
      <c r="R168" s="8" t="s">
        <v>614</v>
      </c>
      <c r="S168" s="8" t="str">
        <f t="shared" si="27"/>
        <v>Office Supplies</v>
      </c>
      <c r="T168" s="8" t="s">
        <v>89</v>
      </c>
      <c r="U168" s="8" t="str">
        <f t="shared" si="28"/>
        <v>Labels</v>
      </c>
      <c r="V168" s="8" t="s">
        <v>615</v>
      </c>
    </row>
    <row r="169" spans="1:22">
      <c r="A169" s="8" t="s">
        <v>616</v>
      </c>
      <c r="B169" s="8">
        <f t="shared" si="20"/>
        <v>1</v>
      </c>
      <c r="C169" s="8" t="str">
        <f t="shared" si="21"/>
        <v>Unique</v>
      </c>
      <c r="D169" s="9">
        <v>45887</v>
      </c>
      <c r="E169" s="8">
        <f t="shared" si="22"/>
        <v>0</v>
      </c>
      <c r="F169" s="10">
        <v>45887</v>
      </c>
      <c r="G169" s="8" t="s">
        <v>617</v>
      </c>
      <c r="H169" s="8" t="s">
        <v>51</v>
      </c>
      <c r="I169" s="8" t="str">
        <f t="shared" si="29"/>
        <v>Arjun Bose</v>
      </c>
      <c r="J169" s="8" t="s">
        <v>93</v>
      </c>
      <c r="K169" s="8" t="str">
        <f t="shared" si="23"/>
        <v>Home Office</v>
      </c>
      <c r="L169" s="8" t="s">
        <v>52</v>
      </c>
      <c r="M169" s="8" t="str">
        <f t="shared" si="24"/>
        <v>South</v>
      </c>
      <c r="N169" s="8" t="s">
        <v>173</v>
      </c>
      <c r="O169" s="8" t="str">
        <f t="shared" si="25"/>
        <v>Karnataka</v>
      </c>
      <c r="P169" s="8" t="s">
        <v>174</v>
      </c>
      <c r="Q169" s="8" t="str">
        <f t="shared" si="26"/>
        <v>Bengaluru</v>
      </c>
      <c r="R169" s="8" t="s">
        <v>26</v>
      </c>
      <c r="S169" s="8" t="str">
        <f t="shared" si="27"/>
        <v>Office Supplies</v>
      </c>
      <c r="T169" s="8" t="s">
        <v>122</v>
      </c>
      <c r="U169" s="8" t="str">
        <f t="shared" si="28"/>
        <v>Storage</v>
      </c>
      <c r="V169" s="8" t="s">
        <v>618</v>
      </c>
    </row>
    <row r="170" spans="1:22">
      <c r="A170" s="8" t="s">
        <v>619</v>
      </c>
      <c r="B170" s="8">
        <f t="shared" si="20"/>
        <v>1</v>
      </c>
      <c r="C170" s="8" t="str">
        <f t="shared" si="21"/>
        <v>Unique</v>
      </c>
      <c r="D170" s="9">
        <v>45677</v>
      </c>
      <c r="E170" s="8">
        <f t="shared" si="22"/>
        <v>3</v>
      </c>
      <c r="F170" s="10">
        <v>45680</v>
      </c>
      <c r="G170" s="8" t="s">
        <v>620</v>
      </c>
      <c r="H170" s="8" t="s">
        <v>263</v>
      </c>
      <c r="I170" s="8" t="str">
        <f t="shared" si="29"/>
        <v>Kabir Singh</v>
      </c>
      <c r="J170" s="8" t="s">
        <v>22</v>
      </c>
      <c r="K170" s="8" t="str">
        <f t="shared" si="23"/>
        <v>Consumer</v>
      </c>
      <c r="L170" s="8" t="s">
        <v>61</v>
      </c>
      <c r="M170" s="8" t="str">
        <f t="shared" si="24"/>
        <v>West</v>
      </c>
      <c r="N170" s="8" t="s">
        <v>62</v>
      </c>
      <c r="O170" s="8" t="str">
        <f t="shared" si="25"/>
        <v>Maharashtra</v>
      </c>
      <c r="P170" s="8" t="s">
        <v>63</v>
      </c>
      <c r="Q170" s="8" t="str">
        <f t="shared" si="26"/>
        <v>Mumbai</v>
      </c>
      <c r="R170" s="8" t="s">
        <v>72</v>
      </c>
      <c r="S170" s="8" t="str">
        <f t="shared" si="27"/>
        <v>Technology</v>
      </c>
      <c r="T170" s="8" t="s">
        <v>73</v>
      </c>
      <c r="U170" s="8" t="str">
        <f t="shared" si="28"/>
        <v>Accessories</v>
      </c>
      <c r="V170" s="8" t="s">
        <v>621</v>
      </c>
    </row>
    <row r="171" spans="1:22">
      <c r="A171" s="8" t="s">
        <v>622</v>
      </c>
      <c r="B171" s="8">
        <f t="shared" si="20"/>
        <v>1</v>
      </c>
      <c r="C171" s="8" t="str">
        <f t="shared" si="21"/>
        <v>Unique</v>
      </c>
      <c r="D171" s="9">
        <v>45913</v>
      </c>
      <c r="E171" s="8">
        <f t="shared" si="22"/>
        <v>0</v>
      </c>
      <c r="F171" s="10">
        <v>45913</v>
      </c>
      <c r="G171" s="8" t="s">
        <v>623</v>
      </c>
      <c r="H171" s="8" t="s">
        <v>160</v>
      </c>
      <c r="I171" s="8" t="str">
        <f t="shared" si="29"/>
        <v>Diya Patel</v>
      </c>
      <c r="J171" s="8" t="s">
        <v>22</v>
      </c>
      <c r="K171" s="8" t="str">
        <f t="shared" si="23"/>
        <v>Consumer</v>
      </c>
      <c r="L171" s="8" t="s">
        <v>36</v>
      </c>
      <c r="M171" s="8" t="str">
        <f t="shared" si="24"/>
        <v>East</v>
      </c>
      <c r="N171" s="8" t="s">
        <v>164</v>
      </c>
      <c r="O171" s="8" t="str">
        <f t="shared" si="25"/>
        <v>Assam</v>
      </c>
      <c r="P171" s="8" t="s">
        <v>165</v>
      </c>
      <c r="Q171" s="8" t="str">
        <f t="shared" si="26"/>
        <v>Guwahati</v>
      </c>
      <c r="R171" s="8" t="s">
        <v>26</v>
      </c>
      <c r="S171" s="8" t="str">
        <f t="shared" si="27"/>
        <v>Office Supplies</v>
      </c>
      <c r="T171" s="8" t="s">
        <v>46</v>
      </c>
      <c r="U171" s="8" t="str">
        <f t="shared" si="28"/>
        <v>Art</v>
      </c>
      <c r="V171" s="8" t="s">
        <v>624</v>
      </c>
    </row>
    <row r="172" spans="1:22">
      <c r="A172" s="8" t="s">
        <v>625</v>
      </c>
      <c r="B172" s="8">
        <f t="shared" si="20"/>
        <v>2</v>
      </c>
      <c r="C172" s="8" t="str">
        <f t="shared" si="21"/>
        <v>Review Duplicate ID</v>
      </c>
      <c r="D172" s="9">
        <v>45847</v>
      </c>
      <c r="E172" s="8">
        <f t="shared" si="22"/>
        <v>68</v>
      </c>
      <c r="F172" s="10">
        <v>45915</v>
      </c>
      <c r="G172" s="8" t="s">
        <v>626</v>
      </c>
      <c r="H172" s="8" t="s">
        <v>139</v>
      </c>
      <c r="I172" s="8" t="str">
        <f t="shared" si="29"/>
        <v>Rohan Mehta</v>
      </c>
      <c r="J172" s="8" t="s">
        <v>88</v>
      </c>
      <c r="K172" s="8" t="str">
        <f t="shared" si="23"/>
        <v>Corporate</v>
      </c>
      <c r="L172" s="8" t="s">
        <v>36</v>
      </c>
      <c r="M172" s="8" t="str">
        <f t="shared" si="24"/>
        <v>East</v>
      </c>
      <c r="N172" s="8" t="s">
        <v>143</v>
      </c>
      <c r="O172" s="8" t="str">
        <f t="shared" si="25"/>
        <v>Bihar</v>
      </c>
      <c r="P172" s="8" t="s">
        <v>144</v>
      </c>
      <c r="Q172" s="8" t="str">
        <f t="shared" si="26"/>
        <v>Patna</v>
      </c>
      <c r="R172" s="8" t="s">
        <v>72</v>
      </c>
      <c r="S172" s="8" t="str">
        <f t="shared" si="27"/>
        <v>Technology</v>
      </c>
      <c r="T172" s="8" t="s">
        <v>78</v>
      </c>
      <c r="U172" s="8" t="str">
        <f t="shared" si="28"/>
        <v>Copiers</v>
      </c>
      <c r="V172" s="8" t="s">
        <v>627</v>
      </c>
    </row>
    <row r="173" spans="1:22">
      <c r="A173" s="8" t="s">
        <v>628</v>
      </c>
      <c r="B173" s="8">
        <f t="shared" si="20"/>
        <v>1</v>
      </c>
      <c r="C173" s="8" t="str">
        <f t="shared" si="21"/>
        <v>Unique</v>
      </c>
      <c r="D173" s="9">
        <v>45711</v>
      </c>
      <c r="E173" s="8">
        <f t="shared" si="22"/>
        <v>2</v>
      </c>
      <c r="F173" s="10">
        <v>45713</v>
      </c>
      <c r="G173" s="8" t="s">
        <v>629</v>
      </c>
      <c r="H173" s="8" t="s">
        <v>21</v>
      </c>
      <c r="I173" s="8" t="str">
        <f t="shared" si="29"/>
        <v>Karan Malhotra</v>
      </c>
      <c r="J173" s="8" t="s">
        <v>88</v>
      </c>
      <c r="K173" s="8" t="str">
        <f t="shared" si="23"/>
        <v>Corporate</v>
      </c>
      <c r="L173" s="8" t="s">
        <v>36</v>
      </c>
      <c r="M173" s="8" t="str">
        <f t="shared" si="24"/>
        <v>East</v>
      </c>
      <c r="N173" s="8" t="s">
        <v>143</v>
      </c>
      <c r="O173" s="8" t="str">
        <f t="shared" si="25"/>
        <v>Bihar</v>
      </c>
      <c r="P173" s="8" t="s">
        <v>144</v>
      </c>
      <c r="Q173" s="8" t="str">
        <f t="shared" si="26"/>
        <v>Patna</v>
      </c>
      <c r="R173" s="8" t="s">
        <v>26</v>
      </c>
      <c r="S173" s="8" t="str">
        <f t="shared" si="27"/>
        <v>Office Supplies</v>
      </c>
      <c r="T173" s="8" t="s">
        <v>89</v>
      </c>
      <c r="U173" s="8" t="str">
        <f t="shared" si="28"/>
        <v>Labels</v>
      </c>
      <c r="V173" s="8" t="s">
        <v>630</v>
      </c>
    </row>
    <row r="174" spans="1:22">
      <c r="A174" s="8" t="s">
        <v>631</v>
      </c>
      <c r="B174" s="8">
        <f t="shared" si="20"/>
        <v>1</v>
      </c>
      <c r="C174" s="8" t="str">
        <f t="shared" si="21"/>
        <v>Unique</v>
      </c>
      <c r="D174" s="9">
        <v>45696</v>
      </c>
      <c r="E174" s="8">
        <f t="shared" si="22"/>
        <v>242</v>
      </c>
      <c r="F174" s="10">
        <v>45938</v>
      </c>
      <c r="G174" s="8" t="s">
        <v>632</v>
      </c>
      <c r="H174" s="8" t="s">
        <v>21</v>
      </c>
      <c r="I174" s="8" t="str">
        <f t="shared" si="29"/>
        <v>Karan Malhotra</v>
      </c>
      <c r="J174" s="8" t="s">
        <v>88</v>
      </c>
      <c r="K174" s="8" t="str">
        <f t="shared" si="23"/>
        <v>Corporate</v>
      </c>
      <c r="L174" s="8" t="s">
        <v>23</v>
      </c>
      <c r="M174" s="8" t="str">
        <f t="shared" si="24"/>
        <v>North</v>
      </c>
      <c r="N174" s="8" t="s">
        <v>349</v>
      </c>
      <c r="O174" s="8" t="str">
        <f t="shared" si="25"/>
        <v>Delhi</v>
      </c>
      <c r="P174" s="8" t="s">
        <v>350</v>
      </c>
      <c r="Q174" s="8" t="str">
        <f t="shared" si="26"/>
        <v>New Delhi</v>
      </c>
      <c r="R174" s="8" t="s">
        <v>39</v>
      </c>
      <c r="S174" s="8" t="str">
        <f t="shared" si="27"/>
        <v>Furniture</v>
      </c>
      <c r="T174" s="8" t="s">
        <v>55</v>
      </c>
      <c r="U174" s="8" t="str">
        <f t="shared" si="28"/>
        <v>Furnishings</v>
      </c>
      <c r="V174" s="8" t="s">
        <v>633</v>
      </c>
    </row>
    <row r="175" spans="1:22">
      <c r="A175" s="8" t="s">
        <v>634</v>
      </c>
      <c r="B175" s="8">
        <f t="shared" si="20"/>
        <v>1</v>
      </c>
      <c r="C175" s="8" t="str">
        <f t="shared" si="21"/>
        <v>Unique</v>
      </c>
      <c r="D175" s="9">
        <v>45327</v>
      </c>
      <c r="E175" s="8">
        <f t="shared" si="22"/>
        <v>182</v>
      </c>
      <c r="F175" s="10">
        <v>45509</v>
      </c>
      <c r="G175" s="8" t="s">
        <v>635</v>
      </c>
      <c r="H175" s="8" t="s">
        <v>636</v>
      </c>
      <c r="I175" s="8" t="str">
        <f t="shared" si="29"/>
        <v>Priya Menon</v>
      </c>
      <c r="J175" s="8" t="s">
        <v>93</v>
      </c>
      <c r="K175" s="8" t="str">
        <f t="shared" si="23"/>
        <v>Home Office</v>
      </c>
      <c r="L175" s="8" t="s">
        <v>23</v>
      </c>
      <c r="M175" s="8" t="str">
        <f t="shared" si="24"/>
        <v>North</v>
      </c>
      <c r="N175" s="8" t="s">
        <v>120</v>
      </c>
      <c r="O175" s="8" t="str">
        <f t="shared" si="25"/>
        <v>Punjab</v>
      </c>
      <c r="P175" s="8" t="s">
        <v>121</v>
      </c>
      <c r="Q175" s="8" t="str">
        <f t="shared" si="26"/>
        <v>Ludhiana</v>
      </c>
      <c r="R175" s="8" t="s">
        <v>72</v>
      </c>
      <c r="S175" s="8" t="str">
        <f t="shared" si="27"/>
        <v>Technology</v>
      </c>
      <c r="T175" s="8" t="s">
        <v>78</v>
      </c>
      <c r="U175" s="8" t="str">
        <f t="shared" si="28"/>
        <v>Copiers</v>
      </c>
      <c r="V175" s="8" t="s">
        <v>637</v>
      </c>
    </row>
    <row r="176" spans="1:22">
      <c r="A176" s="8" t="s">
        <v>638</v>
      </c>
      <c r="B176" s="8">
        <f t="shared" si="20"/>
        <v>1</v>
      </c>
      <c r="C176" s="8" t="str">
        <f t="shared" si="21"/>
        <v>Unique</v>
      </c>
      <c r="D176" s="9">
        <v>45928</v>
      </c>
      <c r="E176" s="8">
        <f t="shared" si="22"/>
        <v>-171</v>
      </c>
      <c r="F176" s="10">
        <v>45757</v>
      </c>
      <c r="G176" s="8" t="s">
        <v>639</v>
      </c>
      <c r="H176" s="8" t="s">
        <v>21</v>
      </c>
      <c r="I176" s="8" t="str">
        <f t="shared" si="29"/>
        <v>Karan Malhotra</v>
      </c>
      <c r="J176" s="8" t="s">
        <v>35</v>
      </c>
      <c r="K176" s="8" t="str">
        <f t="shared" si="23"/>
        <v>Small Business</v>
      </c>
      <c r="L176" s="8" t="s">
        <v>52</v>
      </c>
      <c r="M176" s="8" t="str">
        <f t="shared" si="24"/>
        <v>South</v>
      </c>
      <c r="N176" s="8" t="s">
        <v>173</v>
      </c>
      <c r="O176" s="8" t="str">
        <f t="shared" si="25"/>
        <v>Karnataka</v>
      </c>
      <c r="P176" s="8" t="s">
        <v>174</v>
      </c>
      <c r="Q176" s="8" t="str">
        <f t="shared" si="26"/>
        <v>Bengaluru</v>
      </c>
      <c r="R176" s="8" t="s">
        <v>39</v>
      </c>
      <c r="S176" s="8" t="str">
        <f t="shared" si="27"/>
        <v>Furniture</v>
      </c>
      <c r="T176" s="8" t="s">
        <v>156</v>
      </c>
      <c r="U176" s="8" t="str">
        <f t="shared" si="28"/>
        <v>Bookcases</v>
      </c>
      <c r="V176" s="8" t="s">
        <v>640</v>
      </c>
    </row>
    <row r="177" spans="1:22">
      <c r="A177" s="8" t="s">
        <v>641</v>
      </c>
      <c r="B177" s="8">
        <f t="shared" si="20"/>
        <v>1</v>
      </c>
      <c r="C177" s="8" t="str">
        <f t="shared" si="21"/>
        <v>Unique</v>
      </c>
      <c r="D177" s="9">
        <v>45318</v>
      </c>
      <c r="E177" s="8">
        <f t="shared" si="22"/>
        <v>35</v>
      </c>
      <c r="F177" s="10">
        <v>45353</v>
      </c>
      <c r="G177" s="8" t="s">
        <v>642</v>
      </c>
      <c r="H177" s="8" t="s">
        <v>51</v>
      </c>
      <c r="I177" s="8" t="str">
        <f t="shared" si="29"/>
        <v>Arjun Bose</v>
      </c>
      <c r="J177" s="8" t="s">
        <v>35</v>
      </c>
      <c r="K177" s="8" t="str">
        <f t="shared" si="23"/>
        <v>Small Business</v>
      </c>
      <c r="L177" s="8" t="s">
        <v>36</v>
      </c>
      <c r="M177" s="8" t="str">
        <f t="shared" si="24"/>
        <v>East</v>
      </c>
      <c r="N177" s="8" t="s">
        <v>143</v>
      </c>
      <c r="O177" s="8" t="str">
        <f t="shared" si="25"/>
        <v>Bihar</v>
      </c>
      <c r="P177" s="8" t="s">
        <v>144</v>
      </c>
      <c r="Q177" s="8" t="str">
        <f t="shared" si="26"/>
        <v>Patna</v>
      </c>
      <c r="R177" s="8" t="s">
        <v>72</v>
      </c>
      <c r="S177" s="8" t="str">
        <f t="shared" si="27"/>
        <v>Technology</v>
      </c>
      <c r="T177" s="8" t="s">
        <v>273</v>
      </c>
      <c r="U177" s="8" t="str">
        <f t="shared" si="28"/>
        <v>Machines</v>
      </c>
      <c r="V177" s="8" t="s">
        <v>643</v>
      </c>
    </row>
    <row r="178" spans="1:22">
      <c r="A178" s="8" t="s">
        <v>644</v>
      </c>
      <c r="B178" s="8">
        <f t="shared" si="20"/>
        <v>1</v>
      </c>
      <c r="C178" s="8" t="str">
        <f t="shared" si="21"/>
        <v>Unique</v>
      </c>
      <c r="D178" s="9">
        <v>45734</v>
      </c>
      <c r="E178" s="8">
        <f t="shared" si="22"/>
        <v>8</v>
      </c>
      <c r="F178" s="10">
        <v>45742</v>
      </c>
      <c r="G178" s="8" t="s">
        <v>645</v>
      </c>
      <c r="H178" s="8" t="s">
        <v>69</v>
      </c>
      <c r="I178" s="8" t="str">
        <f t="shared" si="29"/>
        <v>Vikram Iyer</v>
      </c>
      <c r="J178" s="8" t="s">
        <v>88</v>
      </c>
      <c r="K178" s="8" t="str">
        <f t="shared" si="23"/>
        <v>Corporate</v>
      </c>
      <c r="L178" s="8" t="s">
        <v>36</v>
      </c>
      <c r="M178" s="8" t="str">
        <f t="shared" si="24"/>
        <v>East</v>
      </c>
      <c r="N178" s="8" t="s">
        <v>227</v>
      </c>
      <c r="O178" s="8" t="str">
        <f t="shared" si="25"/>
        <v>Jharkhand</v>
      </c>
      <c r="P178" s="8" t="s">
        <v>228</v>
      </c>
      <c r="Q178" s="8" t="str">
        <f t="shared" si="26"/>
        <v>Ranchi</v>
      </c>
      <c r="R178" s="8" t="s">
        <v>39</v>
      </c>
      <c r="S178" s="8" t="str">
        <f t="shared" si="27"/>
        <v>Furniture</v>
      </c>
      <c r="T178" s="8" t="s">
        <v>156</v>
      </c>
      <c r="U178" s="8" t="str">
        <f t="shared" si="28"/>
        <v>Bookcases</v>
      </c>
      <c r="V178" s="8" t="s">
        <v>646</v>
      </c>
    </row>
    <row r="179" spans="1:22">
      <c r="A179" s="8" t="s">
        <v>647</v>
      </c>
      <c r="B179" s="8">
        <f t="shared" si="20"/>
        <v>1</v>
      </c>
      <c r="C179" s="8" t="str">
        <f t="shared" si="21"/>
        <v>Unique</v>
      </c>
      <c r="D179" s="9">
        <v>45297</v>
      </c>
      <c r="E179" s="8">
        <f t="shared" si="22"/>
        <v>149</v>
      </c>
      <c r="F179" s="10">
        <v>45446</v>
      </c>
      <c r="G179" s="8" t="s">
        <v>648</v>
      </c>
      <c r="H179" s="8" t="s">
        <v>130</v>
      </c>
      <c r="I179" s="8" t="str">
        <f t="shared" si="29"/>
        <v>Sneha Kapoor</v>
      </c>
      <c r="J179" s="8" t="s">
        <v>93</v>
      </c>
      <c r="K179" s="8" t="str">
        <f t="shared" si="23"/>
        <v>Home Office</v>
      </c>
      <c r="M179" s="8" t="str">
        <f t="shared" si="24"/>
        <v/>
      </c>
      <c r="N179" s="8" t="s">
        <v>143</v>
      </c>
      <c r="O179" s="8" t="str">
        <f t="shared" si="25"/>
        <v>Bihar</v>
      </c>
      <c r="P179" s="8" t="s">
        <v>144</v>
      </c>
      <c r="Q179" s="8" t="str">
        <f t="shared" si="26"/>
        <v>Patna</v>
      </c>
      <c r="R179" s="8" t="s">
        <v>26</v>
      </c>
      <c r="S179" s="8" t="str">
        <f t="shared" si="27"/>
        <v>Office Supplies</v>
      </c>
      <c r="T179" s="8" t="s">
        <v>46</v>
      </c>
      <c r="U179" s="8" t="str">
        <f t="shared" si="28"/>
        <v>Art</v>
      </c>
      <c r="V179" s="8" t="s">
        <v>649</v>
      </c>
    </row>
    <row r="180" spans="1:22">
      <c r="A180" s="8" t="s">
        <v>650</v>
      </c>
      <c r="B180" s="8">
        <f t="shared" si="20"/>
        <v>1</v>
      </c>
      <c r="C180" s="8" t="str">
        <f t="shared" si="21"/>
        <v>Unique</v>
      </c>
      <c r="D180" s="9">
        <v>45565</v>
      </c>
      <c r="E180" s="8">
        <f t="shared" si="22"/>
        <v>0</v>
      </c>
      <c r="F180" s="10">
        <v>45565</v>
      </c>
      <c r="G180" s="8" t="s">
        <v>651</v>
      </c>
      <c r="H180" s="8" t="s">
        <v>45</v>
      </c>
      <c r="I180" s="8" t="str">
        <f t="shared" si="29"/>
        <v>Isha Nair</v>
      </c>
      <c r="J180" s="8" t="s">
        <v>88</v>
      </c>
      <c r="K180" s="8" t="str">
        <f t="shared" si="23"/>
        <v>Corporate</v>
      </c>
      <c r="L180" s="8" t="s">
        <v>52</v>
      </c>
      <c r="M180" s="8" t="str">
        <f t="shared" si="24"/>
        <v>South</v>
      </c>
      <c r="N180" s="8" t="s">
        <v>53</v>
      </c>
      <c r="O180" s="8" t="str">
        <f t="shared" si="25"/>
        <v>Telangana</v>
      </c>
      <c r="P180" s="8" t="s">
        <v>54</v>
      </c>
      <c r="Q180" s="8" t="str">
        <f t="shared" si="26"/>
        <v>Hyderabad</v>
      </c>
      <c r="R180" s="8" t="s">
        <v>26</v>
      </c>
      <c r="S180" s="8" t="str">
        <f t="shared" si="27"/>
        <v>Office Supplies</v>
      </c>
      <c r="T180" s="8" t="s">
        <v>46</v>
      </c>
      <c r="U180" s="8" t="str">
        <f t="shared" si="28"/>
        <v>Art</v>
      </c>
      <c r="V180" s="8" t="s">
        <v>652</v>
      </c>
    </row>
    <row r="181" spans="1:22">
      <c r="A181" s="8" t="s">
        <v>653</v>
      </c>
      <c r="B181" s="8">
        <f t="shared" si="20"/>
        <v>1</v>
      </c>
      <c r="C181" s="8" t="str">
        <f t="shared" si="21"/>
        <v>Unique</v>
      </c>
      <c r="D181" s="9">
        <v>45366</v>
      </c>
      <c r="E181" s="8">
        <f t="shared" si="22"/>
        <v>4</v>
      </c>
      <c r="F181" s="10">
        <v>45370</v>
      </c>
      <c r="G181" s="8" t="s">
        <v>654</v>
      </c>
      <c r="H181" s="8" t="s">
        <v>60</v>
      </c>
      <c r="I181" s="8" t="str">
        <f t="shared" si="29"/>
        <v>Ananya Rao</v>
      </c>
      <c r="J181" s="8" t="s">
        <v>35</v>
      </c>
      <c r="K181" s="8" t="str">
        <f t="shared" si="23"/>
        <v>Small Business</v>
      </c>
      <c r="L181" s="8" t="s">
        <v>52</v>
      </c>
      <c r="M181" s="8" t="str">
        <f t="shared" si="24"/>
        <v>South</v>
      </c>
      <c r="N181" s="8" t="s">
        <v>246</v>
      </c>
      <c r="O181" s="8" t="str">
        <f t="shared" si="25"/>
        <v>Tamil Nadu</v>
      </c>
      <c r="P181" s="8" t="s">
        <v>247</v>
      </c>
      <c r="Q181" s="8" t="str">
        <f t="shared" si="26"/>
        <v>Chennai</v>
      </c>
      <c r="R181" s="8" t="s">
        <v>39</v>
      </c>
      <c r="S181" s="8" t="str">
        <f t="shared" si="27"/>
        <v>Furniture</v>
      </c>
      <c r="T181" s="8" t="s">
        <v>55</v>
      </c>
      <c r="U181" s="8" t="str">
        <f t="shared" si="28"/>
        <v>Furnishings</v>
      </c>
      <c r="V181" s="8" t="s">
        <v>655</v>
      </c>
    </row>
    <row r="182" spans="1:22">
      <c r="A182" s="8" t="s">
        <v>656</v>
      </c>
      <c r="B182" s="8">
        <f t="shared" si="20"/>
        <v>1</v>
      </c>
      <c r="C182" s="8" t="str">
        <f t="shared" si="21"/>
        <v>Unique</v>
      </c>
      <c r="D182" s="9">
        <v>45530</v>
      </c>
      <c r="E182" s="8">
        <f t="shared" si="22"/>
        <v>0</v>
      </c>
      <c r="F182" s="10">
        <v>45530</v>
      </c>
      <c r="G182" s="8" t="s">
        <v>657</v>
      </c>
      <c r="H182" s="8" t="s">
        <v>34</v>
      </c>
      <c r="I182" s="8" t="str">
        <f t="shared" si="29"/>
        <v>Mira Das</v>
      </c>
      <c r="J182" s="8" t="s">
        <v>93</v>
      </c>
      <c r="K182" s="8" t="str">
        <f t="shared" si="23"/>
        <v>Home Office</v>
      </c>
      <c r="L182" s="8" t="s">
        <v>23</v>
      </c>
      <c r="M182" s="8" t="str">
        <f t="shared" si="24"/>
        <v>North</v>
      </c>
      <c r="N182" s="8" t="s">
        <v>134</v>
      </c>
      <c r="O182" s="8" t="str">
        <f t="shared" si="25"/>
        <v>Uttar Pradesh</v>
      </c>
      <c r="P182" s="8" t="s">
        <v>135</v>
      </c>
      <c r="Q182" s="8" t="str">
        <f t="shared" si="26"/>
        <v>Noida</v>
      </c>
      <c r="R182" s="8" t="s">
        <v>614</v>
      </c>
      <c r="S182" s="8" t="str">
        <f t="shared" si="27"/>
        <v>Office Supplies</v>
      </c>
      <c r="T182" s="8" t="s">
        <v>151</v>
      </c>
      <c r="U182" s="8" t="str">
        <f t="shared" si="28"/>
        <v>Binders</v>
      </c>
      <c r="V182" s="8" t="s">
        <v>658</v>
      </c>
    </row>
    <row r="183" spans="1:22">
      <c r="A183" s="8" t="s">
        <v>659</v>
      </c>
      <c r="B183" s="8">
        <f t="shared" si="20"/>
        <v>1</v>
      </c>
      <c r="C183" s="8" t="str">
        <f t="shared" si="21"/>
        <v>Unique</v>
      </c>
      <c r="D183" s="9">
        <v>45909</v>
      </c>
      <c r="E183" s="8">
        <f t="shared" si="22"/>
        <v>30</v>
      </c>
      <c r="F183" s="10">
        <v>45939</v>
      </c>
      <c r="G183" s="8" t="s">
        <v>660</v>
      </c>
      <c r="H183" s="8" t="s">
        <v>112</v>
      </c>
      <c r="I183" s="8" t="str">
        <f t="shared" si="29"/>
        <v>Priya Menon</v>
      </c>
      <c r="J183" s="8" t="s">
        <v>93</v>
      </c>
      <c r="K183" s="8" t="str">
        <f t="shared" si="23"/>
        <v>Home Office</v>
      </c>
      <c r="L183" s="8" t="s">
        <v>52</v>
      </c>
      <c r="M183" s="8" t="str">
        <f t="shared" si="24"/>
        <v>South</v>
      </c>
      <c r="N183" s="8" t="s">
        <v>246</v>
      </c>
      <c r="O183" s="8" t="str">
        <f t="shared" si="25"/>
        <v>Tamil Nadu</v>
      </c>
      <c r="P183" s="8" t="s">
        <v>247</v>
      </c>
      <c r="Q183" s="8" t="str">
        <f t="shared" si="26"/>
        <v>Chennai</v>
      </c>
      <c r="R183" s="8" t="s">
        <v>26</v>
      </c>
      <c r="S183" s="8" t="str">
        <f t="shared" si="27"/>
        <v>Office Supplies</v>
      </c>
      <c r="T183" s="8" t="s">
        <v>46</v>
      </c>
      <c r="U183" s="8" t="str">
        <f t="shared" si="28"/>
        <v>Art</v>
      </c>
      <c r="V183" s="8" t="s">
        <v>661</v>
      </c>
    </row>
    <row r="184" spans="1:22">
      <c r="A184" s="8" t="s">
        <v>662</v>
      </c>
      <c r="B184" s="8">
        <f t="shared" si="20"/>
        <v>1</v>
      </c>
      <c r="C184" s="8" t="str">
        <f t="shared" si="21"/>
        <v>Unique</v>
      </c>
      <c r="D184" s="9">
        <v>45581</v>
      </c>
      <c r="E184" s="8">
        <f t="shared" si="22"/>
        <v>0</v>
      </c>
      <c r="F184" s="10">
        <v>45581</v>
      </c>
      <c r="G184" s="8" t="s">
        <v>663</v>
      </c>
      <c r="H184" s="8" t="s">
        <v>60</v>
      </c>
      <c r="I184" s="8" t="str">
        <f t="shared" si="29"/>
        <v>Ananya Rao</v>
      </c>
      <c r="J184" s="8" t="s">
        <v>93</v>
      </c>
      <c r="K184" s="8" t="str">
        <f t="shared" si="23"/>
        <v>Home Office</v>
      </c>
      <c r="L184" s="8" t="s">
        <v>36</v>
      </c>
      <c r="M184" s="8" t="str">
        <f t="shared" si="24"/>
        <v>East</v>
      </c>
      <c r="N184" s="8" t="s">
        <v>143</v>
      </c>
      <c r="O184" s="8" t="str">
        <f t="shared" si="25"/>
        <v>Bihar</v>
      </c>
      <c r="P184" s="8" t="s">
        <v>144</v>
      </c>
      <c r="Q184" s="8" t="str">
        <f t="shared" si="26"/>
        <v>Patna</v>
      </c>
      <c r="R184" s="8" t="s">
        <v>72</v>
      </c>
      <c r="S184" s="8" t="str">
        <f t="shared" si="27"/>
        <v>Technology</v>
      </c>
      <c r="T184" s="8" t="s">
        <v>273</v>
      </c>
      <c r="U184" s="8" t="str">
        <f t="shared" si="28"/>
        <v>Machines</v>
      </c>
      <c r="V184" s="8" t="s">
        <v>664</v>
      </c>
    </row>
    <row r="185" spans="1:22">
      <c r="A185" s="8" t="s">
        <v>665</v>
      </c>
      <c r="B185" s="8">
        <f t="shared" si="20"/>
        <v>1</v>
      </c>
      <c r="C185" s="8" t="str">
        <f t="shared" si="21"/>
        <v>Unique</v>
      </c>
      <c r="D185" s="9">
        <v>45832</v>
      </c>
      <c r="E185" s="8">
        <f t="shared" si="22"/>
        <v>3</v>
      </c>
      <c r="F185" s="10">
        <v>45835</v>
      </c>
      <c r="G185" s="8" t="s">
        <v>666</v>
      </c>
      <c r="H185" s="8" t="s">
        <v>69</v>
      </c>
      <c r="I185" s="8" t="str">
        <f t="shared" si="29"/>
        <v>Vikram Iyer</v>
      </c>
      <c r="J185" s="8" t="s">
        <v>93</v>
      </c>
      <c r="K185" s="8" t="str">
        <f t="shared" si="23"/>
        <v>Home Office</v>
      </c>
      <c r="L185" s="8" t="s">
        <v>52</v>
      </c>
      <c r="M185" s="8" t="str">
        <f t="shared" si="24"/>
        <v>South</v>
      </c>
      <c r="N185" s="8" t="s">
        <v>53</v>
      </c>
      <c r="O185" s="8" t="str">
        <f t="shared" si="25"/>
        <v>Telangana</v>
      </c>
      <c r="P185" s="8" t="s">
        <v>54</v>
      </c>
      <c r="Q185" s="8" t="str">
        <f t="shared" si="26"/>
        <v>Hyderabad</v>
      </c>
      <c r="R185" s="8" t="s">
        <v>72</v>
      </c>
      <c r="S185" s="8" t="str">
        <f t="shared" si="27"/>
        <v>Technology</v>
      </c>
      <c r="T185" s="8" t="s">
        <v>78</v>
      </c>
      <c r="U185" s="8" t="str">
        <f t="shared" si="28"/>
        <v>Copiers</v>
      </c>
      <c r="V185" s="8" t="s">
        <v>667</v>
      </c>
    </row>
    <row r="186" spans="1:22">
      <c r="A186" s="8" t="s">
        <v>668</v>
      </c>
      <c r="B186" s="8">
        <f t="shared" si="20"/>
        <v>1</v>
      </c>
      <c r="C186" s="8" t="str">
        <f t="shared" si="21"/>
        <v>Unique</v>
      </c>
      <c r="D186" s="9">
        <v>45326</v>
      </c>
      <c r="E186" s="8">
        <f t="shared" si="22"/>
        <v>121</v>
      </c>
      <c r="F186" s="10">
        <v>45447</v>
      </c>
      <c r="G186" s="8" t="s">
        <v>669</v>
      </c>
      <c r="H186" s="8" t="s">
        <v>69</v>
      </c>
      <c r="I186" s="8" t="str">
        <f t="shared" si="29"/>
        <v>Vikram Iyer</v>
      </c>
      <c r="J186" s="8" t="s">
        <v>88</v>
      </c>
      <c r="K186" s="8" t="str">
        <f t="shared" si="23"/>
        <v>Corporate</v>
      </c>
      <c r="L186" s="8" t="s">
        <v>61</v>
      </c>
      <c r="M186" s="8" t="str">
        <f t="shared" si="24"/>
        <v>West</v>
      </c>
      <c r="N186" s="8" t="s">
        <v>70</v>
      </c>
      <c r="O186" s="8" t="str">
        <f t="shared" si="25"/>
        <v>Madhya Pradesh</v>
      </c>
      <c r="P186" s="8" t="s">
        <v>71</v>
      </c>
      <c r="Q186" s="8" t="str">
        <f t="shared" si="26"/>
        <v>Indore</v>
      </c>
      <c r="R186" s="8" t="s">
        <v>39</v>
      </c>
      <c r="S186" s="8" t="str">
        <f t="shared" si="27"/>
        <v>Furniture</v>
      </c>
      <c r="T186" s="8" t="s">
        <v>156</v>
      </c>
      <c r="U186" s="8" t="str">
        <f t="shared" si="28"/>
        <v>Bookcases</v>
      </c>
      <c r="V186" s="8" t="s">
        <v>670</v>
      </c>
    </row>
    <row r="187" spans="1:22">
      <c r="A187" s="8" t="s">
        <v>671</v>
      </c>
      <c r="B187" s="8">
        <f t="shared" si="20"/>
        <v>1</v>
      </c>
      <c r="C187" s="8" t="str">
        <f t="shared" si="21"/>
        <v>Unique</v>
      </c>
      <c r="D187" s="9">
        <v>45601</v>
      </c>
      <c r="E187" s="8">
        <f t="shared" si="22"/>
        <v>8</v>
      </c>
      <c r="F187" s="10">
        <v>45609</v>
      </c>
      <c r="G187" s="8" t="s">
        <v>672</v>
      </c>
      <c r="H187" s="8" t="s">
        <v>51</v>
      </c>
      <c r="I187" s="8" t="str">
        <f t="shared" si="29"/>
        <v>Arjun Bose</v>
      </c>
      <c r="J187" s="8" t="s">
        <v>22</v>
      </c>
      <c r="K187" s="8" t="str">
        <f t="shared" si="23"/>
        <v>Consumer</v>
      </c>
      <c r="M187" s="8" t="str">
        <f t="shared" si="24"/>
        <v/>
      </c>
      <c r="N187" s="8" t="s">
        <v>120</v>
      </c>
      <c r="O187" s="8" t="str">
        <f t="shared" si="25"/>
        <v>Punjab</v>
      </c>
      <c r="P187" s="8" t="s">
        <v>121</v>
      </c>
      <c r="Q187" s="8" t="str">
        <f t="shared" si="26"/>
        <v>Ludhiana</v>
      </c>
      <c r="R187" s="8" t="s">
        <v>26</v>
      </c>
      <c r="S187" s="8" t="str">
        <f t="shared" si="27"/>
        <v>Office Supplies</v>
      </c>
      <c r="T187" s="8" t="s">
        <v>89</v>
      </c>
      <c r="U187" s="8" t="str">
        <f t="shared" si="28"/>
        <v>Labels</v>
      </c>
      <c r="V187" s="8" t="s">
        <v>673</v>
      </c>
    </row>
    <row r="188" spans="1:22">
      <c r="A188" s="8" t="s">
        <v>674</v>
      </c>
      <c r="B188" s="8">
        <f t="shared" si="20"/>
        <v>1</v>
      </c>
      <c r="C188" s="8" t="str">
        <f t="shared" si="21"/>
        <v>Unique</v>
      </c>
      <c r="D188" s="9">
        <v>45492</v>
      </c>
      <c r="E188" s="8">
        <f t="shared" si="22"/>
        <v>1</v>
      </c>
      <c r="F188" s="10">
        <v>45493</v>
      </c>
      <c r="G188" s="8" t="s">
        <v>262</v>
      </c>
      <c r="H188" s="8" t="s">
        <v>69</v>
      </c>
      <c r="I188" s="8" t="str">
        <f t="shared" si="29"/>
        <v>Vikram Iyer</v>
      </c>
      <c r="J188" s="8" t="s">
        <v>22</v>
      </c>
      <c r="K188" s="8" t="str">
        <f t="shared" si="23"/>
        <v>Consumer</v>
      </c>
      <c r="L188" s="8" t="s">
        <v>52</v>
      </c>
      <c r="M188" s="8" t="str">
        <f t="shared" si="24"/>
        <v>South</v>
      </c>
      <c r="N188" s="8" t="s">
        <v>246</v>
      </c>
      <c r="O188" s="8" t="str">
        <f t="shared" si="25"/>
        <v>Tamil Nadu</v>
      </c>
      <c r="P188" s="8" t="s">
        <v>247</v>
      </c>
      <c r="Q188" s="8" t="str">
        <f t="shared" si="26"/>
        <v>Chennai</v>
      </c>
      <c r="R188" s="8" t="s">
        <v>39</v>
      </c>
      <c r="S188" s="8" t="str">
        <f t="shared" si="27"/>
        <v>Furniture</v>
      </c>
      <c r="T188" s="8" t="s">
        <v>40</v>
      </c>
      <c r="U188" s="8" t="str">
        <f t="shared" si="28"/>
        <v>Tables</v>
      </c>
      <c r="V188" s="8" t="s">
        <v>675</v>
      </c>
    </row>
    <row r="189" spans="1:22">
      <c r="A189" s="8" t="s">
        <v>676</v>
      </c>
      <c r="B189" s="8">
        <f t="shared" si="20"/>
        <v>1</v>
      </c>
      <c r="C189" s="8" t="str">
        <f t="shared" si="21"/>
        <v>Unique</v>
      </c>
      <c r="D189" s="9">
        <v>45662</v>
      </c>
      <c r="E189" s="8">
        <f t="shared" si="22"/>
        <v>31</v>
      </c>
      <c r="F189" s="10">
        <v>45693</v>
      </c>
      <c r="G189" s="8" t="s">
        <v>677</v>
      </c>
      <c r="H189" s="8" t="s">
        <v>34</v>
      </c>
      <c r="I189" s="8" t="str">
        <f t="shared" si="29"/>
        <v>Mira Das</v>
      </c>
      <c r="J189" s="8" t="s">
        <v>22</v>
      </c>
      <c r="K189" s="8" t="str">
        <f t="shared" si="23"/>
        <v>Consumer</v>
      </c>
      <c r="L189" s="8" t="s">
        <v>61</v>
      </c>
      <c r="M189" s="8" t="str">
        <f t="shared" si="24"/>
        <v>West</v>
      </c>
      <c r="N189" s="8" t="s">
        <v>70</v>
      </c>
      <c r="O189" s="8" t="str">
        <f t="shared" si="25"/>
        <v>Madhya Pradesh</v>
      </c>
      <c r="P189" s="8" t="s">
        <v>71</v>
      </c>
      <c r="Q189" s="8" t="str">
        <f t="shared" si="26"/>
        <v>Indore</v>
      </c>
      <c r="R189" s="8" t="s">
        <v>39</v>
      </c>
      <c r="S189" s="8" t="str">
        <f t="shared" si="27"/>
        <v>Furniture</v>
      </c>
      <c r="T189" s="8" t="s">
        <v>64</v>
      </c>
      <c r="U189" s="8" t="str">
        <f t="shared" si="28"/>
        <v>Chairs</v>
      </c>
      <c r="V189" s="8" t="s">
        <v>678</v>
      </c>
    </row>
    <row r="190" spans="1:22">
      <c r="A190" s="8" t="s">
        <v>679</v>
      </c>
      <c r="B190" s="8">
        <f t="shared" si="20"/>
        <v>1</v>
      </c>
      <c r="C190" s="8" t="str">
        <f t="shared" si="21"/>
        <v>Unique</v>
      </c>
      <c r="D190" s="9">
        <v>45798</v>
      </c>
      <c r="E190" s="8">
        <f t="shared" si="22"/>
        <v>7</v>
      </c>
      <c r="F190" s="10">
        <v>45805</v>
      </c>
      <c r="G190" s="8" t="s">
        <v>680</v>
      </c>
      <c r="H190" s="8" t="s">
        <v>112</v>
      </c>
      <c r="I190" s="8" t="str">
        <f t="shared" si="29"/>
        <v>Priya Menon</v>
      </c>
      <c r="J190" s="8" t="s">
        <v>88</v>
      </c>
      <c r="K190" s="8" t="str">
        <f t="shared" si="23"/>
        <v>Corporate</v>
      </c>
      <c r="L190" s="8" t="s">
        <v>36</v>
      </c>
      <c r="M190" s="8" t="str">
        <f t="shared" si="24"/>
        <v>East</v>
      </c>
      <c r="N190" s="8" t="s">
        <v>97</v>
      </c>
      <c r="O190" s="8" t="str">
        <f t="shared" si="25"/>
        <v>West Bengal</v>
      </c>
      <c r="P190" s="8" t="s">
        <v>98</v>
      </c>
      <c r="Q190" s="8" t="str">
        <f t="shared" si="26"/>
        <v>Kolkata</v>
      </c>
      <c r="R190" s="8" t="s">
        <v>39</v>
      </c>
      <c r="S190" s="8" t="str">
        <f t="shared" si="27"/>
        <v>Furniture</v>
      </c>
      <c r="T190" s="8" t="s">
        <v>156</v>
      </c>
      <c r="U190" s="8" t="str">
        <f t="shared" si="28"/>
        <v>Bookcases</v>
      </c>
      <c r="V190" s="8" t="s">
        <v>681</v>
      </c>
    </row>
    <row r="191" spans="1:22">
      <c r="A191" s="8" t="s">
        <v>682</v>
      </c>
      <c r="B191" s="8">
        <f t="shared" si="20"/>
        <v>1</v>
      </c>
      <c r="C191" s="8" t="str">
        <f t="shared" si="21"/>
        <v>Unique</v>
      </c>
      <c r="D191" s="9">
        <v>45813</v>
      </c>
      <c r="E191" s="8">
        <f t="shared" si="22"/>
        <v>30</v>
      </c>
      <c r="F191" s="10">
        <v>45843</v>
      </c>
      <c r="G191" s="8" t="s">
        <v>683</v>
      </c>
      <c r="H191" s="8" t="s">
        <v>51</v>
      </c>
      <c r="I191" s="8" t="str">
        <f t="shared" si="29"/>
        <v>Arjun Bose</v>
      </c>
      <c r="J191" s="8" t="s">
        <v>22</v>
      </c>
      <c r="K191" s="8" t="str">
        <f t="shared" si="23"/>
        <v>Consumer</v>
      </c>
      <c r="L191" s="8" t="s">
        <v>61</v>
      </c>
      <c r="M191" s="8" t="str">
        <f t="shared" si="24"/>
        <v>West</v>
      </c>
      <c r="N191" s="8" t="s">
        <v>24</v>
      </c>
      <c r="O191" s="8" t="str">
        <f t="shared" si="25"/>
        <v>Rajasthan</v>
      </c>
      <c r="P191" s="8" t="s">
        <v>107</v>
      </c>
      <c r="Q191" s="8" t="str">
        <f t="shared" si="26"/>
        <v>Udaipur</v>
      </c>
      <c r="R191" s="8" t="s">
        <v>39</v>
      </c>
      <c r="S191" s="8" t="str">
        <f t="shared" si="27"/>
        <v>Furniture</v>
      </c>
      <c r="T191" s="8" t="s">
        <v>156</v>
      </c>
      <c r="U191" s="8" t="str">
        <f t="shared" si="28"/>
        <v>Bookcases</v>
      </c>
      <c r="V191" s="8" t="s">
        <v>684</v>
      </c>
    </row>
    <row r="192" spans="1:22">
      <c r="A192" s="8" t="s">
        <v>686</v>
      </c>
      <c r="B192" s="8">
        <f t="shared" si="20"/>
        <v>1</v>
      </c>
      <c r="C192" s="8" t="str">
        <f t="shared" si="21"/>
        <v>Unique</v>
      </c>
      <c r="D192" s="9">
        <v>45767</v>
      </c>
      <c r="E192" s="8">
        <f t="shared" si="22"/>
        <v>1</v>
      </c>
      <c r="F192" s="10">
        <v>45768</v>
      </c>
      <c r="G192" s="8" t="s">
        <v>687</v>
      </c>
      <c r="H192" s="8" t="s">
        <v>87</v>
      </c>
      <c r="I192" s="8" t="str">
        <f t="shared" si="29"/>
        <v>Aditi Sen</v>
      </c>
      <c r="J192" s="8" t="s">
        <v>22</v>
      </c>
      <c r="K192" s="8" t="str">
        <f t="shared" si="23"/>
        <v>Consumer</v>
      </c>
      <c r="L192" s="8" t="s">
        <v>52</v>
      </c>
      <c r="M192" s="8" t="str">
        <f t="shared" si="24"/>
        <v>South</v>
      </c>
      <c r="N192" s="8" t="s">
        <v>246</v>
      </c>
      <c r="O192" s="8" t="str">
        <f t="shared" si="25"/>
        <v>Tamil Nadu</v>
      </c>
      <c r="P192" s="8" t="s">
        <v>247</v>
      </c>
      <c r="Q192" s="8" t="str">
        <f t="shared" si="26"/>
        <v>Chennai</v>
      </c>
      <c r="R192" s="8" t="s">
        <v>26</v>
      </c>
      <c r="S192" s="8" t="str">
        <f t="shared" si="27"/>
        <v>Office Supplies</v>
      </c>
      <c r="T192" s="8" t="s">
        <v>122</v>
      </c>
      <c r="U192" s="8" t="str">
        <f t="shared" si="28"/>
        <v>Storage</v>
      </c>
      <c r="V192" s="8" t="s">
        <v>688</v>
      </c>
    </row>
    <row r="193" spans="1:22">
      <c r="A193" s="8" t="s">
        <v>689</v>
      </c>
      <c r="B193" s="8">
        <f t="shared" si="20"/>
        <v>1</v>
      </c>
      <c r="C193" s="8" t="str">
        <f t="shared" si="21"/>
        <v>Unique</v>
      </c>
      <c r="D193" s="9">
        <v>45584</v>
      </c>
      <c r="E193" s="8">
        <f t="shared" si="22"/>
        <v>5</v>
      </c>
      <c r="F193" s="10">
        <v>45589</v>
      </c>
      <c r="G193" s="8" t="s">
        <v>690</v>
      </c>
      <c r="H193" s="8" t="s">
        <v>130</v>
      </c>
      <c r="I193" s="8" t="str">
        <f t="shared" si="29"/>
        <v>Sneha Kapoor</v>
      </c>
      <c r="J193" s="8" t="s">
        <v>35</v>
      </c>
      <c r="K193" s="8" t="str">
        <f t="shared" si="23"/>
        <v>Small Business</v>
      </c>
      <c r="L193" s="8" t="s">
        <v>52</v>
      </c>
      <c r="M193" s="8" t="str">
        <f t="shared" si="24"/>
        <v>South</v>
      </c>
      <c r="N193" s="8" t="s">
        <v>246</v>
      </c>
      <c r="O193" s="8" t="str">
        <f t="shared" si="25"/>
        <v>Tamil Nadu</v>
      </c>
      <c r="P193" s="8" t="s">
        <v>247</v>
      </c>
      <c r="Q193" s="8" t="str">
        <f t="shared" si="26"/>
        <v>Chennai</v>
      </c>
      <c r="R193" s="8" t="s">
        <v>39</v>
      </c>
      <c r="S193" s="8" t="str">
        <f t="shared" si="27"/>
        <v>Furniture</v>
      </c>
      <c r="T193" s="8" t="s">
        <v>156</v>
      </c>
      <c r="U193" s="8" t="str">
        <f t="shared" si="28"/>
        <v>Bookcases</v>
      </c>
      <c r="V193" s="8" t="s">
        <v>691</v>
      </c>
    </row>
    <row r="194" spans="1:22">
      <c r="A194" s="8" t="s">
        <v>692</v>
      </c>
      <c r="B194" s="8">
        <f t="shared" si="20"/>
        <v>1</v>
      </c>
      <c r="C194" s="8" t="str">
        <f t="shared" si="21"/>
        <v>Unique</v>
      </c>
      <c r="D194" s="9">
        <v>45547</v>
      </c>
      <c r="E194" s="8">
        <f t="shared" si="22"/>
        <v>95</v>
      </c>
      <c r="F194" s="10">
        <v>45642</v>
      </c>
      <c r="G194" s="8" t="s">
        <v>693</v>
      </c>
      <c r="H194" s="8" t="s">
        <v>45</v>
      </c>
      <c r="I194" s="8" t="str">
        <f t="shared" si="29"/>
        <v>Isha Nair</v>
      </c>
      <c r="J194" s="8" t="s">
        <v>93</v>
      </c>
      <c r="K194" s="8" t="str">
        <f t="shared" si="23"/>
        <v>Home Office</v>
      </c>
      <c r="L194" s="8" t="s">
        <v>61</v>
      </c>
      <c r="M194" s="8" t="str">
        <f t="shared" si="24"/>
        <v>West</v>
      </c>
      <c r="N194" s="8" t="s">
        <v>178</v>
      </c>
      <c r="O194" s="8" t="str">
        <f t="shared" si="25"/>
        <v>Gujarat</v>
      </c>
      <c r="P194" s="8" t="s">
        <v>179</v>
      </c>
      <c r="Q194" s="8" t="str">
        <f t="shared" si="26"/>
        <v>Ahmedabad</v>
      </c>
      <c r="R194" s="8" t="s">
        <v>39</v>
      </c>
      <c r="S194" s="8" t="str">
        <f t="shared" si="27"/>
        <v>Furniture</v>
      </c>
      <c r="T194" s="8" t="s">
        <v>64</v>
      </c>
      <c r="U194" s="8" t="str">
        <f t="shared" si="28"/>
        <v>Chairs</v>
      </c>
      <c r="V194" s="8" t="s">
        <v>694</v>
      </c>
    </row>
    <row r="195" spans="1:22">
      <c r="A195" s="8" t="s">
        <v>695</v>
      </c>
      <c r="B195" s="8">
        <f t="shared" ref="B195:B258" si="30">COUNTIF($A:$A,A195)</f>
        <v>1</v>
      </c>
      <c r="C195" s="8" t="str">
        <f t="shared" ref="C195:C258" si="31">IF(B195&gt;1,"Review Duplicate ID","Unique")</f>
        <v>Unique</v>
      </c>
      <c r="D195" s="9">
        <v>45466</v>
      </c>
      <c r="E195" s="8">
        <f t="shared" ref="E195:E258" si="32">F195-D195</f>
        <v>5</v>
      </c>
      <c r="F195" s="10">
        <v>45471</v>
      </c>
      <c r="G195" s="8" t="s">
        <v>696</v>
      </c>
      <c r="H195" s="8" t="s">
        <v>112</v>
      </c>
      <c r="I195" s="8" t="str">
        <f t="shared" si="29"/>
        <v>Priya Menon</v>
      </c>
      <c r="J195" s="8" t="s">
        <v>35</v>
      </c>
      <c r="K195" s="8" t="str">
        <f t="shared" ref="K195:K258" si="33">PROPER(TRIM(J195))</f>
        <v>Small Business</v>
      </c>
      <c r="L195" s="8" t="s">
        <v>23</v>
      </c>
      <c r="M195" s="8" t="str">
        <f t="shared" ref="M195:M258" si="34">PROPER(TRIM(L195))</f>
        <v>North</v>
      </c>
      <c r="N195" s="8" t="s">
        <v>120</v>
      </c>
      <c r="O195" s="8" t="str">
        <f t="shared" ref="O195:O258" si="35">PROPER(TRIM(N195))</f>
        <v>Punjab</v>
      </c>
      <c r="P195" s="8" t="s">
        <v>121</v>
      </c>
      <c r="Q195" s="8" t="str">
        <f t="shared" ref="Q195:Q258" si="36">PROPER(TRIM(P195))</f>
        <v>Ludhiana</v>
      </c>
      <c r="R195" s="8" t="s">
        <v>72</v>
      </c>
      <c r="S195" s="8" t="str">
        <f t="shared" ref="S195:S258" si="37">PROPER(TRIM(R195))</f>
        <v>Technology</v>
      </c>
      <c r="T195" s="8" t="s">
        <v>78</v>
      </c>
      <c r="U195" s="8" t="str">
        <f t="shared" ref="U195:U258" si="38">PROPER(TRIM(T195))</f>
        <v>Copiers</v>
      </c>
      <c r="V195" s="8" t="s">
        <v>697</v>
      </c>
    </row>
    <row r="196" spans="1:22">
      <c r="A196" s="8" t="s">
        <v>698</v>
      </c>
      <c r="B196" s="8">
        <f t="shared" si="30"/>
        <v>1</v>
      </c>
      <c r="C196" s="8" t="str">
        <f t="shared" si="31"/>
        <v>Unique</v>
      </c>
      <c r="D196" s="9">
        <v>45685</v>
      </c>
      <c r="E196" s="8">
        <f t="shared" si="32"/>
        <v>3</v>
      </c>
      <c r="F196" s="10">
        <v>45688</v>
      </c>
      <c r="G196" s="8" t="s">
        <v>699</v>
      </c>
      <c r="H196" s="8" t="s">
        <v>112</v>
      </c>
      <c r="I196" s="8" t="str">
        <f t="shared" ref="I196:I259" si="39">PROPER(TRIM(H196))</f>
        <v>Priya Menon</v>
      </c>
      <c r="J196" s="8" t="s">
        <v>22</v>
      </c>
      <c r="K196" s="8" t="str">
        <f t="shared" si="33"/>
        <v>Consumer</v>
      </c>
      <c r="L196" s="8" t="s">
        <v>700</v>
      </c>
      <c r="M196" s="8" t="str">
        <f t="shared" si="34"/>
        <v>West</v>
      </c>
      <c r="N196" s="8" t="s">
        <v>62</v>
      </c>
      <c r="O196" s="8" t="str">
        <f t="shared" si="35"/>
        <v>Maharashtra</v>
      </c>
      <c r="P196" s="8" t="s">
        <v>63</v>
      </c>
      <c r="Q196" s="8" t="str">
        <f t="shared" si="36"/>
        <v>Mumbai</v>
      </c>
      <c r="R196" s="8" t="s">
        <v>39</v>
      </c>
      <c r="S196" s="8" t="str">
        <f t="shared" si="37"/>
        <v>Furniture</v>
      </c>
      <c r="T196" s="8" t="s">
        <v>55</v>
      </c>
      <c r="U196" s="8" t="str">
        <f t="shared" si="38"/>
        <v>Furnishings</v>
      </c>
      <c r="V196" s="8" t="s">
        <v>701</v>
      </c>
    </row>
    <row r="197" spans="1:22">
      <c r="A197" s="8" t="s">
        <v>702</v>
      </c>
      <c r="B197" s="8">
        <f t="shared" si="30"/>
        <v>1</v>
      </c>
      <c r="C197" s="8" t="str">
        <f t="shared" si="31"/>
        <v>Unique</v>
      </c>
      <c r="D197" s="9">
        <v>45860</v>
      </c>
      <c r="E197" s="8">
        <f t="shared" si="32"/>
        <v>2</v>
      </c>
      <c r="F197" s="10">
        <v>45862</v>
      </c>
      <c r="G197" s="8" t="s">
        <v>703</v>
      </c>
      <c r="H197" s="8" t="s">
        <v>77</v>
      </c>
      <c r="I197" s="8" t="str">
        <f t="shared" si="39"/>
        <v>Neha Gupta</v>
      </c>
      <c r="J197" s="8" t="s">
        <v>93</v>
      </c>
      <c r="K197" s="8" t="str">
        <f t="shared" si="33"/>
        <v>Home Office</v>
      </c>
      <c r="L197" s="8" t="s">
        <v>52</v>
      </c>
      <c r="M197" s="8" t="str">
        <f t="shared" si="34"/>
        <v>South</v>
      </c>
      <c r="N197" s="8" t="s">
        <v>82</v>
      </c>
      <c r="O197" s="8" t="str">
        <f t="shared" si="35"/>
        <v>Andhra Pradesh</v>
      </c>
      <c r="P197" s="8" t="s">
        <v>83</v>
      </c>
      <c r="Q197" s="8" t="str">
        <f t="shared" si="36"/>
        <v>Vijayawada</v>
      </c>
      <c r="R197" s="8" t="s">
        <v>39</v>
      </c>
      <c r="S197" s="8" t="str">
        <f t="shared" si="37"/>
        <v>Furniture</v>
      </c>
      <c r="T197" s="8" t="s">
        <v>55</v>
      </c>
      <c r="U197" s="8" t="str">
        <f t="shared" si="38"/>
        <v>Furnishings</v>
      </c>
      <c r="V197" s="8" t="s">
        <v>704</v>
      </c>
    </row>
    <row r="198" spans="1:22">
      <c r="A198" s="8" t="s">
        <v>705</v>
      </c>
      <c r="B198" s="8">
        <f t="shared" si="30"/>
        <v>1</v>
      </c>
      <c r="C198" s="8" t="str">
        <f t="shared" si="31"/>
        <v>Unique</v>
      </c>
      <c r="D198" s="9">
        <v>45313</v>
      </c>
      <c r="E198" s="8">
        <f t="shared" si="32"/>
        <v>3</v>
      </c>
      <c r="F198" s="10">
        <v>45316</v>
      </c>
      <c r="G198" s="8" t="s">
        <v>706</v>
      </c>
      <c r="H198" s="8" t="s">
        <v>263</v>
      </c>
      <c r="I198" s="8" t="str">
        <f t="shared" si="39"/>
        <v>Kabir Singh</v>
      </c>
      <c r="J198" s="8" t="s">
        <v>93</v>
      </c>
      <c r="K198" s="8" t="str">
        <f t="shared" si="33"/>
        <v>Home Office</v>
      </c>
      <c r="L198" s="8" t="s">
        <v>23</v>
      </c>
      <c r="M198" s="8" t="str">
        <f t="shared" si="34"/>
        <v>North</v>
      </c>
      <c r="N198" s="8" t="s">
        <v>134</v>
      </c>
      <c r="O198" s="8" t="str">
        <f t="shared" si="35"/>
        <v>Uttar Pradesh</v>
      </c>
      <c r="P198" s="8" t="s">
        <v>135</v>
      </c>
      <c r="Q198" s="8" t="str">
        <f t="shared" si="36"/>
        <v>Noida</v>
      </c>
      <c r="R198" s="8" t="s">
        <v>26</v>
      </c>
      <c r="S198" s="8" t="str">
        <f t="shared" si="37"/>
        <v>Office Supplies</v>
      </c>
      <c r="T198" s="8" t="s">
        <v>122</v>
      </c>
      <c r="U198" s="8" t="str">
        <f t="shared" si="38"/>
        <v>Storage</v>
      </c>
      <c r="V198" s="8" t="s">
        <v>707</v>
      </c>
    </row>
    <row r="199" spans="1:22">
      <c r="A199" s="8" t="s">
        <v>708</v>
      </c>
      <c r="B199" s="8">
        <f t="shared" si="30"/>
        <v>1</v>
      </c>
      <c r="C199" s="8" t="str">
        <f t="shared" si="31"/>
        <v>Unique</v>
      </c>
      <c r="D199" s="9">
        <v>45747</v>
      </c>
      <c r="E199" s="8">
        <f t="shared" si="32"/>
        <v>95</v>
      </c>
      <c r="F199" s="10">
        <v>45842</v>
      </c>
      <c r="G199" s="8" t="s">
        <v>389</v>
      </c>
      <c r="H199" s="8" t="s">
        <v>116</v>
      </c>
      <c r="I199" s="8" t="str">
        <f t="shared" si="39"/>
        <v>Rahul Verma</v>
      </c>
      <c r="J199" s="8" t="s">
        <v>475</v>
      </c>
      <c r="K199" s="8" t="str">
        <f t="shared" si="33"/>
        <v>Small Business</v>
      </c>
      <c r="L199" s="8" t="s">
        <v>36</v>
      </c>
      <c r="M199" s="8" t="str">
        <f t="shared" si="34"/>
        <v>East</v>
      </c>
      <c r="N199" s="8" t="s">
        <v>143</v>
      </c>
      <c r="O199" s="8" t="str">
        <f t="shared" si="35"/>
        <v>Bihar</v>
      </c>
      <c r="P199" s="8" t="s">
        <v>144</v>
      </c>
      <c r="Q199" s="8" t="str">
        <f t="shared" si="36"/>
        <v>Patna</v>
      </c>
      <c r="R199" s="8" t="s">
        <v>26</v>
      </c>
      <c r="S199" s="8" t="str">
        <f t="shared" si="37"/>
        <v>Office Supplies</v>
      </c>
      <c r="T199" s="8" t="s">
        <v>122</v>
      </c>
      <c r="U199" s="8" t="str">
        <f t="shared" si="38"/>
        <v>Storage</v>
      </c>
      <c r="V199" s="8" t="s">
        <v>709</v>
      </c>
    </row>
    <row r="200" spans="1:22">
      <c r="A200" s="8" t="s">
        <v>710</v>
      </c>
      <c r="B200" s="8">
        <f t="shared" si="30"/>
        <v>1</v>
      </c>
      <c r="C200" s="8" t="str">
        <f t="shared" si="31"/>
        <v>Unique</v>
      </c>
      <c r="D200" s="9">
        <v>45418</v>
      </c>
      <c r="E200" s="8">
        <f t="shared" si="32"/>
        <v>31</v>
      </c>
      <c r="F200" s="10">
        <v>45449</v>
      </c>
      <c r="G200" s="8" t="s">
        <v>711</v>
      </c>
      <c r="H200" s="8" t="s">
        <v>130</v>
      </c>
      <c r="I200" s="8" t="str">
        <f t="shared" si="39"/>
        <v>Sneha Kapoor</v>
      </c>
      <c r="J200" s="8" t="s">
        <v>22</v>
      </c>
      <c r="K200" s="8" t="str">
        <f t="shared" si="33"/>
        <v>Consumer</v>
      </c>
      <c r="L200" s="8" t="s">
        <v>61</v>
      </c>
      <c r="M200" s="8" t="str">
        <f t="shared" si="34"/>
        <v>West</v>
      </c>
      <c r="N200" s="8" t="s">
        <v>178</v>
      </c>
      <c r="O200" s="8" t="str">
        <f t="shared" si="35"/>
        <v>Gujarat</v>
      </c>
      <c r="P200" s="8" t="s">
        <v>179</v>
      </c>
      <c r="Q200" s="8" t="str">
        <f t="shared" si="36"/>
        <v>Ahmedabad</v>
      </c>
      <c r="R200" s="8" t="s">
        <v>26</v>
      </c>
      <c r="S200" s="8" t="str">
        <f t="shared" si="37"/>
        <v>Office Supplies</v>
      </c>
      <c r="T200" s="8" t="s">
        <v>46</v>
      </c>
      <c r="U200" s="8" t="str">
        <f t="shared" si="38"/>
        <v>Art</v>
      </c>
      <c r="V200" s="8" t="s">
        <v>712</v>
      </c>
    </row>
    <row r="201" spans="1:22">
      <c r="A201" s="8" t="s">
        <v>713</v>
      </c>
      <c r="B201" s="8">
        <f t="shared" si="30"/>
        <v>1</v>
      </c>
      <c r="C201" s="8" t="str">
        <f t="shared" si="31"/>
        <v>Unique</v>
      </c>
      <c r="D201" s="9">
        <v>45363</v>
      </c>
      <c r="E201" s="8">
        <f t="shared" si="32"/>
        <v>266</v>
      </c>
      <c r="F201" s="10">
        <v>45629</v>
      </c>
      <c r="G201" s="8" t="s">
        <v>714</v>
      </c>
      <c r="H201" s="8" t="s">
        <v>116</v>
      </c>
      <c r="I201" s="8" t="str">
        <f t="shared" si="39"/>
        <v>Rahul Verma</v>
      </c>
      <c r="J201" s="8" t="s">
        <v>93</v>
      </c>
      <c r="K201" s="8" t="str">
        <f t="shared" si="33"/>
        <v>Home Office</v>
      </c>
      <c r="L201" s="8" t="s">
        <v>36</v>
      </c>
      <c r="M201" s="8" t="str">
        <f t="shared" si="34"/>
        <v>East</v>
      </c>
      <c r="N201" s="8" t="s">
        <v>143</v>
      </c>
      <c r="O201" s="8" t="str">
        <f t="shared" si="35"/>
        <v>Bihar</v>
      </c>
      <c r="P201" s="8" t="s">
        <v>144</v>
      </c>
      <c r="Q201" s="8" t="str">
        <f t="shared" si="36"/>
        <v>Patna</v>
      </c>
      <c r="R201" s="8" t="s">
        <v>72</v>
      </c>
      <c r="S201" s="8" t="str">
        <f t="shared" si="37"/>
        <v>Technology</v>
      </c>
      <c r="T201" s="8" t="s">
        <v>273</v>
      </c>
      <c r="U201" s="8" t="str">
        <f t="shared" si="38"/>
        <v>Machines</v>
      </c>
      <c r="V201" s="8" t="s">
        <v>715</v>
      </c>
    </row>
    <row r="202" spans="1:22">
      <c r="A202" s="8" t="s">
        <v>716</v>
      </c>
      <c r="B202" s="8">
        <f t="shared" si="30"/>
        <v>1</v>
      </c>
      <c r="C202" s="8" t="str">
        <f t="shared" si="31"/>
        <v>Unique</v>
      </c>
      <c r="D202" s="9">
        <v>45835</v>
      </c>
      <c r="E202" s="8">
        <f t="shared" si="32"/>
        <v>-51</v>
      </c>
      <c r="F202" s="10">
        <v>45784</v>
      </c>
      <c r="G202" s="8" t="s">
        <v>717</v>
      </c>
      <c r="H202" s="8" t="s">
        <v>112</v>
      </c>
      <c r="I202" s="8" t="str">
        <f t="shared" si="39"/>
        <v>Priya Menon</v>
      </c>
      <c r="J202" s="8" t="s">
        <v>35</v>
      </c>
      <c r="K202" s="8" t="str">
        <f t="shared" si="33"/>
        <v>Small Business</v>
      </c>
      <c r="L202" s="8" t="s">
        <v>23</v>
      </c>
      <c r="M202" s="8" t="str">
        <f t="shared" si="34"/>
        <v>North</v>
      </c>
      <c r="N202" s="8" t="s">
        <v>24</v>
      </c>
      <c r="O202" s="8" t="str">
        <f t="shared" si="35"/>
        <v>Rajasthan</v>
      </c>
      <c r="P202" s="8" t="s">
        <v>25</v>
      </c>
      <c r="Q202" s="8" t="str">
        <f t="shared" si="36"/>
        <v>Jaipur</v>
      </c>
      <c r="R202" s="8" t="s">
        <v>72</v>
      </c>
      <c r="S202" s="8" t="str">
        <f t="shared" si="37"/>
        <v>Technology</v>
      </c>
      <c r="T202" s="8" t="s">
        <v>78</v>
      </c>
      <c r="U202" s="8" t="str">
        <f t="shared" si="38"/>
        <v>Copiers</v>
      </c>
      <c r="V202" s="8" t="s">
        <v>718</v>
      </c>
    </row>
    <row r="203" spans="1:22">
      <c r="A203" s="8" t="s">
        <v>719</v>
      </c>
      <c r="B203" s="8">
        <f t="shared" si="30"/>
        <v>1</v>
      </c>
      <c r="C203" s="8" t="str">
        <f t="shared" si="31"/>
        <v>Unique</v>
      </c>
      <c r="D203" s="9">
        <v>45864</v>
      </c>
      <c r="E203" s="8">
        <f t="shared" si="32"/>
        <v>8</v>
      </c>
      <c r="F203" s="10">
        <v>45872</v>
      </c>
      <c r="G203" s="8" t="s">
        <v>720</v>
      </c>
      <c r="H203" s="8" t="s">
        <v>69</v>
      </c>
      <c r="I203" s="8" t="str">
        <f t="shared" si="39"/>
        <v>Vikram Iyer</v>
      </c>
      <c r="J203" s="8" t="s">
        <v>22</v>
      </c>
      <c r="K203" s="8" t="str">
        <f t="shared" si="33"/>
        <v>Consumer</v>
      </c>
      <c r="L203" s="8" t="s">
        <v>61</v>
      </c>
      <c r="M203" s="8" t="str">
        <f t="shared" si="34"/>
        <v>West</v>
      </c>
      <c r="N203" s="8" t="s">
        <v>70</v>
      </c>
      <c r="O203" s="8" t="str">
        <f t="shared" si="35"/>
        <v>Madhya Pradesh</v>
      </c>
      <c r="P203" s="8" t="s">
        <v>71</v>
      </c>
      <c r="Q203" s="8" t="str">
        <f t="shared" si="36"/>
        <v>Indore</v>
      </c>
      <c r="R203" s="8" t="s">
        <v>26</v>
      </c>
      <c r="S203" s="8" t="str">
        <f t="shared" si="37"/>
        <v>Office Supplies</v>
      </c>
      <c r="T203" s="8" t="s">
        <v>89</v>
      </c>
      <c r="U203" s="8" t="str">
        <f t="shared" si="38"/>
        <v>Labels</v>
      </c>
      <c r="V203" s="8" t="s">
        <v>721</v>
      </c>
    </row>
    <row r="204" spans="1:22">
      <c r="A204" s="8" t="s">
        <v>722</v>
      </c>
      <c r="B204" s="8">
        <f t="shared" si="30"/>
        <v>1</v>
      </c>
      <c r="C204" s="8" t="str">
        <f t="shared" si="31"/>
        <v>Unique</v>
      </c>
      <c r="D204" s="9">
        <v>45744</v>
      </c>
      <c r="E204" s="8">
        <f t="shared" si="32"/>
        <v>0</v>
      </c>
      <c r="F204" s="10">
        <v>45744</v>
      </c>
      <c r="G204" s="8" t="s">
        <v>723</v>
      </c>
      <c r="H204" s="8" t="s">
        <v>130</v>
      </c>
      <c r="I204" s="8" t="str">
        <f t="shared" si="39"/>
        <v>Sneha Kapoor</v>
      </c>
      <c r="J204" s="8" t="s">
        <v>88</v>
      </c>
      <c r="K204" s="8" t="str">
        <f t="shared" si="33"/>
        <v>Corporate</v>
      </c>
      <c r="L204" s="8" t="s">
        <v>61</v>
      </c>
      <c r="M204" s="8" t="str">
        <f t="shared" si="34"/>
        <v>West</v>
      </c>
      <c r="N204" s="8" t="s">
        <v>188</v>
      </c>
      <c r="O204" s="8" t="str">
        <f t="shared" si="35"/>
        <v>Goa</v>
      </c>
      <c r="P204" s="8" t="s">
        <v>189</v>
      </c>
      <c r="Q204" s="8" t="str">
        <f t="shared" si="36"/>
        <v>Panaji</v>
      </c>
      <c r="R204" s="8" t="s">
        <v>72</v>
      </c>
      <c r="S204" s="8" t="str">
        <f t="shared" si="37"/>
        <v>Technology</v>
      </c>
      <c r="T204" s="8" t="s">
        <v>73</v>
      </c>
      <c r="U204" s="8" t="str">
        <f t="shared" si="38"/>
        <v>Accessories</v>
      </c>
      <c r="V204" s="8" t="s">
        <v>724</v>
      </c>
    </row>
    <row r="205" spans="1:22">
      <c r="A205" s="8" t="s">
        <v>725</v>
      </c>
      <c r="B205" s="8">
        <f t="shared" si="30"/>
        <v>1</v>
      </c>
      <c r="C205" s="8" t="str">
        <f t="shared" si="31"/>
        <v>Unique</v>
      </c>
      <c r="D205" s="9">
        <v>45379</v>
      </c>
      <c r="E205" s="8">
        <f t="shared" si="32"/>
        <v>2</v>
      </c>
      <c r="F205" s="10">
        <v>45381</v>
      </c>
      <c r="G205" s="8" t="s">
        <v>726</v>
      </c>
      <c r="H205" s="8" t="s">
        <v>130</v>
      </c>
      <c r="I205" s="8" t="str">
        <f t="shared" si="39"/>
        <v>Sneha Kapoor</v>
      </c>
      <c r="J205" s="8" t="s">
        <v>88</v>
      </c>
      <c r="K205" s="8" t="str">
        <f t="shared" si="33"/>
        <v>Corporate</v>
      </c>
      <c r="L205" s="8" t="s">
        <v>61</v>
      </c>
      <c r="M205" s="8" t="str">
        <f t="shared" si="34"/>
        <v>West</v>
      </c>
      <c r="N205" s="8" t="s">
        <v>24</v>
      </c>
      <c r="O205" s="8" t="str">
        <f t="shared" si="35"/>
        <v>Rajasthan</v>
      </c>
      <c r="P205" s="8" t="s">
        <v>107</v>
      </c>
      <c r="Q205" s="8" t="str">
        <f t="shared" si="36"/>
        <v>Udaipur</v>
      </c>
      <c r="R205" s="8" t="s">
        <v>72</v>
      </c>
      <c r="S205" s="8" t="str">
        <f t="shared" si="37"/>
        <v>Technology</v>
      </c>
      <c r="T205" s="8" t="s">
        <v>73</v>
      </c>
      <c r="U205" s="8" t="str">
        <f t="shared" si="38"/>
        <v>Accessories</v>
      </c>
      <c r="V205" s="8" t="s">
        <v>727</v>
      </c>
    </row>
    <row r="206" spans="1:22">
      <c r="A206" s="8" t="s">
        <v>728</v>
      </c>
      <c r="B206" s="8">
        <f t="shared" si="30"/>
        <v>1</v>
      </c>
      <c r="C206" s="8" t="str">
        <f t="shared" si="31"/>
        <v>Unique</v>
      </c>
      <c r="D206" s="9">
        <v>45858</v>
      </c>
      <c r="E206" s="8">
        <f t="shared" si="32"/>
        <v>3</v>
      </c>
      <c r="F206" s="10">
        <v>45861</v>
      </c>
      <c r="G206" s="8" t="s">
        <v>729</v>
      </c>
      <c r="H206" s="8" t="s">
        <v>34</v>
      </c>
      <c r="I206" s="8" t="str">
        <f t="shared" si="39"/>
        <v>Mira Das</v>
      </c>
      <c r="J206" s="8" t="s">
        <v>93</v>
      </c>
      <c r="K206" s="8" t="str">
        <f t="shared" si="33"/>
        <v>Home Office</v>
      </c>
      <c r="L206" s="8" t="s">
        <v>36</v>
      </c>
      <c r="M206" s="8" t="str">
        <f t="shared" si="34"/>
        <v>East</v>
      </c>
      <c r="N206" s="8" t="s">
        <v>97</v>
      </c>
      <c r="O206" s="8" t="str">
        <f t="shared" si="35"/>
        <v>West Bengal</v>
      </c>
      <c r="P206" s="8" t="s">
        <v>98</v>
      </c>
      <c r="Q206" s="8" t="str">
        <f t="shared" si="36"/>
        <v>Kolkata</v>
      </c>
      <c r="R206" s="8" t="s">
        <v>39</v>
      </c>
      <c r="S206" s="8" t="str">
        <f t="shared" si="37"/>
        <v>Furniture</v>
      </c>
      <c r="T206" s="8" t="s">
        <v>40</v>
      </c>
      <c r="U206" s="8" t="str">
        <f t="shared" si="38"/>
        <v>Tables</v>
      </c>
      <c r="V206" s="8" t="s">
        <v>730</v>
      </c>
    </row>
    <row r="207" spans="1:22">
      <c r="A207" s="8" t="s">
        <v>731</v>
      </c>
      <c r="B207" s="8">
        <f t="shared" si="30"/>
        <v>1</v>
      </c>
      <c r="C207" s="8" t="str">
        <f t="shared" si="31"/>
        <v>Unique</v>
      </c>
      <c r="D207" s="9">
        <v>45768</v>
      </c>
      <c r="E207" s="8">
        <f t="shared" si="32"/>
        <v>5</v>
      </c>
      <c r="F207" s="10">
        <v>45773</v>
      </c>
      <c r="G207" s="8" t="s">
        <v>732</v>
      </c>
      <c r="H207" s="8" t="s">
        <v>60</v>
      </c>
      <c r="I207" s="8" t="str">
        <f t="shared" si="39"/>
        <v>Ananya Rao</v>
      </c>
      <c r="J207" s="8" t="s">
        <v>22</v>
      </c>
      <c r="K207" s="8" t="str">
        <f t="shared" si="33"/>
        <v>Consumer</v>
      </c>
      <c r="L207" s="8" t="s">
        <v>61</v>
      </c>
      <c r="M207" s="8" t="str">
        <f t="shared" si="34"/>
        <v>West</v>
      </c>
      <c r="N207" s="8" t="s">
        <v>62</v>
      </c>
      <c r="O207" s="8" t="str">
        <f t="shared" si="35"/>
        <v>Maharashtra</v>
      </c>
      <c r="P207" s="8" t="s">
        <v>63</v>
      </c>
      <c r="Q207" s="8" t="str">
        <f t="shared" si="36"/>
        <v>Mumbai</v>
      </c>
      <c r="R207" s="8" t="s">
        <v>614</v>
      </c>
      <c r="S207" s="8" t="str">
        <f t="shared" si="37"/>
        <v>Office Supplies</v>
      </c>
      <c r="T207" s="8" t="s">
        <v>89</v>
      </c>
      <c r="U207" s="8" t="str">
        <f t="shared" si="38"/>
        <v>Labels</v>
      </c>
      <c r="V207" s="8" t="s">
        <v>733</v>
      </c>
    </row>
    <row r="208" spans="1:22">
      <c r="A208" s="8" t="s">
        <v>734</v>
      </c>
      <c r="B208" s="8">
        <f t="shared" si="30"/>
        <v>1</v>
      </c>
      <c r="C208" s="8" t="str">
        <f t="shared" si="31"/>
        <v>Unique</v>
      </c>
      <c r="D208" s="9">
        <v>45795</v>
      </c>
      <c r="E208" s="8">
        <f t="shared" si="32"/>
        <v>2</v>
      </c>
      <c r="F208" s="10">
        <v>45797</v>
      </c>
      <c r="G208" s="8" t="s">
        <v>735</v>
      </c>
      <c r="H208" s="8" t="s">
        <v>160</v>
      </c>
      <c r="I208" s="8" t="str">
        <f t="shared" si="39"/>
        <v>Diya Patel</v>
      </c>
      <c r="J208" s="8" t="s">
        <v>35</v>
      </c>
      <c r="K208" s="8" t="str">
        <f t="shared" si="33"/>
        <v>Small Business</v>
      </c>
      <c r="L208" s="8" t="s">
        <v>23</v>
      </c>
      <c r="M208" s="8" t="str">
        <f t="shared" si="34"/>
        <v>North</v>
      </c>
      <c r="N208" s="8" t="s">
        <v>134</v>
      </c>
      <c r="O208" s="8" t="str">
        <f t="shared" si="35"/>
        <v>Uttar Pradesh</v>
      </c>
      <c r="P208" s="8" t="s">
        <v>135</v>
      </c>
      <c r="Q208" s="8" t="str">
        <f t="shared" si="36"/>
        <v>Noida</v>
      </c>
      <c r="R208" s="8" t="s">
        <v>39</v>
      </c>
      <c r="S208" s="8" t="str">
        <f t="shared" si="37"/>
        <v>Furniture</v>
      </c>
      <c r="T208" s="8" t="s">
        <v>55</v>
      </c>
      <c r="U208" s="8" t="str">
        <f t="shared" si="38"/>
        <v>Furnishings</v>
      </c>
      <c r="V208" s="8" t="s">
        <v>736</v>
      </c>
    </row>
    <row r="209" spans="1:22">
      <c r="A209" s="8" t="s">
        <v>737</v>
      </c>
      <c r="B209" s="8">
        <f t="shared" si="30"/>
        <v>1</v>
      </c>
      <c r="C209" s="8" t="str">
        <f t="shared" si="31"/>
        <v>Unique</v>
      </c>
      <c r="D209" s="9">
        <v>45572</v>
      </c>
      <c r="E209" s="8">
        <f t="shared" si="32"/>
        <v>-83</v>
      </c>
      <c r="F209" s="10">
        <v>45489</v>
      </c>
      <c r="G209" s="8" t="s">
        <v>738</v>
      </c>
      <c r="H209" s="8" t="s">
        <v>126</v>
      </c>
      <c r="I209" s="8" t="str">
        <f t="shared" si="39"/>
        <v>Aarav Sharma</v>
      </c>
      <c r="J209" s="8" t="s">
        <v>93</v>
      </c>
      <c r="K209" s="8" t="str">
        <f t="shared" si="33"/>
        <v>Home Office</v>
      </c>
      <c r="L209" s="8" t="s">
        <v>61</v>
      </c>
      <c r="M209" s="8" t="str">
        <f t="shared" si="34"/>
        <v>West</v>
      </c>
      <c r="N209" s="8" t="s">
        <v>188</v>
      </c>
      <c r="O209" s="8" t="str">
        <f t="shared" si="35"/>
        <v>Goa</v>
      </c>
      <c r="P209" s="8" t="s">
        <v>189</v>
      </c>
      <c r="Q209" s="8" t="str">
        <f t="shared" si="36"/>
        <v>Panaji</v>
      </c>
      <c r="R209" s="8" t="s">
        <v>39</v>
      </c>
      <c r="S209" s="8" t="str">
        <f t="shared" si="37"/>
        <v>Furniture</v>
      </c>
      <c r="T209" s="8" t="s">
        <v>156</v>
      </c>
      <c r="U209" s="8" t="str">
        <f t="shared" si="38"/>
        <v>Bookcases</v>
      </c>
      <c r="V209" s="8" t="s">
        <v>739</v>
      </c>
    </row>
    <row r="210" spans="1:22">
      <c r="A210" s="8" t="s">
        <v>740</v>
      </c>
      <c r="B210" s="8">
        <f t="shared" si="30"/>
        <v>1</v>
      </c>
      <c r="C210" s="8" t="str">
        <f t="shared" si="31"/>
        <v>Unique</v>
      </c>
      <c r="D210" s="9">
        <v>45837</v>
      </c>
      <c r="E210" s="8">
        <f t="shared" si="32"/>
        <v>-53</v>
      </c>
      <c r="F210" s="10">
        <v>45784</v>
      </c>
      <c r="G210" s="8" t="s">
        <v>741</v>
      </c>
      <c r="H210" s="8" t="s">
        <v>160</v>
      </c>
      <c r="I210" s="8" t="str">
        <f t="shared" si="39"/>
        <v>Diya Patel</v>
      </c>
      <c r="J210" s="8" t="s">
        <v>22</v>
      </c>
      <c r="K210" s="8" t="str">
        <f t="shared" si="33"/>
        <v>Consumer</v>
      </c>
      <c r="L210" s="8" t="s">
        <v>23</v>
      </c>
      <c r="M210" s="8" t="str">
        <f t="shared" si="34"/>
        <v>North</v>
      </c>
      <c r="N210" s="8" t="s">
        <v>120</v>
      </c>
      <c r="O210" s="8" t="str">
        <f t="shared" si="35"/>
        <v>Punjab</v>
      </c>
      <c r="P210" s="8" t="s">
        <v>121</v>
      </c>
      <c r="Q210" s="8" t="str">
        <f t="shared" si="36"/>
        <v>Ludhiana</v>
      </c>
      <c r="R210" s="8" t="s">
        <v>39</v>
      </c>
      <c r="S210" s="8" t="str">
        <f t="shared" si="37"/>
        <v>Furniture</v>
      </c>
      <c r="T210" s="8" t="s">
        <v>64</v>
      </c>
      <c r="U210" s="8" t="str">
        <f t="shared" si="38"/>
        <v>Chairs</v>
      </c>
      <c r="V210" s="8" t="s">
        <v>742</v>
      </c>
    </row>
    <row r="211" spans="1:22">
      <c r="A211" s="8" t="s">
        <v>743</v>
      </c>
      <c r="B211" s="8">
        <f t="shared" si="30"/>
        <v>1</v>
      </c>
      <c r="C211" s="8" t="str">
        <f t="shared" si="31"/>
        <v>Unique</v>
      </c>
      <c r="D211" s="9">
        <v>45882</v>
      </c>
      <c r="E211" s="8">
        <f t="shared" si="32"/>
        <v>1</v>
      </c>
      <c r="F211" s="10">
        <v>45883</v>
      </c>
      <c r="G211" s="8" t="s">
        <v>744</v>
      </c>
      <c r="H211" s="8" t="s">
        <v>139</v>
      </c>
      <c r="I211" s="8" t="str">
        <f t="shared" si="39"/>
        <v>Rohan Mehta</v>
      </c>
      <c r="J211" s="8" t="s">
        <v>35</v>
      </c>
      <c r="K211" s="8" t="str">
        <f t="shared" si="33"/>
        <v>Small Business</v>
      </c>
      <c r="L211" s="8" t="s">
        <v>52</v>
      </c>
      <c r="M211" s="8" t="str">
        <f t="shared" si="34"/>
        <v>South</v>
      </c>
      <c r="N211" s="8" t="s">
        <v>82</v>
      </c>
      <c r="O211" s="8" t="str">
        <f t="shared" si="35"/>
        <v>Andhra Pradesh</v>
      </c>
      <c r="P211" s="8" t="s">
        <v>83</v>
      </c>
      <c r="Q211" s="8" t="str">
        <f t="shared" si="36"/>
        <v>Vijayawada</v>
      </c>
      <c r="R211" s="8" t="s">
        <v>26</v>
      </c>
      <c r="S211" s="8" t="str">
        <f t="shared" si="37"/>
        <v>Office Supplies</v>
      </c>
      <c r="T211" s="8" t="s">
        <v>27</v>
      </c>
      <c r="U211" s="8" t="str">
        <f t="shared" si="38"/>
        <v>Paper</v>
      </c>
      <c r="V211" s="8" t="s">
        <v>745</v>
      </c>
    </row>
    <row r="212" spans="1:22">
      <c r="A212" s="8" t="s">
        <v>746</v>
      </c>
      <c r="B212" s="8">
        <f t="shared" si="30"/>
        <v>1</v>
      </c>
      <c r="C212" s="8" t="str">
        <f t="shared" si="31"/>
        <v>Unique</v>
      </c>
      <c r="D212" s="9">
        <v>45366</v>
      </c>
      <c r="E212" s="8">
        <f t="shared" si="32"/>
        <v>3</v>
      </c>
      <c r="F212" s="10">
        <v>45369</v>
      </c>
      <c r="G212" s="8" t="s">
        <v>747</v>
      </c>
      <c r="H212" s="8" t="s">
        <v>263</v>
      </c>
      <c r="I212" s="8" t="str">
        <f t="shared" si="39"/>
        <v>Kabir Singh</v>
      </c>
      <c r="J212" s="8" t="s">
        <v>93</v>
      </c>
      <c r="K212" s="8" t="str">
        <f t="shared" si="33"/>
        <v>Home Office</v>
      </c>
      <c r="L212" s="8" t="s">
        <v>52</v>
      </c>
      <c r="M212" s="8" t="str">
        <f t="shared" si="34"/>
        <v>South</v>
      </c>
      <c r="N212" s="8" t="s">
        <v>173</v>
      </c>
      <c r="O212" s="8" t="str">
        <f t="shared" si="35"/>
        <v>Karnataka</v>
      </c>
      <c r="P212" s="8" t="s">
        <v>174</v>
      </c>
      <c r="Q212" s="8" t="str">
        <f t="shared" si="36"/>
        <v>Bengaluru</v>
      </c>
      <c r="R212" s="8" t="s">
        <v>72</v>
      </c>
      <c r="S212" s="8" t="str">
        <f t="shared" si="37"/>
        <v>Technology</v>
      </c>
      <c r="T212" s="8" t="s">
        <v>273</v>
      </c>
      <c r="U212" s="8" t="str">
        <f t="shared" si="38"/>
        <v>Machines</v>
      </c>
      <c r="V212" s="8" t="s">
        <v>748</v>
      </c>
    </row>
    <row r="213" spans="1:22">
      <c r="A213" s="8" t="s">
        <v>749</v>
      </c>
      <c r="B213" s="8">
        <f t="shared" si="30"/>
        <v>1</v>
      </c>
      <c r="C213" s="8" t="str">
        <f t="shared" si="31"/>
        <v>Unique</v>
      </c>
      <c r="D213" s="9">
        <v>45428</v>
      </c>
      <c r="E213" s="8">
        <f t="shared" si="32"/>
        <v>1</v>
      </c>
      <c r="F213" s="10">
        <v>45429</v>
      </c>
      <c r="G213" s="8" t="s">
        <v>750</v>
      </c>
      <c r="H213" s="8" t="s">
        <v>139</v>
      </c>
      <c r="I213" s="8" t="str">
        <f t="shared" si="39"/>
        <v>Rohan Mehta</v>
      </c>
      <c r="J213" s="8" t="s">
        <v>88</v>
      </c>
      <c r="K213" s="8" t="str">
        <f t="shared" si="33"/>
        <v>Corporate</v>
      </c>
      <c r="L213" s="8" t="s">
        <v>751</v>
      </c>
      <c r="M213" s="8" t="str">
        <f t="shared" si="34"/>
        <v>East</v>
      </c>
      <c r="N213" s="8" t="s">
        <v>97</v>
      </c>
      <c r="O213" s="8" t="str">
        <f t="shared" si="35"/>
        <v>West Bengal</v>
      </c>
      <c r="P213" s="8" t="s">
        <v>98</v>
      </c>
      <c r="Q213" s="8" t="str">
        <f t="shared" si="36"/>
        <v>Kolkata</v>
      </c>
      <c r="R213" s="8" t="s">
        <v>72</v>
      </c>
      <c r="S213" s="8" t="str">
        <f t="shared" si="37"/>
        <v>Technology</v>
      </c>
      <c r="T213" s="8" t="s">
        <v>78</v>
      </c>
      <c r="U213" s="8" t="str">
        <f t="shared" si="38"/>
        <v>Copiers</v>
      </c>
      <c r="V213" s="8" t="s">
        <v>752</v>
      </c>
    </row>
    <row r="214" spans="1:22">
      <c r="A214" s="8" t="s">
        <v>753</v>
      </c>
      <c r="B214" s="8">
        <f t="shared" si="30"/>
        <v>1</v>
      </c>
      <c r="C214" s="8" t="str">
        <f t="shared" si="31"/>
        <v>Unique</v>
      </c>
      <c r="D214" s="9">
        <v>45556</v>
      </c>
      <c r="E214" s="8">
        <f t="shared" si="32"/>
        <v>0</v>
      </c>
      <c r="F214" s="10">
        <v>45556</v>
      </c>
      <c r="G214" s="8" t="s">
        <v>754</v>
      </c>
      <c r="H214" s="8" t="s">
        <v>60</v>
      </c>
      <c r="I214" s="8" t="str">
        <f t="shared" si="39"/>
        <v>Ananya Rao</v>
      </c>
      <c r="J214" s="8" t="s">
        <v>35</v>
      </c>
      <c r="K214" s="8" t="str">
        <f t="shared" si="33"/>
        <v>Small Business</v>
      </c>
      <c r="L214" s="8" t="s">
        <v>36</v>
      </c>
      <c r="M214" s="8" t="str">
        <f t="shared" si="34"/>
        <v>East</v>
      </c>
      <c r="N214" s="8" t="s">
        <v>37</v>
      </c>
      <c r="O214" s="8" t="str">
        <f t="shared" si="35"/>
        <v>Odisha</v>
      </c>
      <c r="P214" s="8" t="s">
        <v>38</v>
      </c>
      <c r="Q214" s="8" t="str">
        <f t="shared" si="36"/>
        <v>Bhubaneswar</v>
      </c>
      <c r="R214" s="8" t="s">
        <v>72</v>
      </c>
      <c r="S214" s="8" t="str">
        <f t="shared" si="37"/>
        <v>Technology</v>
      </c>
      <c r="T214" s="8" t="s">
        <v>169</v>
      </c>
      <c r="U214" s="8" t="str">
        <f t="shared" si="38"/>
        <v>Phones</v>
      </c>
      <c r="V214" s="8" t="s">
        <v>755</v>
      </c>
    </row>
    <row r="215" spans="1:22">
      <c r="A215" s="8" t="s">
        <v>756</v>
      </c>
      <c r="B215" s="8">
        <f t="shared" si="30"/>
        <v>1</v>
      </c>
      <c r="C215" s="8" t="str">
        <f t="shared" si="31"/>
        <v>Unique</v>
      </c>
      <c r="D215" s="9">
        <v>45427</v>
      </c>
      <c r="E215" s="8">
        <f t="shared" si="32"/>
        <v>6</v>
      </c>
      <c r="F215" s="10">
        <v>45433</v>
      </c>
      <c r="G215" s="8" t="s">
        <v>757</v>
      </c>
      <c r="H215" s="8" t="s">
        <v>45</v>
      </c>
      <c r="I215" s="8" t="str">
        <f t="shared" si="39"/>
        <v>Isha Nair</v>
      </c>
      <c r="J215" s="8" t="s">
        <v>35</v>
      </c>
      <c r="K215" s="8" t="str">
        <f t="shared" si="33"/>
        <v>Small Business</v>
      </c>
      <c r="L215" s="8" t="s">
        <v>36</v>
      </c>
      <c r="M215" s="8" t="str">
        <f t="shared" si="34"/>
        <v>East</v>
      </c>
      <c r="N215" s="8" t="s">
        <v>143</v>
      </c>
      <c r="O215" s="8" t="str">
        <f t="shared" si="35"/>
        <v>Bihar</v>
      </c>
      <c r="P215" s="8" t="s">
        <v>144</v>
      </c>
      <c r="Q215" s="8" t="str">
        <f t="shared" si="36"/>
        <v>Patna</v>
      </c>
      <c r="R215" s="8" t="s">
        <v>72</v>
      </c>
      <c r="S215" s="8" t="str">
        <f t="shared" si="37"/>
        <v>Technology</v>
      </c>
      <c r="T215" s="8" t="s">
        <v>73</v>
      </c>
      <c r="U215" s="8" t="str">
        <f t="shared" si="38"/>
        <v>Accessories</v>
      </c>
      <c r="V215" s="8" t="s">
        <v>758</v>
      </c>
    </row>
    <row r="216" spans="1:22">
      <c r="A216" s="8" t="s">
        <v>759</v>
      </c>
      <c r="B216" s="8">
        <f t="shared" si="30"/>
        <v>1</v>
      </c>
      <c r="C216" s="8" t="str">
        <f t="shared" si="31"/>
        <v>Unique</v>
      </c>
      <c r="D216" s="9">
        <v>45368</v>
      </c>
      <c r="E216" s="8">
        <f t="shared" si="32"/>
        <v>6</v>
      </c>
      <c r="F216" s="10">
        <v>45374</v>
      </c>
      <c r="G216" s="8" t="s">
        <v>760</v>
      </c>
      <c r="H216" s="8" t="s">
        <v>116</v>
      </c>
      <c r="I216" s="8" t="str">
        <f t="shared" si="39"/>
        <v>Rahul Verma</v>
      </c>
      <c r="J216" s="8" t="s">
        <v>22</v>
      </c>
      <c r="K216" s="8" t="str">
        <f t="shared" si="33"/>
        <v>Consumer</v>
      </c>
      <c r="L216" s="8" t="s">
        <v>23</v>
      </c>
      <c r="M216" s="8" t="str">
        <f t="shared" si="34"/>
        <v>North</v>
      </c>
      <c r="N216" s="8" t="s">
        <v>235</v>
      </c>
      <c r="O216" s="8" t="str">
        <f t="shared" si="35"/>
        <v>Haryana</v>
      </c>
      <c r="P216" s="8" t="s">
        <v>236</v>
      </c>
      <c r="Q216" s="8" t="str">
        <f t="shared" si="36"/>
        <v>Gurugram</v>
      </c>
      <c r="R216" s="8" t="s">
        <v>72</v>
      </c>
      <c r="S216" s="8" t="str">
        <f t="shared" si="37"/>
        <v>Technology</v>
      </c>
      <c r="T216" s="8" t="s">
        <v>73</v>
      </c>
      <c r="U216" s="8" t="str">
        <f t="shared" si="38"/>
        <v>Accessories</v>
      </c>
      <c r="V216" s="8" t="s">
        <v>761</v>
      </c>
    </row>
    <row r="217" spans="1:22">
      <c r="A217" s="8" t="s">
        <v>762</v>
      </c>
      <c r="B217" s="8">
        <f t="shared" si="30"/>
        <v>1</v>
      </c>
      <c r="C217" s="8" t="str">
        <f t="shared" si="31"/>
        <v>Unique</v>
      </c>
      <c r="D217" s="9">
        <v>45294</v>
      </c>
      <c r="E217" s="8">
        <f t="shared" si="32"/>
        <v>91</v>
      </c>
      <c r="F217" s="10">
        <v>45385</v>
      </c>
      <c r="G217" s="8" t="s">
        <v>763</v>
      </c>
      <c r="H217" s="8" t="s">
        <v>34</v>
      </c>
      <c r="I217" s="8" t="str">
        <f t="shared" si="39"/>
        <v>Mira Das</v>
      </c>
      <c r="J217" s="8" t="s">
        <v>22</v>
      </c>
      <c r="K217" s="8" t="str">
        <f t="shared" si="33"/>
        <v>Consumer</v>
      </c>
      <c r="L217" s="8" t="s">
        <v>61</v>
      </c>
      <c r="M217" s="8" t="str">
        <f t="shared" si="34"/>
        <v>West</v>
      </c>
      <c r="N217" s="8" t="s">
        <v>70</v>
      </c>
      <c r="O217" s="8" t="str">
        <f t="shared" si="35"/>
        <v>Madhya Pradesh</v>
      </c>
      <c r="P217" s="8" t="s">
        <v>71</v>
      </c>
      <c r="Q217" s="8" t="str">
        <f t="shared" si="36"/>
        <v>Indore</v>
      </c>
      <c r="R217" s="8" t="s">
        <v>26</v>
      </c>
      <c r="S217" s="8" t="str">
        <f t="shared" si="37"/>
        <v>Office Supplies</v>
      </c>
      <c r="T217" s="8" t="s">
        <v>27</v>
      </c>
      <c r="U217" s="8" t="str">
        <f t="shared" si="38"/>
        <v>Paper</v>
      </c>
      <c r="V217" s="8" t="s">
        <v>764</v>
      </c>
    </row>
    <row r="218" spans="1:22">
      <c r="A218" s="8" t="s">
        <v>765</v>
      </c>
      <c r="B218" s="8">
        <f t="shared" si="30"/>
        <v>1</v>
      </c>
      <c r="C218" s="8" t="str">
        <f t="shared" si="31"/>
        <v>Unique</v>
      </c>
      <c r="D218" s="9">
        <v>45757</v>
      </c>
      <c r="E218" s="8">
        <f t="shared" si="32"/>
        <v>5</v>
      </c>
      <c r="F218" s="10">
        <v>45762</v>
      </c>
      <c r="G218" s="8" t="s">
        <v>766</v>
      </c>
      <c r="H218" s="8" t="s">
        <v>45</v>
      </c>
      <c r="I218" s="8" t="str">
        <f t="shared" si="39"/>
        <v>Isha Nair</v>
      </c>
      <c r="J218" s="8" t="s">
        <v>22</v>
      </c>
      <c r="K218" s="8" t="str">
        <f t="shared" si="33"/>
        <v>Consumer</v>
      </c>
      <c r="L218" s="8" t="s">
        <v>61</v>
      </c>
      <c r="M218" s="8" t="str">
        <f t="shared" si="34"/>
        <v>West</v>
      </c>
      <c r="N218" s="8" t="s">
        <v>178</v>
      </c>
      <c r="O218" s="8" t="str">
        <f t="shared" si="35"/>
        <v>Gujarat</v>
      </c>
      <c r="P218" s="8" t="s">
        <v>179</v>
      </c>
      <c r="Q218" s="8" t="str">
        <f t="shared" si="36"/>
        <v>Ahmedabad</v>
      </c>
      <c r="R218" s="8" t="s">
        <v>39</v>
      </c>
      <c r="S218" s="8" t="str">
        <f t="shared" si="37"/>
        <v>Furniture</v>
      </c>
      <c r="T218" s="8" t="s">
        <v>40</v>
      </c>
      <c r="U218" s="8" t="str">
        <f t="shared" si="38"/>
        <v>Tables</v>
      </c>
      <c r="V218" s="8" t="s">
        <v>767</v>
      </c>
    </row>
    <row r="219" spans="1:22">
      <c r="A219" s="8" t="s">
        <v>768</v>
      </c>
      <c r="B219" s="8">
        <f t="shared" si="30"/>
        <v>1</v>
      </c>
      <c r="C219" s="8" t="str">
        <f t="shared" si="31"/>
        <v>Unique</v>
      </c>
      <c r="D219" s="9">
        <v>45661</v>
      </c>
      <c r="E219" s="8">
        <f t="shared" si="32"/>
        <v>94</v>
      </c>
      <c r="F219" s="10">
        <v>45755</v>
      </c>
      <c r="G219" s="8" t="s">
        <v>769</v>
      </c>
      <c r="H219" s="8" t="s">
        <v>87</v>
      </c>
      <c r="I219" s="8" t="str">
        <f t="shared" si="39"/>
        <v>Aditi Sen</v>
      </c>
      <c r="J219" s="8" t="s">
        <v>22</v>
      </c>
      <c r="K219" s="8" t="str">
        <f t="shared" si="33"/>
        <v>Consumer</v>
      </c>
      <c r="L219" s="8" t="s">
        <v>36</v>
      </c>
      <c r="M219" s="8" t="str">
        <f t="shared" si="34"/>
        <v>East</v>
      </c>
      <c r="N219" s="8" t="s">
        <v>37</v>
      </c>
      <c r="O219" s="8" t="str">
        <f t="shared" si="35"/>
        <v>Odisha</v>
      </c>
      <c r="P219" s="8" t="s">
        <v>38</v>
      </c>
      <c r="Q219" s="8" t="str">
        <f t="shared" si="36"/>
        <v>Bhubaneswar</v>
      </c>
      <c r="R219" s="8" t="s">
        <v>39</v>
      </c>
      <c r="S219" s="8" t="str">
        <f t="shared" si="37"/>
        <v>Furniture</v>
      </c>
      <c r="T219" s="8" t="s">
        <v>156</v>
      </c>
      <c r="U219" s="8" t="str">
        <f t="shared" si="38"/>
        <v>Bookcases</v>
      </c>
      <c r="V219" s="8" t="s">
        <v>770</v>
      </c>
    </row>
    <row r="220" spans="1:22">
      <c r="A220" s="8" t="s">
        <v>771</v>
      </c>
      <c r="B220" s="8">
        <f t="shared" si="30"/>
        <v>1</v>
      </c>
      <c r="C220" s="8" t="str">
        <f t="shared" si="31"/>
        <v>Unique</v>
      </c>
      <c r="D220" s="9">
        <v>45714</v>
      </c>
      <c r="E220" s="8">
        <f t="shared" si="32"/>
        <v>1</v>
      </c>
      <c r="F220" s="10">
        <v>45715</v>
      </c>
      <c r="G220" s="8" t="s">
        <v>772</v>
      </c>
      <c r="H220" s="8" t="s">
        <v>112</v>
      </c>
      <c r="I220" s="8" t="str">
        <f t="shared" si="39"/>
        <v>Priya Menon</v>
      </c>
      <c r="J220" s="8" t="s">
        <v>88</v>
      </c>
      <c r="K220" s="8" t="str">
        <f t="shared" si="33"/>
        <v>Corporate</v>
      </c>
      <c r="L220" s="8" t="s">
        <v>61</v>
      </c>
      <c r="M220" s="8" t="str">
        <f t="shared" si="34"/>
        <v>West</v>
      </c>
      <c r="N220" s="8" t="s">
        <v>178</v>
      </c>
      <c r="O220" s="8" t="str">
        <f t="shared" si="35"/>
        <v>Gujarat</v>
      </c>
      <c r="P220" s="8" t="s">
        <v>179</v>
      </c>
      <c r="Q220" s="8" t="str">
        <f t="shared" si="36"/>
        <v>Ahmedabad</v>
      </c>
      <c r="R220" s="8" t="s">
        <v>39</v>
      </c>
      <c r="S220" s="8" t="str">
        <f t="shared" si="37"/>
        <v>Furniture</v>
      </c>
      <c r="T220" s="8" t="s">
        <v>156</v>
      </c>
      <c r="U220" s="8" t="str">
        <f t="shared" si="38"/>
        <v>Bookcases</v>
      </c>
      <c r="V220" s="8" t="s">
        <v>773</v>
      </c>
    </row>
    <row r="221" spans="1:22">
      <c r="A221" s="8" t="s">
        <v>774</v>
      </c>
      <c r="B221" s="8">
        <f t="shared" si="30"/>
        <v>1</v>
      </c>
      <c r="C221" s="8" t="str">
        <f t="shared" si="31"/>
        <v>Unique</v>
      </c>
      <c r="D221" s="9">
        <v>45461</v>
      </c>
      <c r="E221" s="8">
        <f t="shared" si="32"/>
        <v>1</v>
      </c>
      <c r="F221" s="10">
        <v>45462</v>
      </c>
      <c r="G221" s="8" t="s">
        <v>775</v>
      </c>
      <c r="H221" s="8" t="s">
        <v>116</v>
      </c>
      <c r="I221" s="8" t="str">
        <f t="shared" si="39"/>
        <v>Rahul Verma</v>
      </c>
      <c r="J221" s="8" t="s">
        <v>22</v>
      </c>
      <c r="K221" s="8" t="str">
        <f t="shared" si="33"/>
        <v>Consumer</v>
      </c>
      <c r="L221" s="8" t="s">
        <v>36</v>
      </c>
      <c r="M221" s="8" t="str">
        <f t="shared" si="34"/>
        <v>East</v>
      </c>
      <c r="N221" s="8" t="s">
        <v>143</v>
      </c>
      <c r="O221" s="8" t="str">
        <f t="shared" si="35"/>
        <v>Bihar</v>
      </c>
      <c r="P221" s="8" t="s">
        <v>144</v>
      </c>
      <c r="Q221" s="8" t="str">
        <f t="shared" si="36"/>
        <v>Patna</v>
      </c>
      <c r="R221" s="8" t="s">
        <v>72</v>
      </c>
      <c r="S221" s="8" t="str">
        <f t="shared" si="37"/>
        <v>Technology</v>
      </c>
      <c r="T221" s="8" t="s">
        <v>273</v>
      </c>
      <c r="U221" s="8" t="str">
        <f t="shared" si="38"/>
        <v>Machines</v>
      </c>
      <c r="V221" s="8" t="s">
        <v>776</v>
      </c>
    </row>
    <row r="222" spans="1:22">
      <c r="A222" s="8" t="s">
        <v>778</v>
      </c>
      <c r="B222" s="8">
        <f t="shared" si="30"/>
        <v>1</v>
      </c>
      <c r="C222" s="8" t="str">
        <f t="shared" si="31"/>
        <v>Unique</v>
      </c>
      <c r="D222" s="9">
        <v>45538</v>
      </c>
      <c r="E222" s="8">
        <f t="shared" si="32"/>
        <v>0</v>
      </c>
      <c r="F222" s="10">
        <v>45538</v>
      </c>
      <c r="G222" s="8" t="s">
        <v>779</v>
      </c>
      <c r="H222" s="8" t="s">
        <v>130</v>
      </c>
      <c r="I222" s="8" t="str">
        <f t="shared" si="39"/>
        <v>Sneha Kapoor</v>
      </c>
      <c r="J222" s="8" t="s">
        <v>22</v>
      </c>
      <c r="K222" s="8" t="str">
        <f t="shared" si="33"/>
        <v>Consumer</v>
      </c>
      <c r="L222" s="8" t="s">
        <v>52</v>
      </c>
      <c r="M222" s="8" t="str">
        <f t="shared" si="34"/>
        <v>South</v>
      </c>
      <c r="N222" s="8" t="s">
        <v>183</v>
      </c>
      <c r="O222" s="8" t="str">
        <f t="shared" si="35"/>
        <v>Kerala</v>
      </c>
      <c r="P222" s="8" t="s">
        <v>184</v>
      </c>
      <c r="Q222" s="8" t="str">
        <f t="shared" si="36"/>
        <v>Kochi</v>
      </c>
      <c r="R222" s="8" t="s">
        <v>26</v>
      </c>
      <c r="S222" s="8" t="str">
        <f t="shared" si="37"/>
        <v>Office Supplies</v>
      </c>
      <c r="T222" s="8" t="s">
        <v>122</v>
      </c>
      <c r="U222" s="8" t="str">
        <f t="shared" si="38"/>
        <v>Storage</v>
      </c>
      <c r="V222" s="8" t="s">
        <v>780</v>
      </c>
    </row>
    <row r="223" spans="1:22">
      <c r="A223" s="8" t="s">
        <v>781</v>
      </c>
      <c r="B223" s="8">
        <f t="shared" si="30"/>
        <v>1</v>
      </c>
      <c r="C223" s="8" t="str">
        <f t="shared" si="31"/>
        <v>Unique</v>
      </c>
      <c r="D223" s="9">
        <v>45992</v>
      </c>
      <c r="E223" s="8">
        <f t="shared" si="32"/>
        <v>-320</v>
      </c>
      <c r="F223" s="10">
        <v>45672</v>
      </c>
      <c r="G223" s="8" t="s">
        <v>782</v>
      </c>
      <c r="H223" s="8" t="s">
        <v>34</v>
      </c>
      <c r="I223" s="8" t="str">
        <f t="shared" si="39"/>
        <v>Mira Das</v>
      </c>
      <c r="J223" s="8" t="s">
        <v>88</v>
      </c>
      <c r="K223" s="8" t="str">
        <f t="shared" si="33"/>
        <v>Corporate</v>
      </c>
      <c r="L223" s="8" t="s">
        <v>52</v>
      </c>
      <c r="M223" s="8" t="str">
        <f t="shared" si="34"/>
        <v>South</v>
      </c>
      <c r="N223" s="8" t="s">
        <v>173</v>
      </c>
      <c r="O223" s="8" t="str">
        <f t="shared" si="35"/>
        <v>Karnataka</v>
      </c>
      <c r="P223" s="8" t="s">
        <v>174</v>
      </c>
      <c r="Q223" s="8" t="str">
        <f t="shared" si="36"/>
        <v>Bengaluru</v>
      </c>
      <c r="R223" s="8" t="s">
        <v>39</v>
      </c>
      <c r="S223" s="8" t="str">
        <f t="shared" si="37"/>
        <v>Furniture</v>
      </c>
      <c r="T223" s="8" t="s">
        <v>64</v>
      </c>
      <c r="U223" s="8" t="str">
        <f t="shared" si="38"/>
        <v>Chairs</v>
      </c>
      <c r="V223" s="8" t="s">
        <v>783</v>
      </c>
    </row>
    <row r="224" spans="1:22">
      <c r="A224" s="8" t="s">
        <v>784</v>
      </c>
      <c r="B224" s="8">
        <f t="shared" si="30"/>
        <v>1</v>
      </c>
      <c r="C224" s="8" t="str">
        <f t="shared" si="31"/>
        <v>Unique</v>
      </c>
      <c r="D224" s="9">
        <v>45776</v>
      </c>
      <c r="E224" s="8">
        <f t="shared" si="32"/>
        <v>-83</v>
      </c>
      <c r="F224" s="10">
        <v>45693</v>
      </c>
      <c r="G224" s="8" t="s">
        <v>785</v>
      </c>
      <c r="H224" s="8" t="s">
        <v>69</v>
      </c>
      <c r="I224" s="8" t="str">
        <f t="shared" si="39"/>
        <v>Vikram Iyer</v>
      </c>
      <c r="J224" s="8" t="s">
        <v>35</v>
      </c>
      <c r="K224" s="8" t="str">
        <f t="shared" si="33"/>
        <v>Small Business</v>
      </c>
      <c r="L224" s="8" t="s">
        <v>61</v>
      </c>
      <c r="M224" s="8" t="str">
        <f t="shared" si="34"/>
        <v>West</v>
      </c>
      <c r="N224" s="8" t="s">
        <v>188</v>
      </c>
      <c r="O224" s="8" t="str">
        <f t="shared" si="35"/>
        <v>Goa</v>
      </c>
      <c r="P224" s="8" t="s">
        <v>189</v>
      </c>
      <c r="Q224" s="8" t="str">
        <f t="shared" si="36"/>
        <v>Panaji</v>
      </c>
      <c r="R224" s="8" t="s">
        <v>26</v>
      </c>
      <c r="S224" s="8" t="str">
        <f t="shared" si="37"/>
        <v>Office Supplies</v>
      </c>
      <c r="T224" s="8" t="s">
        <v>122</v>
      </c>
      <c r="U224" s="8" t="str">
        <f t="shared" si="38"/>
        <v>Storage</v>
      </c>
      <c r="V224" s="8" t="s">
        <v>786</v>
      </c>
    </row>
    <row r="225" spans="1:22">
      <c r="A225" s="8" t="s">
        <v>787</v>
      </c>
      <c r="B225" s="8">
        <f t="shared" si="30"/>
        <v>1</v>
      </c>
      <c r="C225" s="8" t="str">
        <f t="shared" si="31"/>
        <v>Unique</v>
      </c>
      <c r="D225" s="9">
        <v>45707</v>
      </c>
      <c r="E225" s="8">
        <f t="shared" si="32"/>
        <v>7</v>
      </c>
      <c r="F225" s="10">
        <v>45714</v>
      </c>
      <c r="G225" s="8" t="s">
        <v>788</v>
      </c>
      <c r="H225" s="8" t="s">
        <v>34</v>
      </c>
      <c r="I225" s="8" t="str">
        <f t="shared" si="39"/>
        <v>Mira Das</v>
      </c>
      <c r="J225" s="8" t="s">
        <v>88</v>
      </c>
      <c r="K225" s="8" t="str">
        <f t="shared" si="33"/>
        <v>Corporate</v>
      </c>
      <c r="L225" s="8" t="s">
        <v>61</v>
      </c>
      <c r="M225" s="8" t="str">
        <f t="shared" si="34"/>
        <v>West</v>
      </c>
      <c r="N225" s="8" t="s">
        <v>62</v>
      </c>
      <c r="O225" s="8" t="str">
        <f t="shared" si="35"/>
        <v>Maharashtra</v>
      </c>
      <c r="P225" s="8" t="s">
        <v>63</v>
      </c>
      <c r="Q225" s="8" t="str">
        <f t="shared" si="36"/>
        <v>Mumbai</v>
      </c>
      <c r="R225" s="8" t="s">
        <v>39</v>
      </c>
      <c r="S225" s="8" t="str">
        <f t="shared" si="37"/>
        <v>Furniture</v>
      </c>
      <c r="T225" s="8" t="s">
        <v>55</v>
      </c>
      <c r="U225" s="8" t="str">
        <f t="shared" si="38"/>
        <v>Furnishings</v>
      </c>
      <c r="V225" s="8" t="s">
        <v>789</v>
      </c>
    </row>
    <row r="226" spans="1:22">
      <c r="A226" s="8" t="s">
        <v>790</v>
      </c>
      <c r="B226" s="8">
        <f t="shared" si="30"/>
        <v>2</v>
      </c>
      <c r="C226" s="8" t="str">
        <f t="shared" si="31"/>
        <v>Review Duplicate ID</v>
      </c>
      <c r="D226" s="9">
        <v>45932</v>
      </c>
      <c r="E226" s="8">
        <f t="shared" si="32"/>
        <v>-53</v>
      </c>
      <c r="F226" s="10">
        <v>45879</v>
      </c>
      <c r="G226" s="8" t="s">
        <v>791</v>
      </c>
      <c r="H226" s="8" t="s">
        <v>45</v>
      </c>
      <c r="I226" s="8" t="str">
        <f t="shared" si="39"/>
        <v>Isha Nair</v>
      </c>
      <c r="J226" s="8" t="s">
        <v>35</v>
      </c>
      <c r="K226" s="8" t="str">
        <f t="shared" si="33"/>
        <v>Small Business</v>
      </c>
      <c r="L226" s="8" t="s">
        <v>23</v>
      </c>
      <c r="M226" s="8" t="str">
        <f t="shared" si="34"/>
        <v>North</v>
      </c>
      <c r="N226" s="8" t="s">
        <v>120</v>
      </c>
      <c r="O226" s="8" t="str">
        <f t="shared" si="35"/>
        <v>Punjab</v>
      </c>
      <c r="P226" s="8" t="s">
        <v>121</v>
      </c>
      <c r="Q226" s="8" t="str">
        <f t="shared" si="36"/>
        <v>Ludhiana</v>
      </c>
      <c r="R226" s="8" t="s">
        <v>39</v>
      </c>
      <c r="S226" s="8" t="str">
        <f t="shared" si="37"/>
        <v>Furniture</v>
      </c>
      <c r="T226" s="8" t="s">
        <v>55</v>
      </c>
      <c r="U226" s="8" t="str">
        <f t="shared" si="38"/>
        <v>Furnishings</v>
      </c>
      <c r="V226" s="8" t="s">
        <v>792</v>
      </c>
    </row>
    <row r="227" spans="1:22">
      <c r="A227" s="8" t="s">
        <v>793</v>
      </c>
      <c r="B227" s="8">
        <f t="shared" si="30"/>
        <v>1</v>
      </c>
      <c r="C227" s="8" t="str">
        <f t="shared" si="31"/>
        <v>Unique</v>
      </c>
      <c r="D227" s="9">
        <v>45331</v>
      </c>
      <c r="E227" s="8">
        <f t="shared" si="32"/>
        <v>243</v>
      </c>
      <c r="F227" s="10">
        <v>45574</v>
      </c>
      <c r="G227" s="8" t="s">
        <v>794</v>
      </c>
      <c r="H227" s="8" t="s">
        <v>34</v>
      </c>
      <c r="I227" s="8" t="str">
        <f t="shared" si="39"/>
        <v>Mira Das</v>
      </c>
      <c r="J227" s="8" t="s">
        <v>88</v>
      </c>
      <c r="K227" s="8" t="str">
        <f t="shared" si="33"/>
        <v>Corporate</v>
      </c>
      <c r="L227" s="8" t="s">
        <v>61</v>
      </c>
      <c r="M227" s="8" t="str">
        <f t="shared" si="34"/>
        <v>West</v>
      </c>
      <c r="N227" s="8" t="s">
        <v>188</v>
      </c>
      <c r="O227" s="8" t="str">
        <f t="shared" si="35"/>
        <v>Goa</v>
      </c>
      <c r="P227" s="8" t="s">
        <v>189</v>
      </c>
      <c r="Q227" s="8" t="str">
        <f t="shared" si="36"/>
        <v>Panaji</v>
      </c>
      <c r="R227" s="8" t="s">
        <v>72</v>
      </c>
      <c r="S227" s="8" t="str">
        <f t="shared" si="37"/>
        <v>Technology</v>
      </c>
      <c r="T227" s="8" t="s">
        <v>169</v>
      </c>
      <c r="U227" s="8" t="str">
        <f t="shared" si="38"/>
        <v>Phones</v>
      </c>
      <c r="V227" s="8" t="s">
        <v>795</v>
      </c>
    </row>
    <row r="228" spans="1:22">
      <c r="A228" s="8" t="s">
        <v>796</v>
      </c>
      <c r="B228" s="8">
        <f t="shared" si="30"/>
        <v>1</v>
      </c>
      <c r="C228" s="8" t="str">
        <f t="shared" si="31"/>
        <v>Unique</v>
      </c>
      <c r="D228" s="9">
        <v>45934</v>
      </c>
      <c r="E228" s="8">
        <f t="shared" si="32"/>
        <v>-172</v>
      </c>
      <c r="F228" s="10">
        <v>45762</v>
      </c>
      <c r="G228" s="8" t="s">
        <v>797</v>
      </c>
      <c r="H228" s="8" t="s">
        <v>160</v>
      </c>
      <c r="I228" s="8" t="str">
        <f t="shared" si="39"/>
        <v>Diya Patel</v>
      </c>
      <c r="J228" s="8" t="s">
        <v>93</v>
      </c>
      <c r="K228" s="8" t="str">
        <f t="shared" si="33"/>
        <v>Home Office</v>
      </c>
      <c r="M228" s="8" t="str">
        <f t="shared" si="34"/>
        <v/>
      </c>
      <c r="N228" s="8" t="s">
        <v>183</v>
      </c>
      <c r="O228" s="8" t="str">
        <f t="shared" si="35"/>
        <v>Kerala</v>
      </c>
      <c r="P228" s="8" t="s">
        <v>184</v>
      </c>
      <c r="Q228" s="8" t="str">
        <f t="shared" si="36"/>
        <v>Kochi</v>
      </c>
      <c r="R228" s="8" t="s">
        <v>72</v>
      </c>
      <c r="S228" s="8" t="str">
        <f t="shared" si="37"/>
        <v>Technology</v>
      </c>
      <c r="T228" s="8" t="s">
        <v>78</v>
      </c>
      <c r="U228" s="8" t="str">
        <f t="shared" si="38"/>
        <v>Copiers</v>
      </c>
      <c r="V228" s="8" t="s">
        <v>798</v>
      </c>
    </row>
    <row r="229" spans="1:22">
      <c r="A229" s="8" t="s">
        <v>799</v>
      </c>
      <c r="B229" s="8">
        <f t="shared" si="30"/>
        <v>1</v>
      </c>
      <c r="C229" s="8" t="str">
        <f t="shared" si="31"/>
        <v>Unique</v>
      </c>
      <c r="D229" s="9">
        <v>45419</v>
      </c>
      <c r="E229" s="8">
        <f t="shared" si="32"/>
        <v>214</v>
      </c>
      <c r="F229" s="10">
        <v>45633</v>
      </c>
      <c r="G229" s="8" t="s">
        <v>800</v>
      </c>
      <c r="H229" s="8" t="s">
        <v>60</v>
      </c>
      <c r="I229" s="8" t="str">
        <f t="shared" si="39"/>
        <v>Ananya Rao</v>
      </c>
      <c r="J229" s="8" t="s">
        <v>801</v>
      </c>
      <c r="K229" s="8" t="str">
        <f t="shared" si="33"/>
        <v>Small Business</v>
      </c>
      <c r="L229" s="8" t="s">
        <v>61</v>
      </c>
      <c r="M229" s="8" t="str">
        <f t="shared" si="34"/>
        <v>West</v>
      </c>
      <c r="N229" s="8" t="s">
        <v>188</v>
      </c>
      <c r="O229" s="8" t="str">
        <f t="shared" si="35"/>
        <v>Goa</v>
      </c>
      <c r="P229" s="8" t="s">
        <v>189</v>
      </c>
      <c r="Q229" s="8" t="str">
        <f t="shared" si="36"/>
        <v>Panaji</v>
      </c>
      <c r="R229" s="8" t="s">
        <v>26</v>
      </c>
      <c r="S229" s="8" t="str">
        <f t="shared" si="37"/>
        <v>Office Supplies</v>
      </c>
      <c r="T229" s="8" t="s">
        <v>151</v>
      </c>
      <c r="U229" s="8" t="str">
        <f t="shared" si="38"/>
        <v>Binders</v>
      </c>
      <c r="V229" s="8" t="s">
        <v>802</v>
      </c>
    </row>
    <row r="230" spans="1:22">
      <c r="A230" s="8" t="s">
        <v>803</v>
      </c>
      <c r="B230" s="8">
        <f t="shared" si="30"/>
        <v>1</v>
      </c>
      <c r="C230" s="8" t="str">
        <f t="shared" si="31"/>
        <v>Unique</v>
      </c>
      <c r="D230" s="9">
        <v>45406</v>
      </c>
      <c r="E230" s="8">
        <f t="shared" si="32"/>
        <v>4</v>
      </c>
      <c r="F230" s="10">
        <v>45410</v>
      </c>
      <c r="G230" s="8" t="s">
        <v>804</v>
      </c>
      <c r="H230" s="8" t="s">
        <v>21</v>
      </c>
      <c r="I230" s="8" t="str">
        <f t="shared" si="39"/>
        <v>Karan Malhotra</v>
      </c>
      <c r="J230" s="8" t="s">
        <v>35</v>
      </c>
      <c r="K230" s="8" t="str">
        <f t="shared" si="33"/>
        <v>Small Business</v>
      </c>
      <c r="L230" s="8" t="s">
        <v>52</v>
      </c>
      <c r="M230" s="8" t="str">
        <f t="shared" si="34"/>
        <v>South</v>
      </c>
      <c r="N230" s="8" t="s">
        <v>53</v>
      </c>
      <c r="O230" s="8" t="str">
        <f t="shared" si="35"/>
        <v>Telangana</v>
      </c>
      <c r="P230" s="8" t="s">
        <v>54</v>
      </c>
      <c r="Q230" s="8" t="str">
        <f t="shared" si="36"/>
        <v>Hyderabad</v>
      </c>
      <c r="R230" s="8" t="s">
        <v>26</v>
      </c>
      <c r="S230" s="8" t="str">
        <f t="shared" si="37"/>
        <v>Office Supplies</v>
      </c>
      <c r="T230" s="8" t="s">
        <v>89</v>
      </c>
      <c r="U230" s="8" t="str">
        <f t="shared" si="38"/>
        <v>Labels</v>
      </c>
      <c r="V230" s="8" t="s">
        <v>805</v>
      </c>
    </row>
    <row r="231" spans="1:22">
      <c r="A231" s="8" t="s">
        <v>806</v>
      </c>
      <c r="B231" s="8">
        <f t="shared" si="30"/>
        <v>1</v>
      </c>
      <c r="C231" s="8" t="str">
        <f t="shared" si="31"/>
        <v>Unique</v>
      </c>
      <c r="D231" s="9">
        <v>45836</v>
      </c>
      <c r="E231" s="8">
        <f t="shared" si="32"/>
        <v>6</v>
      </c>
      <c r="F231" s="10">
        <v>45842</v>
      </c>
      <c r="G231" s="8" t="s">
        <v>807</v>
      </c>
      <c r="H231" s="8" t="s">
        <v>139</v>
      </c>
      <c r="I231" s="8" t="str">
        <f t="shared" si="39"/>
        <v>Rohan Mehta</v>
      </c>
      <c r="J231" s="8" t="s">
        <v>22</v>
      </c>
      <c r="K231" s="8" t="str">
        <f t="shared" si="33"/>
        <v>Consumer</v>
      </c>
      <c r="L231" s="8" t="s">
        <v>52</v>
      </c>
      <c r="M231" s="8" t="str">
        <f t="shared" si="34"/>
        <v>South</v>
      </c>
      <c r="N231" s="8" t="s">
        <v>53</v>
      </c>
      <c r="O231" s="8" t="str">
        <f t="shared" si="35"/>
        <v>Telangana</v>
      </c>
      <c r="P231" s="8" t="s">
        <v>54</v>
      </c>
      <c r="Q231" s="8" t="str">
        <f t="shared" si="36"/>
        <v>Hyderabad</v>
      </c>
      <c r="R231" s="8" t="s">
        <v>39</v>
      </c>
      <c r="S231" s="8" t="str">
        <f t="shared" si="37"/>
        <v>Furniture</v>
      </c>
      <c r="T231" s="8" t="s">
        <v>156</v>
      </c>
      <c r="U231" s="8" t="str">
        <f t="shared" si="38"/>
        <v>Bookcases</v>
      </c>
      <c r="V231" s="8" t="s">
        <v>808</v>
      </c>
    </row>
    <row r="232" spans="1:22">
      <c r="A232" s="8" t="s">
        <v>809</v>
      </c>
      <c r="B232" s="8">
        <f t="shared" si="30"/>
        <v>1</v>
      </c>
      <c r="C232" s="8" t="str">
        <f t="shared" si="31"/>
        <v>Unique</v>
      </c>
      <c r="D232" s="9">
        <v>45440</v>
      </c>
      <c r="E232" s="8">
        <f t="shared" si="32"/>
        <v>-83</v>
      </c>
      <c r="F232" s="10">
        <v>45357</v>
      </c>
      <c r="G232" s="8" t="s">
        <v>810</v>
      </c>
      <c r="H232" s="8" t="s">
        <v>77</v>
      </c>
      <c r="I232" s="8" t="str">
        <f t="shared" si="39"/>
        <v>Neha Gupta</v>
      </c>
      <c r="J232" s="8" t="s">
        <v>35</v>
      </c>
      <c r="K232" s="8" t="str">
        <f t="shared" si="33"/>
        <v>Small Business</v>
      </c>
      <c r="L232" s="8" t="s">
        <v>23</v>
      </c>
      <c r="M232" s="8" t="str">
        <f t="shared" si="34"/>
        <v>North</v>
      </c>
      <c r="N232" s="8" t="s">
        <v>24</v>
      </c>
      <c r="O232" s="8" t="str">
        <f t="shared" si="35"/>
        <v>Rajasthan</v>
      </c>
      <c r="P232" s="8" t="s">
        <v>25</v>
      </c>
      <c r="Q232" s="8" t="str">
        <f t="shared" si="36"/>
        <v>Jaipur</v>
      </c>
      <c r="R232" s="8" t="s">
        <v>26</v>
      </c>
      <c r="S232" s="8" t="str">
        <f t="shared" si="37"/>
        <v>Office Supplies</v>
      </c>
      <c r="T232" s="8" t="s">
        <v>27</v>
      </c>
      <c r="U232" s="8" t="str">
        <f t="shared" si="38"/>
        <v>Paper</v>
      </c>
      <c r="V232" s="8" t="s">
        <v>811</v>
      </c>
    </row>
    <row r="233" spans="1:22">
      <c r="A233" s="8" t="s">
        <v>812</v>
      </c>
      <c r="B233" s="8">
        <f t="shared" si="30"/>
        <v>1</v>
      </c>
      <c r="C233" s="8" t="str">
        <f t="shared" si="31"/>
        <v>Unique</v>
      </c>
      <c r="D233" s="9">
        <v>45327</v>
      </c>
      <c r="E233" s="8">
        <f t="shared" si="32"/>
        <v>87</v>
      </c>
      <c r="F233" s="10">
        <v>45414</v>
      </c>
      <c r="G233" s="8" t="s">
        <v>813</v>
      </c>
      <c r="H233" s="8" t="s">
        <v>60</v>
      </c>
      <c r="I233" s="8" t="str">
        <f t="shared" si="39"/>
        <v>Ananya Rao</v>
      </c>
      <c r="J233" s="8" t="s">
        <v>88</v>
      </c>
      <c r="K233" s="8" t="str">
        <f t="shared" si="33"/>
        <v>Corporate</v>
      </c>
      <c r="L233" s="8" t="s">
        <v>23</v>
      </c>
      <c r="M233" s="8" t="str">
        <f t="shared" si="34"/>
        <v>North</v>
      </c>
      <c r="N233" s="8" t="s">
        <v>24</v>
      </c>
      <c r="O233" s="8" t="str">
        <f t="shared" si="35"/>
        <v>Rajasthan</v>
      </c>
      <c r="P233" s="8" t="s">
        <v>25</v>
      </c>
      <c r="Q233" s="8" t="str">
        <f t="shared" si="36"/>
        <v>Jaipur</v>
      </c>
      <c r="R233" s="8" t="s">
        <v>814</v>
      </c>
      <c r="S233" s="8" t="str">
        <f t="shared" si="37"/>
        <v>Office Supplies</v>
      </c>
      <c r="T233" s="8" t="s">
        <v>89</v>
      </c>
      <c r="U233" s="8" t="str">
        <f t="shared" si="38"/>
        <v>Labels</v>
      </c>
      <c r="V233" s="8" t="s">
        <v>815</v>
      </c>
    </row>
    <row r="234" spans="1:22">
      <c r="A234" s="8" t="s">
        <v>816</v>
      </c>
      <c r="B234" s="8">
        <f t="shared" si="30"/>
        <v>1</v>
      </c>
      <c r="C234" s="8" t="str">
        <f t="shared" si="31"/>
        <v>Unique</v>
      </c>
      <c r="D234" s="9">
        <v>45753</v>
      </c>
      <c r="E234" s="8">
        <f t="shared" si="32"/>
        <v>183</v>
      </c>
      <c r="F234" s="10">
        <v>45936</v>
      </c>
      <c r="G234" s="8" t="s">
        <v>817</v>
      </c>
      <c r="H234" s="8" t="s">
        <v>116</v>
      </c>
      <c r="I234" s="8" t="str">
        <f t="shared" si="39"/>
        <v>Rahul Verma</v>
      </c>
      <c r="J234" s="8" t="s">
        <v>22</v>
      </c>
      <c r="K234" s="8" t="str">
        <f t="shared" si="33"/>
        <v>Consumer</v>
      </c>
      <c r="L234" s="8" t="s">
        <v>52</v>
      </c>
      <c r="M234" s="8" t="str">
        <f t="shared" si="34"/>
        <v>South</v>
      </c>
      <c r="N234" s="8" t="s">
        <v>82</v>
      </c>
      <c r="O234" s="8" t="str">
        <f t="shared" si="35"/>
        <v>Andhra Pradesh</v>
      </c>
      <c r="P234" s="8" t="s">
        <v>83</v>
      </c>
      <c r="Q234" s="8" t="str">
        <f t="shared" si="36"/>
        <v>Vijayawada</v>
      </c>
      <c r="R234" s="8" t="s">
        <v>72</v>
      </c>
      <c r="S234" s="8" t="str">
        <f t="shared" si="37"/>
        <v>Technology</v>
      </c>
      <c r="T234" s="8" t="s">
        <v>169</v>
      </c>
      <c r="U234" s="8" t="str">
        <f t="shared" si="38"/>
        <v>Phones</v>
      </c>
      <c r="V234" s="8" t="s">
        <v>818</v>
      </c>
    </row>
    <row r="235" spans="1:22">
      <c r="A235" s="8" t="s">
        <v>819</v>
      </c>
      <c r="B235" s="8">
        <f t="shared" si="30"/>
        <v>1</v>
      </c>
      <c r="C235" s="8" t="str">
        <f t="shared" si="31"/>
        <v>Unique</v>
      </c>
      <c r="D235" s="9">
        <v>45579</v>
      </c>
      <c r="E235" s="8">
        <f t="shared" si="32"/>
        <v>0</v>
      </c>
      <c r="F235" s="10">
        <v>45579</v>
      </c>
      <c r="G235" s="8" t="s">
        <v>820</v>
      </c>
      <c r="H235" s="8" t="s">
        <v>69</v>
      </c>
      <c r="I235" s="8" t="str">
        <f t="shared" si="39"/>
        <v>Vikram Iyer</v>
      </c>
      <c r="J235" s="8" t="s">
        <v>88</v>
      </c>
      <c r="K235" s="8" t="str">
        <f t="shared" si="33"/>
        <v>Corporate</v>
      </c>
      <c r="L235" s="8" t="s">
        <v>52</v>
      </c>
      <c r="M235" s="8" t="str">
        <f t="shared" si="34"/>
        <v>South</v>
      </c>
      <c r="N235" s="8" t="s">
        <v>173</v>
      </c>
      <c r="O235" s="8" t="str">
        <f t="shared" si="35"/>
        <v>Karnataka</v>
      </c>
      <c r="P235" s="8" t="s">
        <v>174</v>
      </c>
      <c r="Q235" s="8" t="str">
        <f t="shared" si="36"/>
        <v>Bengaluru</v>
      </c>
      <c r="R235" s="8" t="s">
        <v>39</v>
      </c>
      <c r="S235" s="8" t="str">
        <f t="shared" si="37"/>
        <v>Furniture</v>
      </c>
      <c r="T235" s="8" t="s">
        <v>156</v>
      </c>
      <c r="U235" s="8" t="str">
        <f t="shared" si="38"/>
        <v>Bookcases</v>
      </c>
      <c r="V235" s="8" t="s">
        <v>821</v>
      </c>
    </row>
    <row r="236" spans="1:22">
      <c r="A236" s="8" t="s">
        <v>822</v>
      </c>
      <c r="B236" s="8">
        <f t="shared" si="30"/>
        <v>1</v>
      </c>
      <c r="C236" s="8" t="str">
        <f t="shared" si="31"/>
        <v>Unique</v>
      </c>
      <c r="D236" s="9">
        <v>45537</v>
      </c>
      <c r="E236" s="8">
        <f t="shared" si="32"/>
        <v>-177</v>
      </c>
      <c r="F236" s="10">
        <v>45360</v>
      </c>
      <c r="G236" s="8" t="s">
        <v>823</v>
      </c>
      <c r="H236" s="8" t="s">
        <v>263</v>
      </c>
      <c r="I236" s="8" t="str">
        <f t="shared" si="39"/>
        <v>Kabir Singh</v>
      </c>
      <c r="J236" s="8" t="s">
        <v>93</v>
      </c>
      <c r="K236" s="8" t="str">
        <f t="shared" si="33"/>
        <v>Home Office</v>
      </c>
      <c r="L236" s="8" t="s">
        <v>23</v>
      </c>
      <c r="M236" s="8" t="str">
        <f t="shared" si="34"/>
        <v>North</v>
      </c>
      <c r="N236" s="8" t="s">
        <v>349</v>
      </c>
      <c r="O236" s="8" t="str">
        <f t="shared" si="35"/>
        <v>Delhi</v>
      </c>
      <c r="P236" s="8" t="s">
        <v>350</v>
      </c>
      <c r="Q236" s="8" t="str">
        <f t="shared" si="36"/>
        <v>New Delhi</v>
      </c>
      <c r="R236" s="8" t="s">
        <v>39</v>
      </c>
      <c r="S236" s="8" t="str">
        <f t="shared" si="37"/>
        <v>Furniture</v>
      </c>
      <c r="T236" s="8" t="s">
        <v>55</v>
      </c>
      <c r="U236" s="8" t="str">
        <f t="shared" si="38"/>
        <v>Furnishings</v>
      </c>
      <c r="V236" s="8" t="s">
        <v>824</v>
      </c>
    </row>
    <row r="237" spans="1:22">
      <c r="A237" s="8" t="s">
        <v>825</v>
      </c>
      <c r="B237" s="8">
        <f t="shared" si="30"/>
        <v>1</v>
      </c>
      <c r="C237" s="8" t="str">
        <f t="shared" si="31"/>
        <v>Unique</v>
      </c>
      <c r="D237" s="9">
        <v>45598</v>
      </c>
      <c r="E237" s="8">
        <f t="shared" si="32"/>
        <v>1</v>
      </c>
      <c r="F237" s="10">
        <v>45599</v>
      </c>
      <c r="G237" s="8" t="s">
        <v>826</v>
      </c>
      <c r="H237" s="8" t="s">
        <v>116</v>
      </c>
      <c r="I237" s="8" t="str">
        <f t="shared" si="39"/>
        <v>Rahul Verma</v>
      </c>
      <c r="J237" s="8" t="s">
        <v>35</v>
      </c>
      <c r="K237" s="8" t="str">
        <f t="shared" si="33"/>
        <v>Small Business</v>
      </c>
      <c r="L237" s="8" t="s">
        <v>61</v>
      </c>
      <c r="M237" s="8" t="str">
        <f t="shared" si="34"/>
        <v>West</v>
      </c>
      <c r="N237" s="8" t="s">
        <v>24</v>
      </c>
      <c r="O237" s="8" t="str">
        <f t="shared" si="35"/>
        <v>Rajasthan</v>
      </c>
      <c r="P237" s="8" t="s">
        <v>107</v>
      </c>
      <c r="Q237" s="8" t="str">
        <f t="shared" si="36"/>
        <v>Udaipur</v>
      </c>
      <c r="R237" s="8" t="s">
        <v>26</v>
      </c>
      <c r="S237" s="8" t="str">
        <f t="shared" si="37"/>
        <v>Office Supplies</v>
      </c>
      <c r="T237" s="8" t="s">
        <v>122</v>
      </c>
      <c r="U237" s="8" t="str">
        <f t="shared" si="38"/>
        <v>Storage</v>
      </c>
      <c r="V237" s="8" t="s">
        <v>827</v>
      </c>
    </row>
    <row r="238" spans="1:22">
      <c r="A238" s="8" t="s">
        <v>828</v>
      </c>
      <c r="B238" s="8">
        <f t="shared" si="30"/>
        <v>1</v>
      </c>
      <c r="C238" s="8" t="str">
        <f t="shared" si="31"/>
        <v>Unique</v>
      </c>
      <c r="D238" s="9">
        <v>45579</v>
      </c>
      <c r="E238" s="8">
        <f t="shared" si="32"/>
        <v>7</v>
      </c>
      <c r="F238" s="10">
        <v>45586</v>
      </c>
      <c r="G238" s="8" t="s">
        <v>829</v>
      </c>
      <c r="H238" s="8" t="s">
        <v>112</v>
      </c>
      <c r="I238" s="8" t="str">
        <f t="shared" si="39"/>
        <v>Priya Menon</v>
      </c>
      <c r="J238" s="8" t="s">
        <v>88</v>
      </c>
      <c r="K238" s="8" t="str">
        <f t="shared" si="33"/>
        <v>Corporate</v>
      </c>
      <c r="L238" s="8" t="s">
        <v>23</v>
      </c>
      <c r="M238" s="8" t="str">
        <f t="shared" si="34"/>
        <v>North</v>
      </c>
      <c r="N238" s="8" t="s">
        <v>134</v>
      </c>
      <c r="O238" s="8" t="str">
        <f t="shared" si="35"/>
        <v>Uttar Pradesh</v>
      </c>
      <c r="P238" s="8" t="s">
        <v>135</v>
      </c>
      <c r="Q238" s="8" t="str">
        <f t="shared" si="36"/>
        <v>Noida</v>
      </c>
      <c r="R238" s="8" t="s">
        <v>39</v>
      </c>
      <c r="S238" s="8" t="str">
        <f t="shared" si="37"/>
        <v>Furniture</v>
      </c>
      <c r="T238" s="8" t="s">
        <v>156</v>
      </c>
      <c r="U238" s="8" t="str">
        <f t="shared" si="38"/>
        <v>Bookcases</v>
      </c>
      <c r="V238" s="8" t="s">
        <v>830</v>
      </c>
    </row>
    <row r="239" spans="1:22">
      <c r="A239" s="8" t="s">
        <v>831</v>
      </c>
      <c r="B239" s="8">
        <f t="shared" si="30"/>
        <v>1</v>
      </c>
      <c r="C239" s="8" t="str">
        <f t="shared" si="31"/>
        <v>Unique</v>
      </c>
      <c r="D239" s="9">
        <v>45531</v>
      </c>
      <c r="E239" s="8">
        <f t="shared" si="32"/>
        <v>0</v>
      </c>
      <c r="F239" s="10">
        <v>45531</v>
      </c>
      <c r="G239" s="8" t="s">
        <v>832</v>
      </c>
      <c r="H239" s="8" t="s">
        <v>34</v>
      </c>
      <c r="I239" s="8" t="str">
        <f t="shared" si="39"/>
        <v>Mira Das</v>
      </c>
      <c r="J239" s="8" t="s">
        <v>22</v>
      </c>
      <c r="K239" s="8" t="str">
        <f t="shared" si="33"/>
        <v>Consumer</v>
      </c>
      <c r="L239" s="8" t="s">
        <v>23</v>
      </c>
      <c r="M239" s="8" t="str">
        <f t="shared" si="34"/>
        <v>North</v>
      </c>
      <c r="N239" s="8" t="s">
        <v>235</v>
      </c>
      <c r="O239" s="8" t="str">
        <f t="shared" si="35"/>
        <v>Haryana</v>
      </c>
      <c r="P239" s="8" t="s">
        <v>236</v>
      </c>
      <c r="Q239" s="8" t="str">
        <f t="shared" si="36"/>
        <v>Gurugram</v>
      </c>
      <c r="R239" s="8" t="s">
        <v>72</v>
      </c>
      <c r="S239" s="8" t="str">
        <f t="shared" si="37"/>
        <v>Technology</v>
      </c>
      <c r="T239" s="8" t="s">
        <v>78</v>
      </c>
      <c r="U239" s="8" t="str">
        <f t="shared" si="38"/>
        <v>Copiers</v>
      </c>
      <c r="V239" s="8" t="s">
        <v>833</v>
      </c>
    </row>
    <row r="240" spans="1:22">
      <c r="A240" s="8" t="s">
        <v>834</v>
      </c>
      <c r="B240" s="8">
        <f t="shared" si="30"/>
        <v>1</v>
      </c>
      <c r="C240" s="8" t="str">
        <f t="shared" si="31"/>
        <v>Unique</v>
      </c>
      <c r="D240" s="9">
        <v>45303</v>
      </c>
      <c r="E240" s="8">
        <f t="shared" si="32"/>
        <v>5</v>
      </c>
      <c r="F240" s="10">
        <v>45308</v>
      </c>
      <c r="G240" s="8" t="s">
        <v>835</v>
      </c>
      <c r="H240" s="8" t="s">
        <v>51</v>
      </c>
      <c r="I240" s="8" t="str">
        <f t="shared" si="39"/>
        <v>Arjun Bose</v>
      </c>
      <c r="J240" s="8" t="s">
        <v>22</v>
      </c>
      <c r="K240" s="8" t="str">
        <f t="shared" si="33"/>
        <v>Consumer</v>
      </c>
      <c r="L240" s="8" t="s">
        <v>52</v>
      </c>
      <c r="M240" s="8" t="str">
        <f t="shared" si="34"/>
        <v>South</v>
      </c>
      <c r="N240" s="8" t="s">
        <v>82</v>
      </c>
      <c r="O240" s="8" t="str">
        <f t="shared" si="35"/>
        <v>Andhra Pradesh</v>
      </c>
      <c r="P240" s="8" t="s">
        <v>83</v>
      </c>
      <c r="Q240" s="8" t="str">
        <f t="shared" si="36"/>
        <v>Vijayawada</v>
      </c>
      <c r="R240" s="8" t="s">
        <v>26</v>
      </c>
      <c r="S240" s="8" t="str">
        <f t="shared" si="37"/>
        <v>Office Supplies</v>
      </c>
      <c r="T240" s="8" t="s">
        <v>122</v>
      </c>
      <c r="U240" s="8" t="str">
        <f t="shared" si="38"/>
        <v>Storage</v>
      </c>
      <c r="V240" s="8" t="s">
        <v>836</v>
      </c>
    </row>
    <row r="241" spans="1:22">
      <c r="A241" s="8" t="s">
        <v>837</v>
      </c>
      <c r="B241" s="8">
        <f t="shared" si="30"/>
        <v>1</v>
      </c>
      <c r="C241" s="8" t="str">
        <f t="shared" si="31"/>
        <v>Unique</v>
      </c>
      <c r="D241" s="9">
        <v>45556</v>
      </c>
      <c r="E241" s="8">
        <f t="shared" si="32"/>
        <v>0</v>
      </c>
      <c r="F241" s="10">
        <v>45556</v>
      </c>
      <c r="G241" s="8" t="s">
        <v>838</v>
      </c>
      <c r="H241" s="8" t="s">
        <v>263</v>
      </c>
      <c r="I241" s="8" t="str">
        <f t="shared" si="39"/>
        <v>Kabir Singh</v>
      </c>
      <c r="J241" s="8" t="s">
        <v>88</v>
      </c>
      <c r="K241" s="8" t="str">
        <f t="shared" si="33"/>
        <v>Corporate</v>
      </c>
      <c r="L241" s="8" t="s">
        <v>52</v>
      </c>
      <c r="M241" s="8" t="str">
        <f t="shared" si="34"/>
        <v>South</v>
      </c>
      <c r="N241" s="8" t="s">
        <v>173</v>
      </c>
      <c r="O241" s="8" t="str">
        <f t="shared" si="35"/>
        <v>Karnataka</v>
      </c>
      <c r="P241" s="8" t="s">
        <v>174</v>
      </c>
      <c r="Q241" s="8" t="str">
        <f t="shared" si="36"/>
        <v>Bengaluru</v>
      </c>
      <c r="R241" s="8" t="s">
        <v>72</v>
      </c>
      <c r="S241" s="8" t="str">
        <f t="shared" si="37"/>
        <v>Technology</v>
      </c>
      <c r="T241" s="8" t="s">
        <v>273</v>
      </c>
      <c r="U241" s="8" t="str">
        <f t="shared" si="38"/>
        <v>Machines</v>
      </c>
      <c r="V241" s="8" t="s">
        <v>839</v>
      </c>
    </row>
    <row r="242" spans="1:22">
      <c r="A242" s="8" t="s">
        <v>840</v>
      </c>
      <c r="B242" s="8">
        <f t="shared" si="30"/>
        <v>1</v>
      </c>
      <c r="C242" s="8" t="str">
        <f t="shared" si="31"/>
        <v>Unique</v>
      </c>
      <c r="D242" s="9">
        <v>45643</v>
      </c>
      <c r="E242" s="8">
        <f t="shared" si="32"/>
        <v>6</v>
      </c>
      <c r="F242" s="10">
        <v>45649</v>
      </c>
      <c r="G242" s="8" t="s">
        <v>841</v>
      </c>
      <c r="H242" s="8" t="s">
        <v>126</v>
      </c>
      <c r="I242" s="8" t="str">
        <f t="shared" si="39"/>
        <v>Aarav Sharma</v>
      </c>
      <c r="J242" s="8" t="s">
        <v>88</v>
      </c>
      <c r="K242" s="8" t="str">
        <f t="shared" si="33"/>
        <v>Corporate</v>
      </c>
      <c r="L242" s="8" t="s">
        <v>52</v>
      </c>
      <c r="M242" s="8" t="str">
        <f t="shared" si="34"/>
        <v>South</v>
      </c>
      <c r="N242" s="8" t="s">
        <v>53</v>
      </c>
      <c r="O242" s="8" t="str">
        <f t="shared" si="35"/>
        <v>Telangana</v>
      </c>
      <c r="P242" s="8" t="s">
        <v>54</v>
      </c>
      <c r="Q242" s="8" t="str">
        <f t="shared" si="36"/>
        <v>Hyderabad</v>
      </c>
      <c r="R242" s="8" t="s">
        <v>26</v>
      </c>
      <c r="S242" s="8" t="str">
        <f t="shared" si="37"/>
        <v>Office Supplies</v>
      </c>
      <c r="T242" s="8" t="s">
        <v>151</v>
      </c>
      <c r="U242" s="8" t="str">
        <f t="shared" si="38"/>
        <v>Binders</v>
      </c>
      <c r="V242" s="8" t="s">
        <v>842</v>
      </c>
    </row>
    <row r="243" spans="1:22">
      <c r="A243" s="8" t="s">
        <v>843</v>
      </c>
      <c r="B243" s="8">
        <f t="shared" si="30"/>
        <v>1</v>
      </c>
      <c r="C243" s="8" t="str">
        <f t="shared" si="31"/>
        <v>Unique</v>
      </c>
      <c r="D243" s="9">
        <v>45844</v>
      </c>
      <c r="E243" s="8">
        <f t="shared" si="32"/>
        <v>-29</v>
      </c>
      <c r="F243" s="10">
        <v>45815</v>
      </c>
      <c r="G243" s="8" t="s">
        <v>844</v>
      </c>
      <c r="H243" s="8" t="s">
        <v>130</v>
      </c>
      <c r="I243" s="8" t="str">
        <f t="shared" si="39"/>
        <v>Sneha Kapoor</v>
      </c>
      <c r="J243" s="8" t="s">
        <v>88</v>
      </c>
      <c r="K243" s="8" t="str">
        <f t="shared" si="33"/>
        <v>Corporate</v>
      </c>
      <c r="L243" s="8" t="s">
        <v>23</v>
      </c>
      <c r="M243" s="8" t="str">
        <f t="shared" si="34"/>
        <v>North</v>
      </c>
      <c r="N243" s="8" t="s">
        <v>235</v>
      </c>
      <c r="O243" s="8" t="str">
        <f t="shared" si="35"/>
        <v>Haryana</v>
      </c>
      <c r="P243" s="8" t="s">
        <v>236</v>
      </c>
      <c r="Q243" s="8" t="str">
        <f t="shared" si="36"/>
        <v>Gurugram</v>
      </c>
      <c r="R243" s="8" t="s">
        <v>26</v>
      </c>
      <c r="S243" s="8" t="str">
        <f t="shared" si="37"/>
        <v>Office Supplies</v>
      </c>
      <c r="T243" s="8" t="s">
        <v>122</v>
      </c>
      <c r="U243" s="8" t="str">
        <f t="shared" si="38"/>
        <v>Storage</v>
      </c>
      <c r="V243" s="8" t="s">
        <v>845</v>
      </c>
    </row>
    <row r="244" spans="1:22">
      <c r="A244" s="8" t="s">
        <v>846</v>
      </c>
      <c r="B244" s="8">
        <f t="shared" si="30"/>
        <v>1</v>
      </c>
      <c r="C244" s="8" t="str">
        <f t="shared" si="31"/>
        <v>Unique</v>
      </c>
      <c r="D244" s="9">
        <v>45840</v>
      </c>
      <c r="E244" s="8">
        <f t="shared" si="32"/>
        <v>0</v>
      </c>
      <c r="F244" s="10">
        <v>45840</v>
      </c>
      <c r="G244" s="8" t="s">
        <v>847</v>
      </c>
      <c r="H244" s="8" t="s">
        <v>51</v>
      </c>
      <c r="I244" s="8" t="str">
        <f t="shared" si="39"/>
        <v>Arjun Bose</v>
      </c>
      <c r="J244" s="8" t="s">
        <v>22</v>
      </c>
      <c r="K244" s="8" t="str">
        <f t="shared" si="33"/>
        <v>Consumer</v>
      </c>
      <c r="L244" s="8" t="s">
        <v>23</v>
      </c>
      <c r="M244" s="8" t="str">
        <f t="shared" si="34"/>
        <v>North</v>
      </c>
      <c r="N244" s="8" t="s">
        <v>134</v>
      </c>
      <c r="O244" s="8" t="str">
        <f t="shared" si="35"/>
        <v>Uttar Pradesh</v>
      </c>
      <c r="P244" s="8" t="s">
        <v>135</v>
      </c>
      <c r="Q244" s="8" t="str">
        <f t="shared" si="36"/>
        <v>Noida</v>
      </c>
      <c r="R244" s="8" t="s">
        <v>26</v>
      </c>
      <c r="S244" s="8" t="str">
        <f t="shared" si="37"/>
        <v>Office Supplies</v>
      </c>
      <c r="T244" s="8" t="s">
        <v>46</v>
      </c>
      <c r="U244" s="8" t="str">
        <f t="shared" si="38"/>
        <v>Art</v>
      </c>
      <c r="V244" s="8" t="s">
        <v>848</v>
      </c>
    </row>
    <row r="245" spans="1:22">
      <c r="A245" s="8" t="s">
        <v>849</v>
      </c>
      <c r="B245" s="8">
        <f t="shared" si="30"/>
        <v>1</v>
      </c>
      <c r="C245" s="8" t="str">
        <f t="shared" si="31"/>
        <v>Unique</v>
      </c>
      <c r="D245" s="9">
        <v>45867</v>
      </c>
      <c r="E245" s="8">
        <f t="shared" si="32"/>
        <v>-171</v>
      </c>
      <c r="F245" s="10">
        <v>45696</v>
      </c>
      <c r="G245" s="8" t="s">
        <v>850</v>
      </c>
      <c r="H245" s="8" t="s">
        <v>130</v>
      </c>
      <c r="I245" s="8" t="str">
        <f t="shared" si="39"/>
        <v>Sneha Kapoor</v>
      </c>
      <c r="J245" s="8" t="s">
        <v>35</v>
      </c>
      <c r="K245" s="8" t="str">
        <f t="shared" si="33"/>
        <v>Small Business</v>
      </c>
      <c r="M245" s="8" t="str">
        <f t="shared" si="34"/>
        <v/>
      </c>
      <c r="N245" s="8" t="s">
        <v>70</v>
      </c>
      <c r="O245" s="8" t="str">
        <f t="shared" si="35"/>
        <v>Madhya Pradesh</v>
      </c>
      <c r="P245" s="8" t="s">
        <v>71</v>
      </c>
      <c r="Q245" s="8" t="str">
        <f t="shared" si="36"/>
        <v>Indore</v>
      </c>
      <c r="R245" s="8" t="s">
        <v>72</v>
      </c>
      <c r="S245" s="8" t="str">
        <f t="shared" si="37"/>
        <v>Technology</v>
      </c>
      <c r="T245" s="8" t="s">
        <v>73</v>
      </c>
      <c r="U245" s="8" t="str">
        <f t="shared" si="38"/>
        <v>Accessories</v>
      </c>
      <c r="V245" s="8" t="s">
        <v>851</v>
      </c>
    </row>
    <row r="246" spans="1:22">
      <c r="A246" s="8" t="s">
        <v>852</v>
      </c>
      <c r="B246" s="8">
        <f t="shared" si="30"/>
        <v>1</v>
      </c>
      <c r="C246" s="8" t="str">
        <f t="shared" si="31"/>
        <v>Unique</v>
      </c>
      <c r="D246" s="9">
        <v>45527</v>
      </c>
      <c r="E246" s="8">
        <f t="shared" si="32"/>
        <v>1</v>
      </c>
      <c r="F246" s="10">
        <v>45528</v>
      </c>
      <c r="G246" s="8" t="s">
        <v>853</v>
      </c>
      <c r="H246" s="8" t="s">
        <v>77</v>
      </c>
      <c r="I246" s="8" t="str">
        <f t="shared" si="39"/>
        <v>Neha Gupta</v>
      </c>
      <c r="J246" s="8" t="s">
        <v>22</v>
      </c>
      <c r="K246" s="8" t="str">
        <f t="shared" si="33"/>
        <v>Consumer</v>
      </c>
      <c r="L246" s="8" t="s">
        <v>52</v>
      </c>
      <c r="M246" s="8" t="str">
        <f t="shared" si="34"/>
        <v>South</v>
      </c>
      <c r="N246" s="8" t="s">
        <v>53</v>
      </c>
      <c r="O246" s="8" t="str">
        <f t="shared" si="35"/>
        <v>Telangana</v>
      </c>
      <c r="P246" s="8" t="s">
        <v>54</v>
      </c>
      <c r="Q246" s="8" t="str">
        <f t="shared" si="36"/>
        <v>Hyderabad</v>
      </c>
      <c r="R246" s="8" t="s">
        <v>39</v>
      </c>
      <c r="S246" s="8" t="str">
        <f t="shared" si="37"/>
        <v>Furniture</v>
      </c>
      <c r="T246" s="8" t="s">
        <v>156</v>
      </c>
      <c r="U246" s="8" t="str">
        <f t="shared" si="38"/>
        <v>Bookcases</v>
      </c>
      <c r="V246" s="8" t="s">
        <v>854</v>
      </c>
    </row>
    <row r="247" spans="1:22">
      <c r="A247" s="8" t="s">
        <v>855</v>
      </c>
      <c r="B247" s="8">
        <f t="shared" si="30"/>
        <v>1</v>
      </c>
      <c r="C247" s="8" t="str">
        <f t="shared" si="31"/>
        <v>Unique</v>
      </c>
      <c r="D247" s="9">
        <v>45583</v>
      </c>
      <c r="E247" s="8">
        <f t="shared" si="32"/>
        <v>6</v>
      </c>
      <c r="F247" s="10">
        <v>45589</v>
      </c>
      <c r="G247" s="8" t="s">
        <v>856</v>
      </c>
      <c r="H247" s="8" t="s">
        <v>77</v>
      </c>
      <c r="I247" s="8" t="str">
        <f t="shared" si="39"/>
        <v>Neha Gupta</v>
      </c>
      <c r="J247" s="8" t="s">
        <v>93</v>
      </c>
      <c r="K247" s="8" t="str">
        <f t="shared" si="33"/>
        <v>Home Office</v>
      </c>
      <c r="L247" s="8" t="s">
        <v>52</v>
      </c>
      <c r="M247" s="8" t="str">
        <f t="shared" si="34"/>
        <v>South</v>
      </c>
      <c r="N247" s="8" t="s">
        <v>183</v>
      </c>
      <c r="O247" s="8" t="str">
        <f t="shared" si="35"/>
        <v>Kerala</v>
      </c>
      <c r="P247" s="8" t="s">
        <v>184</v>
      </c>
      <c r="Q247" s="8" t="str">
        <f t="shared" si="36"/>
        <v>Kochi</v>
      </c>
      <c r="R247" s="8" t="s">
        <v>857</v>
      </c>
      <c r="S247" s="8" t="str">
        <f t="shared" si="37"/>
        <v>Furniture</v>
      </c>
      <c r="T247" s="8" t="s">
        <v>64</v>
      </c>
      <c r="U247" s="8" t="str">
        <f t="shared" si="38"/>
        <v>Chairs</v>
      </c>
      <c r="V247" s="8" t="s">
        <v>858</v>
      </c>
    </row>
    <row r="248" spans="1:22">
      <c r="A248" s="8" t="s">
        <v>859</v>
      </c>
      <c r="B248" s="8">
        <f t="shared" si="30"/>
        <v>1</v>
      </c>
      <c r="C248" s="8" t="str">
        <f t="shared" si="31"/>
        <v>Unique</v>
      </c>
      <c r="D248" s="9">
        <v>45387</v>
      </c>
      <c r="E248" s="8">
        <f t="shared" si="32"/>
        <v>153</v>
      </c>
      <c r="F248" s="10">
        <v>45540</v>
      </c>
      <c r="G248" s="8" t="s">
        <v>860</v>
      </c>
      <c r="H248" s="8" t="s">
        <v>60</v>
      </c>
      <c r="I248" s="8" t="str">
        <f t="shared" si="39"/>
        <v>Ananya Rao</v>
      </c>
      <c r="J248" s="8" t="s">
        <v>88</v>
      </c>
      <c r="K248" s="8" t="str">
        <f t="shared" si="33"/>
        <v>Corporate</v>
      </c>
      <c r="L248" s="8" t="s">
        <v>23</v>
      </c>
      <c r="M248" s="8" t="str">
        <f t="shared" si="34"/>
        <v>North</v>
      </c>
      <c r="N248" s="8" t="s">
        <v>120</v>
      </c>
      <c r="O248" s="8" t="str">
        <f t="shared" si="35"/>
        <v>Punjab</v>
      </c>
      <c r="P248" s="8" t="s">
        <v>121</v>
      </c>
      <c r="Q248" s="8" t="str">
        <f t="shared" si="36"/>
        <v>Ludhiana</v>
      </c>
      <c r="R248" s="8" t="s">
        <v>72</v>
      </c>
      <c r="S248" s="8" t="str">
        <f t="shared" si="37"/>
        <v>Technology</v>
      </c>
      <c r="T248" s="8" t="s">
        <v>273</v>
      </c>
      <c r="U248" s="8" t="str">
        <f t="shared" si="38"/>
        <v>Machines</v>
      </c>
      <c r="V248" s="8" t="s">
        <v>861</v>
      </c>
    </row>
    <row r="249" spans="1:22">
      <c r="A249" s="8" t="s">
        <v>862</v>
      </c>
      <c r="B249" s="8">
        <f t="shared" si="30"/>
        <v>1</v>
      </c>
      <c r="C249" s="8" t="str">
        <f t="shared" si="31"/>
        <v>Unique</v>
      </c>
      <c r="D249" s="9">
        <v>45498</v>
      </c>
      <c r="E249" s="8">
        <f t="shared" si="32"/>
        <v>-199</v>
      </c>
      <c r="F249" s="10">
        <v>45299</v>
      </c>
      <c r="G249" s="8" t="s">
        <v>863</v>
      </c>
      <c r="H249" s="8" t="s">
        <v>116</v>
      </c>
      <c r="I249" s="8" t="str">
        <f t="shared" si="39"/>
        <v>Rahul Verma</v>
      </c>
      <c r="J249" s="8" t="s">
        <v>88</v>
      </c>
      <c r="K249" s="8" t="str">
        <f t="shared" si="33"/>
        <v>Corporate</v>
      </c>
      <c r="L249" s="8" t="s">
        <v>23</v>
      </c>
      <c r="M249" s="8" t="str">
        <f t="shared" si="34"/>
        <v>North</v>
      </c>
      <c r="N249" s="8" t="s">
        <v>24</v>
      </c>
      <c r="O249" s="8" t="str">
        <f t="shared" si="35"/>
        <v>Rajasthan</v>
      </c>
      <c r="P249" s="8" t="s">
        <v>25</v>
      </c>
      <c r="Q249" s="8" t="str">
        <f t="shared" si="36"/>
        <v>Jaipur</v>
      </c>
      <c r="R249" s="8" t="s">
        <v>72</v>
      </c>
      <c r="S249" s="8" t="str">
        <f t="shared" si="37"/>
        <v>Technology</v>
      </c>
      <c r="T249" s="8" t="s">
        <v>73</v>
      </c>
      <c r="U249" s="8" t="str">
        <f t="shared" si="38"/>
        <v>Accessories</v>
      </c>
      <c r="V249" s="8" t="s">
        <v>864</v>
      </c>
    </row>
    <row r="250" spans="1:22">
      <c r="A250" s="8" t="s">
        <v>865</v>
      </c>
      <c r="B250" s="8">
        <f t="shared" si="30"/>
        <v>1</v>
      </c>
      <c r="C250" s="8" t="str">
        <f t="shared" si="31"/>
        <v>Unique</v>
      </c>
      <c r="D250" s="9">
        <v>45445</v>
      </c>
      <c r="E250" s="8">
        <f t="shared" si="32"/>
        <v>34</v>
      </c>
      <c r="F250" s="10">
        <v>45479</v>
      </c>
      <c r="G250" s="8" t="s">
        <v>866</v>
      </c>
      <c r="H250" s="8" t="s">
        <v>139</v>
      </c>
      <c r="I250" s="8" t="str">
        <f t="shared" si="39"/>
        <v>Rohan Mehta</v>
      </c>
      <c r="J250" s="8" t="s">
        <v>93</v>
      </c>
      <c r="K250" s="8" t="str">
        <f t="shared" si="33"/>
        <v>Home Office</v>
      </c>
      <c r="L250" s="8" t="s">
        <v>36</v>
      </c>
      <c r="M250" s="8" t="str">
        <f t="shared" si="34"/>
        <v>East</v>
      </c>
      <c r="N250" s="8" t="s">
        <v>37</v>
      </c>
      <c r="O250" s="8" t="str">
        <f t="shared" si="35"/>
        <v>Odisha</v>
      </c>
      <c r="P250" s="8" t="s">
        <v>38</v>
      </c>
      <c r="Q250" s="8" t="str">
        <f t="shared" si="36"/>
        <v>Bhubaneswar</v>
      </c>
      <c r="R250" s="8" t="s">
        <v>26</v>
      </c>
      <c r="S250" s="8" t="str">
        <f t="shared" si="37"/>
        <v>Office Supplies</v>
      </c>
      <c r="T250" s="8" t="s">
        <v>89</v>
      </c>
      <c r="U250" s="8" t="str">
        <f t="shared" si="38"/>
        <v>Labels</v>
      </c>
      <c r="V250" s="8" t="s">
        <v>867</v>
      </c>
    </row>
    <row r="251" spans="1:22">
      <c r="A251" s="8" t="s">
        <v>868</v>
      </c>
      <c r="B251" s="8">
        <f t="shared" si="30"/>
        <v>1</v>
      </c>
      <c r="C251" s="8" t="str">
        <f t="shared" si="31"/>
        <v>Unique</v>
      </c>
      <c r="D251" s="9">
        <v>45870</v>
      </c>
      <c r="E251" s="8">
        <f t="shared" si="32"/>
        <v>1</v>
      </c>
      <c r="F251" s="10">
        <v>45871</v>
      </c>
      <c r="G251" s="8" t="s">
        <v>869</v>
      </c>
      <c r="H251" s="8" t="s">
        <v>34</v>
      </c>
      <c r="I251" s="8" t="str">
        <f t="shared" si="39"/>
        <v>Mira Das</v>
      </c>
      <c r="J251" s="8" t="s">
        <v>88</v>
      </c>
      <c r="K251" s="8" t="str">
        <f t="shared" si="33"/>
        <v>Corporate</v>
      </c>
      <c r="L251" s="8" t="s">
        <v>23</v>
      </c>
      <c r="M251" s="8" t="str">
        <f t="shared" si="34"/>
        <v>North</v>
      </c>
      <c r="N251" s="8" t="s">
        <v>24</v>
      </c>
      <c r="O251" s="8" t="str">
        <f t="shared" si="35"/>
        <v>Rajasthan</v>
      </c>
      <c r="P251" s="8" t="s">
        <v>25</v>
      </c>
      <c r="Q251" s="8" t="str">
        <f t="shared" si="36"/>
        <v>Jaipur</v>
      </c>
      <c r="R251" s="8" t="s">
        <v>39</v>
      </c>
      <c r="S251" s="8" t="str">
        <f t="shared" si="37"/>
        <v>Furniture</v>
      </c>
      <c r="T251" s="8" t="s">
        <v>55</v>
      </c>
      <c r="U251" s="8" t="str">
        <f t="shared" si="38"/>
        <v>Furnishings</v>
      </c>
      <c r="V251" s="8" t="s">
        <v>870</v>
      </c>
    </row>
    <row r="252" spans="1:22">
      <c r="A252" s="8" t="s">
        <v>871</v>
      </c>
      <c r="B252" s="8">
        <f t="shared" si="30"/>
        <v>2</v>
      </c>
      <c r="C252" s="8" t="str">
        <f t="shared" si="31"/>
        <v>Review Duplicate ID</v>
      </c>
      <c r="D252" s="9">
        <v>45343</v>
      </c>
      <c r="E252" s="8">
        <f t="shared" si="32"/>
        <v>6</v>
      </c>
      <c r="F252" s="10">
        <v>45349</v>
      </c>
      <c r="G252" s="8" t="s">
        <v>872</v>
      </c>
      <c r="H252" s="8" t="s">
        <v>51</v>
      </c>
      <c r="I252" s="8" t="str">
        <f t="shared" si="39"/>
        <v>Arjun Bose</v>
      </c>
      <c r="J252" s="8" t="s">
        <v>35</v>
      </c>
      <c r="K252" s="8" t="str">
        <f t="shared" si="33"/>
        <v>Small Business</v>
      </c>
      <c r="L252" s="8" t="s">
        <v>36</v>
      </c>
      <c r="M252" s="8" t="str">
        <f t="shared" si="34"/>
        <v>East</v>
      </c>
      <c r="N252" s="8" t="s">
        <v>97</v>
      </c>
      <c r="O252" s="8" t="str">
        <f t="shared" si="35"/>
        <v>West Bengal</v>
      </c>
      <c r="P252" s="8" t="s">
        <v>98</v>
      </c>
      <c r="Q252" s="8" t="str">
        <f t="shared" si="36"/>
        <v>Kolkata</v>
      </c>
      <c r="R252" s="8" t="s">
        <v>39</v>
      </c>
      <c r="S252" s="8" t="str">
        <f t="shared" si="37"/>
        <v>Furniture</v>
      </c>
      <c r="T252" s="8" t="s">
        <v>55</v>
      </c>
      <c r="U252" s="8" t="str">
        <f t="shared" si="38"/>
        <v>Furnishings</v>
      </c>
      <c r="V252" s="8" t="s">
        <v>873</v>
      </c>
    </row>
    <row r="253" spans="1:22">
      <c r="A253" s="8" t="s">
        <v>874</v>
      </c>
      <c r="B253" s="8">
        <f t="shared" si="30"/>
        <v>1</v>
      </c>
      <c r="C253" s="8" t="str">
        <f t="shared" si="31"/>
        <v>Unique</v>
      </c>
      <c r="D253" s="9">
        <v>45812</v>
      </c>
      <c r="E253" s="8">
        <f t="shared" si="32"/>
        <v>-55</v>
      </c>
      <c r="F253" s="10">
        <v>45757</v>
      </c>
      <c r="G253" s="8" t="s">
        <v>875</v>
      </c>
      <c r="H253" s="8" t="s">
        <v>60</v>
      </c>
      <c r="I253" s="8" t="str">
        <f t="shared" si="39"/>
        <v>Ananya Rao</v>
      </c>
      <c r="J253" s="8" t="s">
        <v>88</v>
      </c>
      <c r="K253" s="8" t="str">
        <f t="shared" si="33"/>
        <v>Corporate</v>
      </c>
      <c r="L253" s="8" t="s">
        <v>61</v>
      </c>
      <c r="M253" s="8" t="str">
        <f t="shared" si="34"/>
        <v>West</v>
      </c>
      <c r="N253" s="8" t="s">
        <v>178</v>
      </c>
      <c r="O253" s="8" t="str">
        <f t="shared" si="35"/>
        <v>Gujarat</v>
      </c>
      <c r="P253" s="8" t="s">
        <v>179</v>
      </c>
      <c r="Q253" s="8" t="str">
        <f t="shared" si="36"/>
        <v>Ahmedabad</v>
      </c>
      <c r="R253" s="8" t="s">
        <v>39</v>
      </c>
      <c r="S253" s="8" t="str">
        <f t="shared" si="37"/>
        <v>Furniture</v>
      </c>
      <c r="T253" s="8" t="s">
        <v>40</v>
      </c>
      <c r="U253" s="8" t="str">
        <f t="shared" si="38"/>
        <v>Tables</v>
      </c>
      <c r="V253" s="8" t="s">
        <v>876</v>
      </c>
    </row>
    <row r="254" spans="1:22">
      <c r="A254" s="8" t="s">
        <v>877</v>
      </c>
      <c r="B254" s="8">
        <f t="shared" si="30"/>
        <v>1</v>
      </c>
      <c r="C254" s="8" t="str">
        <f t="shared" si="31"/>
        <v>Unique</v>
      </c>
      <c r="D254" s="9">
        <v>45833</v>
      </c>
      <c r="E254" s="8">
        <f t="shared" si="32"/>
        <v>3</v>
      </c>
      <c r="F254" s="10">
        <v>45836</v>
      </c>
      <c r="G254" s="8" t="s">
        <v>878</v>
      </c>
      <c r="H254" s="8" t="s">
        <v>51</v>
      </c>
      <c r="I254" s="8" t="str">
        <f t="shared" si="39"/>
        <v>Arjun Bose</v>
      </c>
      <c r="J254" s="8" t="s">
        <v>88</v>
      </c>
      <c r="K254" s="8" t="str">
        <f t="shared" si="33"/>
        <v>Corporate</v>
      </c>
      <c r="L254" s="8" t="s">
        <v>23</v>
      </c>
      <c r="M254" s="8" t="str">
        <f t="shared" si="34"/>
        <v>North</v>
      </c>
      <c r="N254" s="8" t="s">
        <v>235</v>
      </c>
      <c r="O254" s="8" t="str">
        <f t="shared" si="35"/>
        <v>Haryana</v>
      </c>
      <c r="P254" s="8" t="s">
        <v>236</v>
      </c>
      <c r="Q254" s="8" t="str">
        <f t="shared" si="36"/>
        <v>Gurugram</v>
      </c>
      <c r="R254" s="8" t="s">
        <v>26</v>
      </c>
      <c r="S254" s="8" t="str">
        <f t="shared" si="37"/>
        <v>Office Supplies</v>
      </c>
      <c r="T254" s="8" t="s">
        <v>122</v>
      </c>
      <c r="U254" s="8" t="str">
        <f t="shared" si="38"/>
        <v>Storage</v>
      </c>
      <c r="V254" s="8" t="s">
        <v>879</v>
      </c>
    </row>
    <row r="255" spans="1:22">
      <c r="A255" s="8" t="s">
        <v>880</v>
      </c>
      <c r="B255" s="8">
        <f t="shared" si="30"/>
        <v>1</v>
      </c>
      <c r="C255" s="8" t="str">
        <f t="shared" si="31"/>
        <v>Unique</v>
      </c>
      <c r="D255" s="9">
        <v>45635</v>
      </c>
      <c r="E255" s="8">
        <f t="shared" si="32"/>
        <v>-87</v>
      </c>
      <c r="F255" s="10">
        <v>45548</v>
      </c>
      <c r="G255" s="8" t="s">
        <v>881</v>
      </c>
      <c r="H255" s="8" t="s">
        <v>112</v>
      </c>
      <c r="I255" s="8" t="str">
        <f t="shared" si="39"/>
        <v>Priya Menon</v>
      </c>
      <c r="J255" s="8" t="s">
        <v>35</v>
      </c>
      <c r="K255" s="8" t="str">
        <f t="shared" si="33"/>
        <v>Small Business</v>
      </c>
      <c r="L255" s="8" t="s">
        <v>23</v>
      </c>
      <c r="M255" s="8" t="str">
        <f t="shared" si="34"/>
        <v>North</v>
      </c>
      <c r="N255" s="8" t="s">
        <v>24</v>
      </c>
      <c r="O255" s="8" t="str">
        <f t="shared" si="35"/>
        <v>Rajasthan</v>
      </c>
      <c r="P255" s="8" t="s">
        <v>25</v>
      </c>
      <c r="Q255" s="8" t="str">
        <f t="shared" si="36"/>
        <v>Jaipur</v>
      </c>
      <c r="R255" s="8" t="s">
        <v>72</v>
      </c>
      <c r="S255" s="8" t="str">
        <f t="shared" si="37"/>
        <v>Technology</v>
      </c>
      <c r="T255" s="8" t="s">
        <v>169</v>
      </c>
      <c r="U255" s="8" t="str">
        <f t="shared" si="38"/>
        <v>Phones</v>
      </c>
      <c r="V255" s="8" t="s">
        <v>882</v>
      </c>
    </row>
    <row r="256" spans="1:22">
      <c r="A256" s="8" t="s">
        <v>883</v>
      </c>
      <c r="B256" s="8">
        <f t="shared" si="30"/>
        <v>1</v>
      </c>
      <c r="C256" s="8" t="str">
        <f t="shared" si="31"/>
        <v>Unique</v>
      </c>
      <c r="D256" s="9">
        <v>45658</v>
      </c>
      <c r="E256" s="8">
        <f t="shared" si="32"/>
        <v>59</v>
      </c>
      <c r="F256" s="10">
        <v>45717</v>
      </c>
      <c r="G256" s="8" t="s">
        <v>884</v>
      </c>
      <c r="H256" s="8" t="s">
        <v>60</v>
      </c>
      <c r="I256" s="8" t="str">
        <f t="shared" si="39"/>
        <v>Ananya Rao</v>
      </c>
      <c r="J256" s="8" t="s">
        <v>22</v>
      </c>
      <c r="K256" s="8" t="str">
        <f t="shared" si="33"/>
        <v>Consumer</v>
      </c>
      <c r="L256" s="8" t="s">
        <v>61</v>
      </c>
      <c r="M256" s="8" t="str">
        <f t="shared" si="34"/>
        <v>West</v>
      </c>
      <c r="N256" s="8" t="s">
        <v>70</v>
      </c>
      <c r="O256" s="8" t="str">
        <f t="shared" si="35"/>
        <v>Madhya Pradesh</v>
      </c>
      <c r="P256" s="8" t="s">
        <v>71</v>
      </c>
      <c r="Q256" s="8" t="str">
        <f t="shared" si="36"/>
        <v>Indore</v>
      </c>
      <c r="R256" s="8" t="s">
        <v>72</v>
      </c>
      <c r="S256" s="8" t="str">
        <f t="shared" si="37"/>
        <v>Technology</v>
      </c>
      <c r="T256" s="8" t="s">
        <v>73</v>
      </c>
      <c r="U256" s="8" t="str">
        <f t="shared" si="38"/>
        <v>Accessories</v>
      </c>
      <c r="V256" s="8" t="s">
        <v>885</v>
      </c>
    </row>
    <row r="257" spans="1:22">
      <c r="A257" s="8" t="s">
        <v>886</v>
      </c>
      <c r="B257" s="8">
        <f t="shared" si="30"/>
        <v>1</v>
      </c>
      <c r="C257" s="8" t="str">
        <f t="shared" si="31"/>
        <v>Unique</v>
      </c>
      <c r="D257" s="9">
        <v>45749</v>
      </c>
      <c r="E257" s="8">
        <f t="shared" si="32"/>
        <v>-51</v>
      </c>
      <c r="F257" s="10">
        <v>45698</v>
      </c>
      <c r="G257" s="8" t="s">
        <v>887</v>
      </c>
      <c r="H257" s="8" t="s">
        <v>45</v>
      </c>
      <c r="I257" s="8" t="str">
        <f t="shared" si="39"/>
        <v>Isha Nair</v>
      </c>
      <c r="J257" s="8" t="s">
        <v>88</v>
      </c>
      <c r="K257" s="8" t="str">
        <f t="shared" si="33"/>
        <v>Corporate</v>
      </c>
      <c r="L257" s="8" t="s">
        <v>61</v>
      </c>
      <c r="M257" s="8" t="str">
        <f t="shared" si="34"/>
        <v>West</v>
      </c>
      <c r="N257" s="8" t="s">
        <v>62</v>
      </c>
      <c r="O257" s="8" t="str">
        <f t="shared" si="35"/>
        <v>Maharashtra</v>
      </c>
      <c r="P257" s="8" t="s">
        <v>63</v>
      </c>
      <c r="Q257" s="8" t="str">
        <f t="shared" si="36"/>
        <v>Mumbai</v>
      </c>
      <c r="R257" s="8" t="s">
        <v>72</v>
      </c>
      <c r="S257" s="8" t="str">
        <f t="shared" si="37"/>
        <v>Technology</v>
      </c>
      <c r="T257" s="8" t="s">
        <v>169</v>
      </c>
      <c r="U257" s="8" t="str">
        <f t="shared" si="38"/>
        <v>Phones</v>
      </c>
      <c r="V257" s="8" t="s">
        <v>888</v>
      </c>
    </row>
    <row r="258" spans="1:22">
      <c r="A258" s="8" t="s">
        <v>889</v>
      </c>
      <c r="B258" s="8">
        <f t="shared" si="30"/>
        <v>1</v>
      </c>
      <c r="C258" s="8" t="str">
        <f t="shared" si="31"/>
        <v>Unique</v>
      </c>
      <c r="D258" s="9">
        <v>45423</v>
      </c>
      <c r="E258" s="8">
        <f t="shared" si="32"/>
        <v>-61</v>
      </c>
      <c r="F258" s="10">
        <v>45362</v>
      </c>
      <c r="G258" s="8" t="s">
        <v>890</v>
      </c>
      <c r="H258" s="8" t="s">
        <v>60</v>
      </c>
      <c r="I258" s="8" t="str">
        <f t="shared" si="39"/>
        <v>Ananya Rao</v>
      </c>
      <c r="J258" s="8" t="s">
        <v>22</v>
      </c>
      <c r="K258" s="8" t="str">
        <f t="shared" si="33"/>
        <v>Consumer</v>
      </c>
      <c r="L258" s="8" t="s">
        <v>36</v>
      </c>
      <c r="M258" s="8" t="str">
        <f t="shared" si="34"/>
        <v>East</v>
      </c>
      <c r="N258" s="8" t="s">
        <v>97</v>
      </c>
      <c r="O258" s="8" t="str">
        <f t="shared" si="35"/>
        <v>West Bengal</v>
      </c>
      <c r="P258" s="8" t="s">
        <v>98</v>
      </c>
      <c r="Q258" s="8" t="str">
        <f t="shared" si="36"/>
        <v>Kolkata</v>
      </c>
      <c r="R258" s="8" t="s">
        <v>39</v>
      </c>
      <c r="S258" s="8" t="str">
        <f t="shared" si="37"/>
        <v>Furniture</v>
      </c>
      <c r="T258" s="8" t="s">
        <v>40</v>
      </c>
      <c r="U258" s="8" t="str">
        <f t="shared" si="38"/>
        <v>Tables</v>
      </c>
      <c r="V258" s="8" t="s">
        <v>891</v>
      </c>
    </row>
    <row r="259" spans="1:22">
      <c r="A259" s="8" t="s">
        <v>892</v>
      </c>
      <c r="B259" s="8">
        <f t="shared" ref="B259:B322" si="40">COUNTIF($A:$A,A259)</f>
        <v>1</v>
      </c>
      <c r="C259" s="8" t="str">
        <f t="shared" ref="C259:C322" si="41">IF(B259&gt;1,"Review Duplicate ID","Unique")</f>
        <v>Unique</v>
      </c>
      <c r="D259" s="9">
        <v>45908</v>
      </c>
      <c r="E259" s="8">
        <f t="shared" ref="E259:E322" si="42">F259-D259</f>
        <v>91</v>
      </c>
      <c r="F259" s="10">
        <v>45999</v>
      </c>
      <c r="G259" s="8" t="s">
        <v>893</v>
      </c>
      <c r="H259" s="8" t="s">
        <v>160</v>
      </c>
      <c r="I259" s="8" t="str">
        <f t="shared" si="39"/>
        <v>Diya Patel</v>
      </c>
      <c r="J259" s="8" t="s">
        <v>88</v>
      </c>
      <c r="K259" s="8" t="str">
        <f t="shared" ref="K259:K322" si="43">PROPER(TRIM(J259))</f>
        <v>Corporate</v>
      </c>
      <c r="L259" s="8" t="s">
        <v>52</v>
      </c>
      <c r="M259" s="8" t="str">
        <f t="shared" ref="M259:M322" si="44">PROPER(TRIM(L259))</f>
        <v>South</v>
      </c>
      <c r="N259" s="8" t="s">
        <v>173</v>
      </c>
      <c r="O259" s="8" t="str">
        <f t="shared" ref="O259:O322" si="45">PROPER(TRIM(N259))</f>
        <v>Karnataka</v>
      </c>
      <c r="P259" s="8" t="s">
        <v>174</v>
      </c>
      <c r="Q259" s="8" t="str">
        <f t="shared" ref="Q259:Q322" si="46">PROPER(TRIM(P259))</f>
        <v>Bengaluru</v>
      </c>
      <c r="R259" s="8" t="s">
        <v>72</v>
      </c>
      <c r="S259" s="8" t="str">
        <f t="shared" ref="S259:S322" si="47">PROPER(TRIM(R259))</f>
        <v>Technology</v>
      </c>
      <c r="T259" s="8" t="s">
        <v>73</v>
      </c>
      <c r="U259" s="8" t="str">
        <f t="shared" ref="U259:U322" si="48">PROPER(TRIM(T259))</f>
        <v>Accessories</v>
      </c>
      <c r="V259" s="8" t="s">
        <v>894</v>
      </c>
    </row>
    <row r="260" spans="1:22">
      <c r="A260" s="8" t="s">
        <v>895</v>
      </c>
      <c r="B260" s="8">
        <f t="shared" si="40"/>
        <v>1</v>
      </c>
      <c r="C260" s="8" t="str">
        <f t="shared" si="41"/>
        <v>Unique</v>
      </c>
      <c r="D260" s="9">
        <v>45656</v>
      </c>
      <c r="E260" s="8">
        <f t="shared" si="42"/>
        <v>92</v>
      </c>
      <c r="F260" s="10">
        <v>45748</v>
      </c>
      <c r="G260" s="8" t="s">
        <v>896</v>
      </c>
      <c r="H260" s="8" t="s">
        <v>130</v>
      </c>
      <c r="I260" s="8" t="str">
        <f t="shared" ref="I260:I323" si="49">PROPER(TRIM(H260))</f>
        <v>Sneha Kapoor</v>
      </c>
      <c r="J260" s="8" t="s">
        <v>88</v>
      </c>
      <c r="K260" s="8" t="str">
        <f t="shared" si="43"/>
        <v>Corporate</v>
      </c>
      <c r="L260" s="8" t="s">
        <v>52</v>
      </c>
      <c r="M260" s="8" t="str">
        <f t="shared" si="44"/>
        <v>South</v>
      </c>
      <c r="N260" s="8" t="s">
        <v>246</v>
      </c>
      <c r="O260" s="8" t="str">
        <f t="shared" si="45"/>
        <v>Tamil Nadu</v>
      </c>
      <c r="P260" s="8" t="s">
        <v>247</v>
      </c>
      <c r="Q260" s="8" t="str">
        <f t="shared" si="46"/>
        <v>Chennai</v>
      </c>
      <c r="R260" s="8" t="s">
        <v>39</v>
      </c>
      <c r="S260" s="8" t="str">
        <f t="shared" si="47"/>
        <v>Furniture</v>
      </c>
      <c r="T260" s="8" t="s">
        <v>40</v>
      </c>
      <c r="U260" s="8" t="str">
        <f t="shared" si="48"/>
        <v>Tables</v>
      </c>
      <c r="V260" s="8" t="s">
        <v>897</v>
      </c>
    </row>
    <row r="261" spans="1:22">
      <c r="A261" s="8" t="s">
        <v>898</v>
      </c>
      <c r="B261" s="8">
        <f t="shared" si="40"/>
        <v>1</v>
      </c>
      <c r="C261" s="8" t="str">
        <f t="shared" si="41"/>
        <v>Unique</v>
      </c>
      <c r="D261" s="9">
        <v>45464</v>
      </c>
      <c r="E261" s="8">
        <f t="shared" si="42"/>
        <v>8</v>
      </c>
      <c r="F261" s="10">
        <v>45472</v>
      </c>
      <c r="G261" s="8" t="s">
        <v>899</v>
      </c>
      <c r="H261" s="8" t="s">
        <v>77</v>
      </c>
      <c r="I261" s="8" t="str">
        <f t="shared" si="49"/>
        <v>Neha Gupta</v>
      </c>
      <c r="J261" s="8" t="s">
        <v>22</v>
      </c>
      <c r="K261" s="8" t="str">
        <f t="shared" si="43"/>
        <v>Consumer</v>
      </c>
      <c r="L261" s="8" t="s">
        <v>52</v>
      </c>
      <c r="M261" s="8" t="str">
        <f t="shared" si="44"/>
        <v>South</v>
      </c>
      <c r="N261" s="8" t="s">
        <v>246</v>
      </c>
      <c r="O261" s="8" t="str">
        <f t="shared" si="45"/>
        <v>Tamil Nadu</v>
      </c>
      <c r="P261" s="8" t="s">
        <v>247</v>
      </c>
      <c r="Q261" s="8" t="str">
        <f t="shared" si="46"/>
        <v>Chennai</v>
      </c>
      <c r="R261" s="8" t="s">
        <v>72</v>
      </c>
      <c r="S261" s="8" t="str">
        <f t="shared" si="47"/>
        <v>Technology</v>
      </c>
      <c r="T261" s="8" t="s">
        <v>273</v>
      </c>
      <c r="U261" s="8" t="str">
        <f t="shared" si="48"/>
        <v>Machines</v>
      </c>
      <c r="V261" s="8" t="s">
        <v>900</v>
      </c>
    </row>
    <row r="262" spans="1:22">
      <c r="A262" s="8" t="s">
        <v>901</v>
      </c>
      <c r="B262" s="8">
        <f t="shared" si="40"/>
        <v>1</v>
      </c>
      <c r="C262" s="8" t="str">
        <f t="shared" si="41"/>
        <v>Unique</v>
      </c>
      <c r="D262" s="9">
        <v>45923</v>
      </c>
      <c r="E262" s="8">
        <f t="shared" si="42"/>
        <v>4</v>
      </c>
      <c r="F262" s="10">
        <v>45927</v>
      </c>
      <c r="G262" s="8" t="s">
        <v>902</v>
      </c>
      <c r="H262" s="8" t="s">
        <v>87</v>
      </c>
      <c r="I262" s="8" t="str">
        <f t="shared" si="49"/>
        <v>Aditi Sen</v>
      </c>
      <c r="J262" s="8" t="s">
        <v>88</v>
      </c>
      <c r="K262" s="8" t="str">
        <f t="shared" si="43"/>
        <v>Corporate</v>
      </c>
      <c r="L262" s="8" t="s">
        <v>36</v>
      </c>
      <c r="M262" s="8" t="str">
        <f t="shared" si="44"/>
        <v>East</v>
      </c>
      <c r="N262" s="8" t="s">
        <v>97</v>
      </c>
      <c r="O262" s="8" t="str">
        <f t="shared" si="45"/>
        <v>West Bengal</v>
      </c>
      <c r="P262" s="8" t="s">
        <v>98</v>
      </c>
      <c r="Q262" s="8" t="str">
        <f t="shared" si="46"/>
        <v>Kolkata</v>
      </c>
      <c r="R262" s="8" t="s">
        <v>26</v>
      </c>
      <c r="S262" s="8" t="str">
        <f t="shared" si="47"/>
        <v>Office Supplies</v>
      </c>
      <c r="T262" s="8" t="s">
        <v>151</v>
      </c>
      <c r="U262" s="8" t="str">
        <f t="shared" si="48"/>
        <v>Binders</v>
      </c>
      <c r="V262" s="8" t="s">
        <v>903</v>
      </c>
    </row>
    <row r="263" spans="1:22">
      <c r="A263" s="8" t="s">
        <v>904</v>
      </c>
      <c r="B263" s="8">
        <f t="shared" si="40"/>
        <v>1</v>
      </c>
      <c r="C263" s="8" t="str">
        <f t="shared" si="41"/>
        <v>Unique</v>
      </c>
      <c r="D263" s="9">
        <v>45826</v>
      </c>
      <c r="E263" s="8">
        <f t="shared" si="42"/>
        <v>6</v>
      </c>
      <c r="F263" s="10">
        <v>45832</v>
      </c>
      <c r="G263" s="8" t="s">
        <v>905</v>
      </c>
      <c r="H263" s="8" t="s">
        <v>130</v>
      </c>
      <c r="I263" s="8" t="str">
        <f t="shared" si="49"/>
        <v>Sneha Kapoor</v>
      </c>
      <c r="J263" s="8" t="s">
        <v>88</v>
      </c>
      <c r="K263" s="8" t="str">
        <f t="shared" si="43"/>
        <v>Corporate</v>
      </c>
      <c r="L263" s="8" t="s">
        <v>23</v>
      </c>
      <c r="M263" s="8" t="str">
        <f t="shared" si="44"/>
        <v>North</v>
      </c>
      <c r="N263" s="8" t="s">
        <v>24</v>
      </c>
      <c r="O263" s="8" t="str">
        <f t="shared" si="45"/>
        <v>Rajasthan</v>
      </c>
      <c r="P263" s="8" t="s">
        <v>25</v>
      </c>
      <c r="Q263" s="8" t="str">
        <f t="shared" si="46"/>
        <v>Jaipur</v>
      </c>
      <c r="R263" s="8" t="s">
        <v>26</v>
      </c>
      <c r="S263" s="8" t="str">
        <f t="shared" si="47"/>
        <v>Office Supplies</v>
      </c>
      <c r="T263" s="8" t="s">
        <v>89</v>
      </c>
      <c r="U263" s="8" t="str">
        <f t="shared" si="48"/>
        <v>Labels</v>
      </c>
      <c r="V263" s="8" t="s">
        <v>906</v>
      </c>
    </row>
    <row r="264" spans="1:22">
      <c r="A264" s="8" t="s">
        <v>907</v>
      </c>
      <c r="B264" s="8">
        <f t="shared" si="40"/>
        <v>1</v>
      </c>
      <c r="C264" s="8" t="str">
        <f t="shared" si="41"/>
        <v>Unique</v>
      </c>
      <c r="D264" s="9">
        <v>45803</v>
      </c>
      <c r="E264" s="8">
        <f t="shared" si="42"/>
        <v>-140</v>
      </c>
      <c r="F264" s="10">
        <v>45663</v>
      </c>
      <c r="G264" s="8" t="s">
        <v>635</v>
      </c>
      <c r="H264" s="8" t="s">
        <v>51</v>
      </c>
      <c r="I264" s="8" t="str">
        <f t="shared" si="49"/>
        <v>Arjun Bose</v>
      </c>
      <c r="J264" s="8" t="s">
        <v>35</v>
      </c>
      <c r="K264" s="8" t="str">
        <f t="shared" si="43"/>
        <v>Small Business</v>
      </c>
      <c r="L264" s="8" t="s">
        <v>23</v>
      </c>
      <c r="M264" s="8" t="str">
        <f t="shared" si="44"/>
        <v>North</v>
      </c>
      <c r="N264" s="8" t="s">
        <v>349</v>
      </c>
      <c r="O264" s="8" t="str">
        <f t="shared" si="45"/>
        <v>Delhi</v>
      </c>
      <c r="P264" s="8" t="s">
        <v>350</v>
      </c>
      <c r="Q264" s="8" t="str">
        <f t="shared" si="46"/>
        <v>New Delhi</v>
      </c>
      <c r="R264" s="8" t="s">
        <v>72</v>
      </c>
      <c r="S264" s="8" t="str">
        <f t="shared" si="47"/>
        <v>Technology</v>
      </c>
      <c r="T264" s="8" t="s">
        <v>169</v>
      </c>
      <c r="U264" s="8" t="str">
        <f t="shared" si="48"/>
        <v>Phones</v>
      </c>
      <c r="V264" s="8" t="s">
        <v>908</v>
      </c>
    </row>
    <row r="265" spans="1:22">
      <c r="A265" s="8" t="s">
        <v>909</v>
      </c>
      <c r="B265" s="8">
        <f t="shared" si="40"/>
        <v>1</v>
      </c>
      <c r="C265" s="8" t="str">
        <f t="shared" si="41"/>
        <v>Unique</v>
      </c>
      <c r="D265" s="9">
        <v>45816</v>
      </c>
      <c r="E265" s="8">
        <f t="shared" si="42"/>
        <v>122</v>
      </c>
      <c r="F265" s="10">
        <v>45938</v>
      </c>
      <c r="G265" s="8" t="s">
        <v>910</v>
      </c>
      <c r="H265" s="8" t="s">
        <v>139</v>
      </c>
      <c r="I265" s="8" t="str">
        <f t="shared" si="49"/>
        <v>Rohan Mehta</v>
      </c>
      <c r="J265" s="8" t="s">
        <v>35</v>
      </c>
      <c r="K265" s="8" t="str">
        <f t="shared" si="43"/>
        <v>Small Business</v>
      </c>
      <c r="L265" s="8" t="s">
        <v>23</v>
      </c>
      <c r="M265" s="8" t="str">
        <f t="shared" si="44"/>
        <v>North</v>
      </c>
      <c r="N265" s="8" t="s">
        <v>349</v>
      </c>
      <c r="O265" s="8" t="str">
        <f t="shared" si="45"/>
        <v>Delhi</v>
      </c>
      <c r="P265" s="8" t="s">
        <v>350</v>
      </c>
      <c r="Q265" s="8" t="str">
        <f t="shared" si="46"/>
        <v>New Delhi</v>
      </c>
      <c r="R265" s="8" t="s">
        <v>26</v>
      </c>
      <c r="S265" s="8" t="str">
        <f t="shared" si="47"/>
        <v>Office Supplies</v>
      </c>
      <c r="T265" s="8" t="s">
        <v>151</v>
      </c>
      <c r="U265" s="8" t="str">
        <f t="shared" si="48"/>
        <v>Binders</v>
      </c>
      <c r="V265" s="8" t="s">
        <v>911</v>
      </c>
    </row>
    <row r="266" spans="1:22">
      <c r="A266" s="8" t="s">
        <v>912</v>
      </c>
      <c r="B266" s="8">
        <f t="shared" si="40"/>
        <v>1</v>
      </c>
      <c r="C266" s="8" t="str">
        <f t="shared" si="41"/>
        <v>Unique</v>
      </c>
      <c r="D266" s="9">
        <v>45428</v>
      </c>
      <c r="E266" s="8">
        <f t="shared" si="42"/>
        <v>5</v>
      </c>
      <c r="F266" s="10">
        <v>45433</v>
      </c>
      <c r="G266" s="8" t="s">
        <v>913</v>
      </c>
      <c r="H266" s="8" t="s">
        <v>160</v>
      </c>
      <c r="I266" s="8" t="str">
        <f t="shared" si="49"/>
        <v>Diya Patel</v>
      </c>
      <c r="J266" s="8" t="s">
        <v>35</v>
      </c>
      <c r="K266" s="8" t="str">
        <f t="shared" si="43"/>
        <v>Small Business</v>
      </c>
      <c r="L266" s="8" t="s">
        <v>36</v>
      </c>
      <c r="M266" s="8" t="str">
        <f t="shared" si="44"/>
        <v>East</v>
      </c>
      <c r="N266" s="8" t="s">
        <v>143</v>
      </c>
      <c r="O266" s="8" t="str">
        <f t="shared" si="45"/>
        <v>Bihar</v>
      </c>
      <c r="P266" s="8" t="s">
        <v>144</v>
      </c>
      <c r="Q266" s="8" t="str">
        <f t="shared" si="46"/>
        <v>Patna</v>
      </c>
      <c r="R266" s="8" t="s">
        <v>72</v>
      </c>
      <c r="S266" s="8" t="str">
        <f t="shared" si="47"/>
        <v>Technology</v>
      </c>
      <c r="T266" s="8" t="s">
        <v>78</v>
      </c>
      <c r="U266" s="8" t="str">
        <f t="shared" si="48"/>
        <v>Copiers</v>
      </c>
      <c r="V266" s="8" t="s">
        <v>914</v>
      </c>
    </row>
    <row r="267" spans="1:22">
      <c r="A267" s="8" t="s">
        <v>915</v>
      </c>
      <c r="B267" s="8">
        <f t="shared" si="40"/>
        <v>1</v>
      </c>
      <c r="C267" s="8" t="str">
        <f t="shared" si="41"/>
        <v>Unique</v>
      </c>
      <c r="D267" s="9">
        <v>45610</v>
      </c>
      <c r="E267" s="8">
        <f t="shared" si="42"/>
        <v>8</v>
      </c>
      <c r="F267" s="10">
        <v>45618</v>
      </c>
      <c r="G267" s="8" t="s">
        <v>916</v>
      </c>
      <c r="H267" s="8" t="s">
        <v>112</v>
      </c>
      <c r="I267" s="8" t="str">
        <f t="shared" si="49"/>
        <v>Priya Menon</v>
      </c>
      <c r="J267" s="8" t="s">
        <v>88</v>
      </c>
      <c r="K267" s="8" t="str">
        <f t="shared" si="43"/>
        <v>Corporate</v>
      </c>
      <c r="L267" s="8" t="s">
        <v>36</v>
      </c>
      <c r="M267" s="8" t="str">
        <f t="shared" si="44"/>
        <v>East</v>
      </c>
      <c r="N267" s="8" t="s">
        <v>143</v>
      </c>
      <c r="O267" s="8" t="str">
        <f t="shared" si="45"/>
        <v>Bihar</v>
      </c>
      <c r="P267" s="8" t="s">
        <v>144</v>
      </c>
      <c r="Q267" s="8" t="str">
        <f t="shared" si="46"/>
        <v>Patna</v>
      </c>
      <c r="R267" s="8" t="s">
        <v>39</v>
      </c>
      <c r="S267" s="8" t="str">
        <f t="shared" si="47"/>
        <v>Furniture</v>
      </c>
      <c r="T267" s="8" t="s">
        <v>156</v>
      </c>
      <c r="U267" s="8" t="str">
        <f t="shared" si="48"/>
        <v>Bookcases</v>
      </c>
      <c r="V267" s="8" t="s">
        <v>917</v>
      </c>
    </row>
    <row r="268" spans="1:22">
      <c r="A268" s="8" t="s">
        <v>918</v>
      </c>
      <c r="B268" s="8">
        <f t="shared" si="40"/>
        <v>1</v>
      </c>
      <c r="C268" s="8" t="str">
        <f t="shared" si="41"/>
        <v>Unique</v>
      </c>
      <c r="D268" s="9">
        <v>45721</v>
      </c>
      <c r="E268" s="8">
        <f t="shared" si="42"/>
        <v>214</v>
      </c>
      <c r="F268" s="10">
        <v>45935</v>
      </c>
      <c r="G268" s="8" t="s">
        <v>919</v>
      </c>
      <c r="H268" s="8" t="s">
        <v>77</v>
      </c>
      <c r="I268" s="8" t="str">
        <f t="shared" si="49"/>
        <v>Neha Gupta</v>
      </c>
      <c r="J268" s="8" t="s">
        <v>93</v>
      </c>
      <c r="K268" s="8" t="str">
        <f t="shared" si="43"/>
        <v>Home Office</v>
      </c>
      <c r="L268" s="8" t="s">
        <v>61</v>
      </c>
      <c r="M268" s="8" t="str">
        <f t="shared" si="44"/>
        <v>West</v>
      </c>
      <c r="N268" s="8" t="s">
        <v>62</v>
      </c>
      <c r="O268" s="8" t="str">
        <f t="shared" si="45"/>
        <v>Maharashtra</v>
      </c>
      <c r="P268" s="8" t="s">
        <v>63</v>
      </c>
      <c r="Q268" s="8" t="str">
        <f t="shared" si="46"/>
        <v>Mumbai</v>
      </c>
      <c r="R268" s="8" t="s">
        <v>26</v>
      </c>
      <c r="S268" s="8" t="str">
        <f t="shared" si="47"/>
        <v>Office Supplies</v>
      </c>
      <c r="T268" s="8" t="s">
        <v>122</v>
      </c>
      <c r="U268" s="8" t="str">
        <f t="shared" si="48"/>
        <v>Storage</v>
      </c>
      <c r="V268" s="8" t="s">
        <v>920</v>
      </c>
    </row>
    <row r="269" spans="1:22">
      <c r="A269" s="8" t="s">
        <v>921</v>
      </c>
      <c r="B269" s="8">
        <f t="shared" si="40"/>
        <v>1</v>
      </c>
      <c r="C269" s="8" t="str">
        <f t="shared" si="41"/>
        <v>Unique</v>
      </c>
      <c r="D269" s="9">
        <v>45805</v>
      </c>
      <c r="E269" s="8">
        <f t="shared" si="42"/>
        <v>-52</v>
      </c>
      <c r="F269" s="10">
        <v>45753</v>
      </c>
      <c r="G269" s="8" t="s">
        <v>922</v>
      </c>
      <c r="H269" s="8" t="s">
        <v>160</v>
      </c>
      <c r="I269" s="8" t="str">
        <f t="shared" si="49"/>
        <v>Diya Patel</v>
      </c>
      <c r="J269" s="8" t="s">
        <v>88</v>
      </c>
      <c r="K269" s="8" t="str">
        <f t="shared" si="43"/>
        <v>Corporate</v>
      </c>
      <c r="L269" s="8" t="s">
        <v>36</v>
      </c>
      <c r="M269" s="8" t="str">
        <f t="shared" si="44"/>
        <v>East</v>
      </c>
      <c r="N269" s="8" t="s">
        <v>227</v>
      </c>
      <c r="O269" s="8" t="str">
        <f t="shared" si="45"/>
        <v>Jharkhand</v>
      </c>
      <c r="P269" s="8" t="s">
        <v>228</v>
      </c>
      <c r="Q269" s="8" t="str">
        <f t="shared" si="46"/>
        <v>Ranchi</v>
      </c>
      <c r="R269" s="8" t="s">
        <v>39</v>
      </c>
      <c r="S269" s="8" t="str">
        <f t="shared" si="47"/>
        <v>Furniture</v>
      </c>
      <c r="T269" s="8" t="s">
        <v>55</v>
      </c>
      <c r="U269" s="8" t="str">
        <f t="shared" si="48"/>
        <v>Furnishings</v>
      </c>
      <c r="V269" s="8" t="s">
        <v>923</v>
      </c>
    </row>
    <row r="270" spans="1:22">
      <c r="A270" s="8" t="s">
        <v>924</v>
      </c>
      <c r="B270" s="8">
        <f t="shared" si="40"/>
        <v>1</v>
      </c>
      <c r="C270" s="8" t="str">
        <f t="shared" si="41"/>
        <v>Unique</v>
      </c>
      <c r="D270" s="9">
        <v>45886</v>
      </c>
      <c r="E270" s="8">
        <f t="shared" si="42"/>
        <v>0</v>
      </c>
      <c r="F270" s="10">
        <v>45886</v>
      </c>
      <c r="G270" s="8" t="s">
        <v>925</v>
      </c>
      <c r="H270" s="8" t="s">
        <v>126</v>
      </c>
      <c r="I270" s="8" t="str">
        <f t="shared" si="49"/>
        <v>Aarav Sharma</v>
      </c>
      <c r="J270" s="8" t="s">
        <v>93</v>
      </c>
      <c r="K270" s="8" t="str">
        <f t="shared" si="43"/>
        <v>Home Office</v>
      </c>
      <c r="L270" s="8" t="s">
        <v>23</v>
      </c>
      <c r="M270" s="8" t="str">
        <f t="shared" si="44"/>
        <v>North</v>
      </c>
      <c r="N270" s="8" t="s">
        <v>120</v>
      </c>
      <c r="O270" s="8" t="str">
        <f t="shared" si="45"/>
        <v>Punjab</v>
      </c>
      <c r="P270" s="8" t="s">
        <v>121</v>
      </c>
      <c r="Q270" s="8" t="str">
        <f t="shared" si="46"/>
        <v>Ludhiana</v>
      </c>
      <c r="R270" s="8" t="s">
        <v>72</v>
      </c>
      <c r="S270" s="8" t="str">
        <f t="shared" si="47"/>
        <v>Technology</v>
      </c>
      <c r="T270" s="8" t="s">
        <v>73</v>
      </c>
      <c r="U270" s="8" t="str">
        <f t="shared" si="48"/>
        <v>Accessories</v>
      </c>
      <c r="V270" s="8" t="s">
        <v>926</v>
      </c>
    </row>
    <row r="271" spans="1:22">
      <c r="A271" s="8" t="s">
        <v>927</v>
      </c>
      <c r="B271" s="8">
        <f t="shared" si="40"/>
        <v>1</v>
      </c>
      <c r="C271" s="8" t="str">
        <f t="shared" si="41"/>
        <v>Unique</v>
      </c>
      <c r="D271" s="9">
        <v>45698</v>
      </c>
      <c r="E271" s="8">
        <f t="shared" si="42"/>
        <v>2</v>
      </c>
      <c r="F271" s="10">
        <v>45700</v>
      </c>
      <c r="G271" s="8" t="s">
        <v>928</v>
      </c>
      <c r="H271" s="8" t="s">
        <v>116</v>
      </c>
      <c r="I271" s="8" t="str">
        <f t="shared" si="49"/>
        <v>Rahul Verma</v>
      </c>
      <c r="J271" s="8" t="s">
        <v>35</v>
      </c>
      <c r="K271" s="8" t="str">
        <f t="shared" si="43"/>
        <v>Small Business</v>
      </c>
      <c r="L271" s="8" t="s">
        <v>61</v>
      </c>
      <c r="M271" s="8" t="str">
        <f t="shared" si="44"/>
        <v>West</v>
      </c>
      <c r="N271" s="8" t="s">
        <v>24</v>
      </c>
      <c r="O271" s="8" t="str">
        <f t="shared" si="45"/>
        <v>Rajasthan</v>
      </c>
      <c r="P271" s="8" t="s">
        <v>107</v>
      </c>
      <c r="Q271" s="8" t="str">
        <f t="shared" si="46"/>
        <v>Udaipur</v>
      </c>
      <c r="R271" s="8" t="s">
        <v>39</v>
      </c>
      <c r="S271" s="8" t="str">
        <f t="shared" si="47"/>
        <v>Furniture</v>
      </c>
      <c r="T271" s="8" t="s">
        <v>40</v>
      </c>
      <c r="U271" s="8" t="str">
        <f t="shared" si="48"/>
        <v>Tables</v>
      </c>
      <c r="V271" s="8" t="s">
        <v>929</v>
      </c>
    </row>
    <row r="272" spans="1:22">
      <c r="A272" s="8" t="s">
        <v>930</v>
      </c>
      <c r="B272" s="8">
        <f t="shared" si="40"/>
        <v>1</v>
      </c>
      <c r="C272" s="8" t="str">
        <f t="shared" si="41"/>
        <v>Unique</v>
      </c>
      <c r="D272" s="9">
        <v>45303</v>
      </c>
      <c r="E272" s="8">
        <f t="shared" si="42"/>
        <v>1</v>
      </c>
      <c r="F272" s="10">
        <v>45304</v>
      </c>
      <c r="G272" s="8" t="s">
        <v>931</v>
      </c>
      <c r="H272" s="8" t="s">
        <v>87</v>
      </c>
      <c r="I272" s="8" t="str">
        <f t="shared" si="49"/>
        <v>Aditi Sen</v>
      </c>
      <c r="J272" s="8" t="s">
        <v>88</v>
      </c>
      <c r="K272" s="8" t="str">
        <f t="shared" si="43"/>
        <v>Corporate</v>
      </c>
      <c r="L272" s="8" t="s">
        <v>23</v>
      </c>
      <c r="M272" s="8" t="str">
        <f t="shared" si="44"/>
        <v>North</v>
      </c>
      <c r="N272" s="8" t="s">
        <v>134</v>
      </c>
      <c r="O272" s="8" t="str">
        <f t="shared" si="45"/>
        <v>Uttar Pradesh</v>
      </c>
      <c r="P272" s="8" t="s">
        <v>135</v>
      </c>
      <c r="Q272" s="8" t="str">
        <f t="shared" si="46"/>
        <v>Noida</v>
      </c>
      <c r="R272" s="8" t="s">
        <v>72</v>
      </c>
      <c r="S272" s="8" t="str">
        <f t="shared" si="47"/>
        <v>Technology</v>
      </c>
      <c r="T272" s="8" t="s">
        <v>273</v>
      </c>
      <c r="U272" s="8" t="str">
        <f t="shared" si="48"/>
        <v>Machines</v>
      </c>
      <c r="V272" s="8" t="s">
        <v>932</v>
      </c>
    </row>
    <row r="273" spans="1:22">
      <c r="A273" s="8" t="s">
        <v>933</v>
      </c>
      <c r="B273" s="8">
        <f t="shared" si="40"/>
        <v>1</v>
      </c>
      <c r="C273" s="8" t="str">
        <f t="shared" si="41"/>
        <v>Unique</v>
      </c>
      <c r="D273" s="9">
        <v>45647</v>
      </c>
      <c r="E273" s="8">
        <f t="shared" si="42"/>
        <v>4</v>
      </c>
      <c r="F273" s="10">
        <v>45651</v>
      </c>
      <c r="G273" s="8" t="s">
        <v>934</v>
      </c>
      <c r="H273" s="8" t="s">
        <v>87</v>
      </c>
      <c r="I273" s="8" t="str">
        <f t="shared" si="49"/>
        <v>Aditi Sen</v>
      </c>
      <c r="J273" s="8" t="s">
        <v>22</v>
      </c>
      <c r="K273" s="8" t="str">
        <f t="shared" si="43"/>
        <v>Consumer</v>
      </c>
      <c r="L273" s="8" t="s">
        <v>52</v>
      </c>
      <c r="M273" s="8" t="str">
        <f t="shared" si="44"/>
        <v>South</v>
      </c>
      <c r="N273" s="8" t="s">
        <v>53</v>
      </c>
      <c r="O273" s="8" t="str">
        <f t="shared" si="45"/>
        <v>Telangana</v>
      </c>
      <c r="P273" s="8" t="s">
        <v>54</v>
      </c>
      <c r="Q273" s="8" t="str">
        <f t="shared" si="46"/>
        <v>Hyderabad</v>
      </c>
      <c r="R273" s="8" t="s">
        <v>26</v>
      </c>
      <c r="S273" s="8" t="str">
        <f t="shared" si="47"/>
        <v>Office Supplies</v>
      </c>
      <c r="T273" s="8" t="s">
        <v>151</v>
      </c>
      <c r="U273" s="8" t="str">
        <f t="shared" si="48"/>
        <v>Binders</v>
      </c>
      <c r="V273" s="8" t="s">
        <v>935</v>
      </c>
    </row>
    <row r="274" spans="1:22">
      <c r="A274" s="8" t="s">
        <v>936</v>
      </c>
      <c r="B274" s="8">
        <f t="shared" si="40"/>
        <v>2</v>
      </c>
      <c r="C274" s="8" t="str">
        <f t="shared" si="41"/>
        <v>Review Duplicate ID</v>
      </c>
      <c r="D274" s="9">
        <v>45522</v>
      </c>
      <c r="E274" s="8">
        <f t="shared" si="42"/>
        <v>6</v>
      </c>
      <c r="F274" s="10">
        <v>45528</v>
      </c>
      <c r="G274" s="8" t="s">
        <v>937</v>
      </c>
      <c r="H274" s="8" t="s">
        <v>51</v>
      </c>
      <c r="I274" s="8" t="str">
        <f t="shared" si="49"/>
        <v>Arjun Bose</v>
      </c>
      <c r="J274" s="8" t="s">
        <v>22</v>
      </c>
      <c r="K274" s="8" t="str">
        <f t="shared" si="43"/>
        <v>Consumer</v>
      </c>
      <c r="L274" s="8" t="s">
        <v>52</v>
      </c>
      <c r="M274" s="8" t="str">
        <f t="shared" si="44"/>
        <v>South</v>
      </c>
      <c r="N274" s="8" t="s">
        <v>82</v>
      </c>
      <c r="O274" s="8" t="str">
        <f t="shared" si="45"/>
        <v>Andhra Pradesh</v>
      </c>
      <c r="P274" s="8" t="s">
        <v>83</v>
      </c>
      <c r="Q274" s="8" t="str">
        <f t="shared" si="46"/>
        <v>Vijayawada</v>
      </c>
      <c r="R274" s="8" t="s">
        <v>39</v>
      </c>
      <c r="S274" s="8" t="str">
        <f t="shared" si="47"/>
        <v>Furniture</v>
      </c>
      <c r="T274" s="8" t="s">
        <v>64</v>
      </c>
      <c r="U274" s="8" t="str">
        <f t="shared" si="48"/>
        <v>Chairs</v>
      </c>
      <c r="V274" s="8" t="s">
        <v>938</v>
      </c>
    </row>
    <row r="275" spans="1:22">
      <c r="A275" s="8" t="s">
        <v>939</v>
      </c>
      <c r="B275" s="8">
        <f t="shared" si="40"/>
        <v>1</v>
      </c>
      <c r="C275" s="8" t="str">
        <f t="shared" si="41"/>
        <v>Unique</v>
      </c>
      <c r="D275" s="9">
        <v>45701</v>
      </c>
      <c r="E275" s="8">
        <f t="shared" si="42"/>
        <v>0</v>
      </c>
      <c r="F275" s="10">
        <v>45701</v>
      </c>
      <c r="G275" s="8" t="s">
        <v>940</v>
      </c>
      <c r="H275" s="8" t="s">
        <v>45</v>
      </c>
      <c r="I275" s="8" t="str">
        <f t="shared" si="49"/>
        <v>Isha Nair</v>
      </c>
      <c r="J275" s="8" t="s">
        <v>22</v>
      </c>
      <c r="K275" s="8" t="str">
        <f t="shared" si="43"/>
        <v>Consumer</v>
      </c>
      <c r="L275" s="8" t="s">
        <v>36</v>
      </c>
      <c r="M275" s="8" t="str">
        <f t="shared" si="44"/>
        <v>East</v>
      </c>
      <c r="N275" s="8" t="s">
        <v>143</v>
      </c>
      <c r="O275" s="8" t="str">
        <f t="shared" si="45"/>
        <v>Bihar</v>
      </c>
      <c r="P275" s="8" t="s">
        <v>144</v>
      </c>
      <c r="Q275" s="8" t="str">
        <f t="shared" si="46"/>
        <v>Patna</v>
      </c>
      <c r="R275" s="8" t="s">
        <v>26</v>
      </c>
      <c r="S275" s="8" t="str">
        <f t="shared" si="47"/>
        <v>Office Supplies</v>
      </c>
      <c r="T275" s="8" t="s">
        <v>27</v>
      </c>
      <c r="U275" s="8" t="str">
        <f t="shared" si="48"/>
        <v>Paper</v>
      </c>
      <c r="V275" s="8" t="s">
        <v>941</v>
      </c>
    </row>
    <row r="276" spans="1:22">
      <c r="A276" s="8" t="s">
        <v>942</v>
      </c>
      <c r="B276" s="8">
        <f t="shared" si="40"/>
        <v>1</v>
      </c>
      <c r="C276" s="8" t="str">
        <f t="shared" si="41"/>
        <v>Unique</v>
      </c>
      <c r="D276" s="9">
        <v>45477</v>
      </c>
      <c r="E276" s="8">
        <f t="shared" si="42"/>
        <v>-81</v>
      </c>
      <c r="F276" s="10">
        <v>45396</v>
      </c>
      <c r="G276" s="8" t="s">
        <v>943</v>
      </c>
      <c r="H276" s="8" t="s">
        <v>139</v>
      </c>
      <c r="I276" s="8" t="str">
        <f t="shared" si="49"/>
        <v>Rohan Mehta</v>
      </c>
      <c r="J276" s="8" t="s">
        <v>22</v>
      </c>
      <c r="K276" s="8" t="str">
        <f t="shared" si="43"/>
        <v>Consumer</v>
      </c>
      <c r="L276" s="8" t="s">
        <v>52</v>
      </c>
      <c r="M276" s="8" t="str">
        <f t="shared" si="44"/>
        <v>South</v>
      </c>
      <c r="N276" s="8" t="s">
        <v>183</v>
      </c>
      <c r="O276" s="8" t="str">
        <f t="shared" si="45"/>
        <v>Kerala</v>
      </c>
      <c r="P276" s="8" t="s">
        <v>184</v>
      </c>
      <c r="Q276" s="8" t="str">
        <f t="shared" si="46"/>
        <v>Kochi</v>
      </c>
      <c r="R276" s="8" t="s">
        <v>72</v>
      </c>
      <c r="S276" s="8" t="str">
        <f t="shared" si="47"/>
        <v>Technology</v>
      </c>
      <c r="T276" s="8" t="s">
        <v>78</v>
      </c>
      <c r="U276" s="8" t="str">
        <f t="shared" si="48"/>
        <v>Copiers</v>
      </c>
      <c r="V276" s="8" t="s">
        <v>944</v>
      </c>
    </row>
    <row r="277" spans="1:22">
      <c r="A277" s="8" t="s">
        <v>945</v>
      </c>
      <c r="B277" s="8">
        <f t="shared" si="40"/>
        <v>1</v>
      </c>
      <c r="C277" s="8" t="str">
        <f t="shared" si="41"/>
        <v>Unique</v>
      </c>
      <c r="D277" s="9">
        <v>45337</v>
      </c>
      <c r="E277" s="8">
        <f t="shared" si="42"/>
        <v>7</v>
      </c>
      <c r="F277" s="10">
        <v>45344</v>
      </c>
      <c r="G277" s="8" t="s">
        <v>946</v>
      </c>
      <c r="H277" s="8" t="s">
        <v>112</v>
      </c>
      <c r="I277" s="8" t="str">
        <f t="shared" si="49"/>
        <v>Priya Menon</v>
      </c>
      <c r="J277" s="8" t="s">
        <v>35</v>
      </c>
      <c r="K277" s="8" t="str">
        <f t="shared" si="43"/>
        <v>Small Business</v>
      </c>
      <c r="L277" s="8" t="s">
        <v>36</v>
      </c>
      <c r="M277" s="8" t="str">
        <f t="shared" si="44"/>
        <v>East</v>
      </c>
      <c r="N277" s="8" t="s">
        <v>97</v>
      </c>
      <c r="O277" s="8" t="str">
        <f t="shared" si="45"/>
        <v>West Bengal</v>
      </c>
      <c r="P277" s="8" t="s">
        <v>98</v>
      </c>
      <c r="Q277" s="8" t="str">
        <f t="shared" si="46"/>
        <v>Kolkata</v>
      </c>
      <c r="R277" s="8" t="s">
        <v>39</v>
      </c>
      <c r="S277" s="8" t="str">
        <f t="shared" si="47"/>
        <v>Furniture</v>
      </c>
      <c r="T277" s="8" t="s">
        <v>55</v>
      </c>
      <c r="U277" s="8" t="str">
        <f t="shared" si="48"/>
        <v>Furnishings</v>
      </c>
      <c r="V277" s="8" t="s">
        <v>947</v>
      </c>
    </row>
    <row r="278" spans="1:22">
      <c r="A278" s="8" t="s">
        <v>948</v>
      </c>
      <c r="B278" s="8">
        <f t="shared" si="40"/>
        <v>2</v>
      </c>
      <c r="C278" s="8" t="str">
        <f t="shared" si="41"/>
        <v>Review Duplicate ID</v>
      </c>
      <c r="D278" s="9">
        <v>45313</v>
      </c>
      <c r="E278" s="8">
        <f t="shared" si="42"/>
        <v>1</v>
      </c>
      <c r="F278" s="10">
        <v>45314</v>
      </c>
      <c r="G278" s="8" t="s">
        <v>949</v>
      </c>
      <c r="H278" s="8" t="s">
        <v>126</v>
      </c>
      <c r="I278" s="8" t="str">
        <f t="shared" si="49"/>
        <v>Aarav Sharma</v>
      </c>
      <c r="J278" s="8" t="s">
        <v>35</v>
      </c>
      <c r="K278" s="8" t="str">
        <f t="shared" si="43"/>
        <v>Small Business</v>
      </c>
      <c r="M278" s="8" t="str">
        <f t="shared" si="44"/>
        <v/>
      </c>
      <c r="N278" s="8" t="s">
        <v>164</v>
      </c>
      <c r="O278" s="8" t="str">
        <f t="shared" si="45"/>
        <v>Assam</v>
      </c>
      <c r="P278" s="8" t="s">
        <v>165</v>
      </c>
      <c r="Q278" s="8" t="str">
        <f t="shared" si="46"/>
        <v>Guwahati</v>
      </c>
      <c r="R278" s="8" t="s">
        <v>39</v>
      </c>
      <c r="S278" s="8" t="str">
        <f t="shared" si="47"/>
        <v>Furniture</v>
      </c>
      <c r="T278" s="8" t="s">
        <v>64</v>
      </c>
      <c r="U278" s="8" t="str">
        <f t="shared" si="48"/>
        <v>Chairs</v>
      </c>
      <c r="V278" s="8" t="s">
        <v>950</v>
      </c>
    </row>
    <row r="279" spans="1:22">
      <c r="A279" s="8" t="s">
        <v>951</v>
      </c>
      <c r="B279" s="8">
        <f t="shared" si="40"/>
        <v>1</v>
      </c>
      <c r="C279" s="8" t="str">
        <f t="shared" si="41"/>
        <v>Unique</v>
      </c>
      <c r="D279" s="9">
        <v>45753</v>
      </c>
      <c r="E279" s="8">
        <f t="shared" si="42"/>
        <v>0</v>
      </c>
      <c r="F279" s="10">
        <v>45753</v>
      </c>
      <c r="G279" s="8" t="s">
        <v>800</v>
      </c>
      <c r="H279" s="8" t="s">
        <v>45</v>
      </c>
      <c r="I279" s="8" t="str">
        <f t="shared" si="49"/>
        <v>Isha Nair</v>
      </c>
      <c r="J279" s="8" t="s">
        <v>88</v>
      </c>
      <c r="K279" s="8" t="str">
        <f t="shared" si="43"/>
        <v>Corporate</v>
      </c>
      <c r="L279" s="8" t="s">
        <v>23</v>
      </c>
      <c r="M279" s="8" t="str">
        <f t="shared" si="44"/>
        <v>North</v>
      </c>
      <c r="N279" s="8" t="s">
        <v>235</v>
      </c>
      <c r="O279" s="8" t="str">
        <f t="shared" si="45"/>
        <v>Haryana</v>
      </c>
      <c r="P279" s="8" t="s">
        <v>236</v>
      </c>
      <c r="Q279" s="8" t="str">
        <f t="shared" si="46"/>
        <v>Gurugram</v>
      </c>
      <c r="R279" s="8" t="s">
        <v>72</v>
      </c>
      <c r="S279" s="8" t="str">
        <f t="shared" si="47"/>
        <v>Technology</v>
      </c>
      <c r="T279" s="8" t="s">
        <v>73</v>
      </c>
      <c r="U279" s="8" t="str">
        <f t="shared" si="48"/>
        <v>Accessories</v>
      </c>
      <c r="V279" s="8" t="s">
        <v>952</v>
      </c>
    </row>
    <row r="280" spans="1:22">
      <c r="A280" s="8" t="s">
        <v>953</v>
      </c>
      <c r="B280" s="8">
        <f t="shared" si="40"/>
        <v>1</v>
      </c>
      <c r="C280" s="8" t="str">
        <f t="shared" si="41"/>
        <v>Unique</v>
      </c>
      <c r="D280" s="9">
        <v>45841</v>
      </c>
      <c r="E280" s="8">
        <f t="shared" si="42"/>
        <v>-111</v>
      </c>
      <c r="F280" s="10">
        <v>45730</v>
      </c>
      <c r="G280" s="8" t="s">
        <v>954</v>
      </c>
      <c r="H280" s="8" t="s">
        <v>112</v>
      </c>
      <c r="I280" s="8" t="str">
        <f t="shared" si="49"/>
        <v>Priya Menon</v>
      </c>
      <c r="J280" s="8" t="s">
        <v>35</v>
      </c>
      <c r="K280" s="8" t="str">
        <f t="shared" si="43"/>
        <v>Small Business</v>
      </c>
      <c r="L280" s="8" t="s">
        <v>23</v>
      </c>
      <c r="M280" s="8" t="str">
        <f t="shared" si="44"/>
        <v>North</v>
      </c>
      <c r="N280" s="8" t="s">
        <v>349</v>
      </c>
      <c r="O280" s="8" t="str">
        <f t="shared" si="45"/>
        <v>Delhi</v>
      </c>
      <c r="P280" s="8" t="s">
        <v>350</v>
      </c>
      <c r="Q280" s="8" t="str">
        <f t="shared" si="46"/>
        <v>New Delhi</v>
      </c>
      <c r="R280" s="8" t="s">
        <v>72</v>
      </c>
      <c r="S280" s="8" t="str">
        <f t="shared" si="47"/>
        <v>Technology</v>
      </c>
      <c r="T280" s="8" t="s">
        <v>73</v>
      </c>
      <c r="U280" s="8" t="str">
        <f t="shared" si="48"/>
        <v>Accessories</v>
      </c>
      <c r="V280" s="8" t="s">
        <v>955</v>
      </c>
    </row>
    <row r="281" spans="1:22">
      <c r="A281" s="8" t="s">
        <v>956</v>
      </c>
      <c r="B281" s="8">
        <f t="shared" si="40"/>
        <v>1</v>
      </c>
      <c r="C281" s="8" t="str">
        <f t="shared" si="41"/>
        <v>Unique</v>
      </c>
      <c r="D281" s="9">
        <v>45391</v>
      </c>
      <c r="E281" s="8">
        <f t="shared" si="42"/>
        <v>178</v>
      </c>
      <c r="F281" s="10">
        <v>45569</v>
      </c>
      <c r="G281" s="8" t="s">
        <v>957</v>
      </c>
      <c r="H281" s="8" t="s">
        <v>139</v>
      </c>
      <c r="I281" s="8" t="str">
        <f t="shared" si="49"/>
        <v>Rohan Mehta</v>
      </c>
      <c r="J281" s="8" t="s">
        <v>35</v>
      </c>
      <c r="K281" s="8" t="str">
        <f t="shared" si="43"/>
        <v>Small Business</v>
      </c>
      <c r="L281" s="8" t="s">
        <v>61</v>
      </c>
      <c r="M281" s="8" t="str">
        <f t="shared" si="44"/>
        <v>West</v>
      </c>
      <c r="N281" s="8" t="s">
        <v>62</v>
      </c>
      <c r="O281" s="8" t="str">
        <f t="shared" si="45"/>
        <v>Maharashtra</v>
      </c>
      <c r="P281" s="8" t="s">
        <v>63</v>
      </c>
      <c r="Q281" s="8" t="str">
        <f t="shared" si="46"/>
        <v>Mumbai</v>
      </c>
      <c r="R281" s="8" t="s">
        <v>26</v>
      </c>
      <c r="S281" s="8" t="str">
        <f t="shared" si="47"/>
        <v>Office Supplies</v>
      </c>
      <c r="T281" s="8" t="s">
        <v>122</v>
      </c>
      <c r="U281" s="8" t="str">
        <f t="shared" si="48"/>
        <v>Storage</v>
      </c>
      <c r="V281" s="8" t="s">
        <v>958</v>
      </c>
    </row>
    <row r="282" spans="1:22">
      <c r="A282" s="8" t="s">
        <v>959</v>
      </c>
      <c r="B282" s="8">
        <f t="shared" si="40"/>
        <v>2</v>
      </c>
      <c r="C282" s="8" t="str">
        <f t="shared" si="41"/>
        <v>Review Duplicate ID</v>
      </c>
      <c r="D282" s="9">
        <v>45649</v>
      </c>
      <c r="E282" s="8">
        <f t="shared" si="42"/>
        <v>3</v>
      </c>
      <c r="F282" s="10">
        <v>45652</v>
      </c>
      <c r="G282" s="8" t="s">
        <v>960</v>
      </c>
      <c r="H282" s="8" t="s">
        <v>87</v>
      </c>
      <c r="I282" s="8" t="str">
        <f t="shared" si="49"/>
        <v>Aditi Sen</v>
      </c>
      <c r="J282" s="8" t="s">
        <v>22</v>
      </c>
      <c r="K282" s="8" t="str">
        <f t="shared" si="43"/>
        <v>Consumer</v>
      </c>
      <c r="L282" s="8" t="s">
        <v>52</v>
      </c>
      <c r="M282" s="8" t="str">
        <f t="shared" si="44"/>
        <v>South</v>
      </c>
      <c r="N282" s="8" t="s">
        <v>173</v>
      </c>
      <c r="O282" s="8" t="str">
        <f t="shared" si="45"/>
        <v>Karnataka</v>
      </c>
      <c r="P282" s="8" t="s">
        <v>174</v>
      </c>
      <c r="Q282" s="8" t="str">
        <f t="shared" si="46"/>
        <v>Bengaluru</v>
      </c>
      <c r="R282" s="8" t="s">
        <v>72</v>
      </c>
      <c r="S282" s="8" t="str">
        <f t="shared" si="47"/>
        <v>Technology</v>
      </c>
      <c r="T282" s="8" t="s">
        <v>78</v>
      </c>
      <c r="U282" s="8" t="str">
        <f t="shared" si="48"/>
        <v>Copiers</v>
      </c>
      <c r="V282" s="8" t="s">
        <v>961</v>
      </c>
    </row>
    <row r="283" spans="1:22">
      <c r="A283" s="8" t="s">
        <v>962</v>
      </c>
      <c r="B283" s="8">
        <f t="shared" si="40"/>
        <v>1</v>
      </c>
      <c r="C283" s="8" t="str">
        <f t="shared" si="41"/>
        <v>Unique</v>
      </c>
      <c r="D283" s="9">
        <v>45863</v>
      </c>
      <c r="E283" s="8">
        <f t="shared" si="42"/>
        <v>2</v>
      </c>
      <c r="F283" s="10">
        <v>45865</v>
      </c>
      <c r="G283" s="8" t="s">
        <v>963</v>
      </c>
      <c r="H283" s="8" t="s">
        <v>263</v>
      </c>
      <c r="I283" s="8" t="str">
        <f t="shared" si="49"/>
        <v>Kabir Singh</v>
      </c>
      <c r="J283" s="8" t="s">
        <v>22</v>
      </c>
      <c r="K283" s="8" t="str">
        <f t="shared" si="43"/>
        <v>Consumer</v>
      </c>
      <c r="L283" s="8" t="s">
        <v>36</v>
      </c>
      <c r="M283" s="8" t="str">
        <f t="shared" si="44"/>
        <v>East</v>
      </c>
      <c r="N283" s="8" t="s">
        <v>227</v>
      </c>
      <c r="O283" s="8" t="str">
        <f t="shared" si="45"/>
        <v>Jharkhand</v>
      </c>
      <c r="P283" s="8" t="s">
        <v>228</v>
      </c>
      <c r="Q283" s="8" t="str">
        <f t="shared" si="46"/>
        <v>Ranchi</v>
      </c>
      <c r="R283" s="8" t="s">
        <v>26</v>
      </c>
      <c r="S283" s="8" t="str">
        <f t="shared" si="47"/>
        <v>Office Supplies</v>
      </c>
      <c r="T283" s="8" t="s">
        <v>151</v>
      </c>
      <c r="U283" s="8" t="str">
        <f t="shared" si="48"/>
        <v>Binders</v>
      </c>
      <c r="V283" s="8" t="s">
        <v>964</v>
      </c>
    </row>
    <row r="284" spans="1:22">
      <c r="A284" s="8" t="s">
        <v>965</v>
      </c>
      <c r="B284" s="8">
        <f t="shared" si="40"/>
        <v>1</v>
      </c>
      <c r="C284" s="8" t="str">
        <f t="shared" si="41"/>
        <v>Unique</v>
      </c>
      <c r="D284" s="9">
        <v>45301</v>
      </c>
      <c r="E284" s="8">
        <f t="shared" si="42"/>
        <v>266</v>
      </c>
      <c r="F284" s="10">
        <v>45567</v>
      </c>
      <c r="G284" s="8" t="s">
        <v>966</v>
      </c>
      <c r="H284" s="8" t="s">
        <v>21</v>
      </c>
      <c r="I284" s="8" t="str">
        <f t="shared" si="49"/>
        <v>Karan Malhotra</v>
      </c>
      <c r="J284" s="8" t="s">
        <v>93</v>
      </c>
      <c r="K284" s="8" t="str">
        <f t="shared" si="43"/>
        <v>Home Office</v>
      </c>
      <c r="L284" s="8" t="s">
        <v>36</v>
      </c>
      <c r="M284" s="8" t="str">
        <f t="shared" si="44"/>
        <v>East</v>
      </c>
      <c r="N284" s="8" t="s">
        <v>164</v>
      </c>
      <c r="O284" s="8" t="str">
        <f t="shared" si="45"/>
        <v>Assam</v>
      </c>
      <c r="P284" s="8" t="s">
        <v>165</v>
      </c>
      <c r="Q284" s="8" t="str">
        <f t="shared" si="46"/>
        <v>Guwahati</v>
      </c>
      <c r="R284" s="8" t="s">
        <v>39</v>
      </c>
      <c r="S284" s="8" t="str">
        <f t="shared" si="47"/>
        <v>Furniture</v>
      </c>
      <c r="T284" s="8" t="s">
        <v>40</v>
      </c>
      <c r="U284" s="8" t="str">
        <f t="shared" si="48"/>
        <v>Tables</v>
      </c>
      <c r="V284" s="8" t="s">
        <v>967</v>
      </c>
    </row>
    <row r="285" spans="1:22">
      <c r="A285" s="8" t="s">
        <v>968</v>
      </c>
      <c r="B285" s="8">
        <f t="shared" si="40"/>
        <v>1</v>
      </c>
      <c r="C285" s="8" t="str">
        <f t="shared" si="41"/>
        <v>Unique</v>
      </c>
      <c r="D285" s="9">
        <v>45729</v>
      </c>
      <c r="E285" s="8">
        <f t="shared" si="42"/>
        <v>7</v>
      </c>
      <c r="F285" s="10">
        <v>45736</v>
      </c>
      <c r="G285" s="8" t="s">
        <v>969</v>
      </c>
      <c r="H285" s="8" t="s">
        <v>69</v>
      </c>
      <c r="I285" s="8" t="str">
        <f t="shared" si="49"/>
        <v>Vikram Iyer</v>
      </c>
      <c r="J285" s="8" t="s">
        <v>22</v>
      </c>
      <c r="K285" s="8" t="str">
        <f t="shared" si="43"/>
        <v>Consumer</v>
      </c>
      <c r="L285" s="8" t="s">
        <v>61</v>
      </c>
      <c r="M285" s="8" t="str">
        <f t="shared" si="44"/>
        <v>West</v>
      </c>
      <c r="N285" s="8" t="s">
        <v>62</v>
      </c>
      <c r="O285" s="8" t="str">
        <f t="shared" si="45"/>
        <v>Maharashtra</v>
      </c>
      <c r="P285" s="8" t="s">
        <v>63</v>
      </c>
      <c r="Q285" s="8" t="str">
        <f t="shared" si="46"/>
        <v>Mumbai</v>
      </c>
      <c r="R285" s="8" t="s">
        <v>39</v>
      </c>
      <c r="S285" s="8" t="str">
        <f t="shared" si="47"/>
        <v>Furniture</v>
      </c>
      <c r="T285" s="8" t="s">
        <v>55</v>
      </c>
      <c r="U285" s="8" t="str">
        <f t="shared" si="48"/>
        <v>Furnishings</v>
      </c>
      <c r="V285" s="8" t="s">
        <v>970</v>
      </c>
    </row>
    <row r="286" spans="1:22">
      <c r="A286" s="8" t="s">
        <v>971</v>
      </c>
      <c r="B286" s="8">
        <f t="shared" si="40"/>
        <v>1</v>
      </c>
      <c r="C286" s="8" t="str">
        <f t="shared" si="41"/>
        <v>Unique</v>
      </c>
      <c r="D286" s="9">
        <v>45634</v>
      </c>
      <c r="E286" s="8">
        <f t="shared" si="42"/>
        <v>6</v>
      </c>
      <c r="F286" s="10">
        <v>45640</v>
      </c>
      <c r="G286" s="8" t="s">
        <v>972</v>
      </c>
      <c r="H286" s="8" t="s">
        <v>21</v>
      </c>
      <c r="I286" s="8" t="str">
        <f t="shared" si="49"/>
        <v>Karan Malhotra</v>
      </c>
      <c r="J286" s="8" t="s">
        <v>22</v>
      </c>
      <c r="K286" s="8" t="str">
        <f t="shared" si="43"/>
        <v>Consumer</v>
      </c>
      <c r="L286" s="8" t="s">
        <v>36</v>
      </c>
      <c r="M286" s="8" t="str">
        <f t="shared" si="44"/>
        <v>East</v>
      </c>
      <c r="N286" s="8" t="s">
        <v>37</v>
      </c>
      <c r="O286" s="8" t="str">
        <f t="shared" si="45"/>
        <v>Odisha</v>
      </c>
      <c r="P286" s="8" t="s">
        <v>38</v>
      </c>
      <c r="Q286" s="8" t="str">
        <f t="shared" si="46"/>
        <v>Bhubaneswar</v>
      </c>
      <c r="R286" s="8" t="s">
        <v>39</v>
      </c>
      <c r="S286" s="8" t="str">
        <f t="shared" si="47"/>
        <v>Furniture</v>
      </c>
      <c r="T286" s="8" t="s">
        <v>40</v>
      </c>
      <c r="U286" s="8" t="str">
        <f t="shared" si="48"/>
        <v>Tables</v>
      </c>
      <c r="V286" s="8" t="s">
        <v>973</v>
      </c>
    </row>
    <row r="287" spans="1:22">
      <c r="A287" s="8" t="s">
        <v>974</v>
      </c>
      <c r="B287" s="8">
        <f t="shared" si="40"/>
        <v>1</v>
      </c>
      <c r="C287" s="8" t="str">
        <f t="shared" si="41"/>
        <v>Unique</v>
      </c>
      <c r="D287" s="9">
        <v>45884</v>
      </c>
      <c r="E287" s="8">
        <f t="shared" si="42"/>
        <v>5</v>
      </c>
      <c r="F287" s="10">
        <v>45889</v>
      </c>
      <c r="G287" s="8" t="s">
        <v>975</v>
      </c>
      <c r="H287" s="8" t="s">
        <v>77</v>
      </c>
      <c r="I287" s="8" t="str">
        <f t="shared" si="49"/>
        <v>Neha Gupta</v>
      </c>
      <c r="J287" s="8" t="s">
        <v>93</v>
      </c>
      <c r="K287" s="8" t="str">
        <f t="shared" si="43"/>
        <v>Home Office</v>
      </c>
      <c r="L287" s="8" t="s">
        <v>23</v>
      </c>
      <c r="M287" s="8" t="str">
        <f t="shared" si="44"/>
        <v>North</v>
      </c>
      <c r="N287" s="8" t="s">
        <v>24</v>
      </c>
      <c r="O287" s="8" t="str">
        <f t="shared" si="45"/>
        <v>Rajasthan</v>
      </c>
      <c r="P287" s="8" t="s">
        <v>25</v>
      </c>
      <c r="Q287" s="8" t="str">
        <f t="shared" si="46"/>
        <v>Jaipur</v>
      </c>
      <c r="R287" s="8" t="s">
        <v>26</v>
      </c>
      <c r="S287" s="8" t="str">
        <f t="shared" si="47"/>
        <v>Office Supplies</v>
      </c>
      <c r="T287" s="8" t="s">
        <v>122</v>
      </c>
      <c r="U287" s="8" t="str">
        <f t="shared" si="48"/>
        <v>Storage</v>
      </c>
      <c r="V287" s="8" t="s">
        <v>976</v>
      </c>
    </row>
    <row r="288" spans="1:22">
      <c r="A288" s="8" t="s">
        <v>977</v>
      </c>
      <c r="B288" s="8">
        <f t="shared" si="40"/>
        <v>1</v>
      </c>
      <c r="C288" s="8" t="str">
        <f t="shared" si="41"/>
        <v>Unique</v>
      </c>
      <c r="D288" s="9">
        <v>45350</v>
      </c>
      <c r="E288" s="8">
        <f t="shared" si="42"/>
        <v>3</v>
      </c>
      <c r="F288" s="10">
        <v>45353</v>
      </c>
      <c r="G288" s="8" t="s">
        <v>978</v>
      </c>
      <c r="H288" s="8" t="s">
        <v>112</v>
      </c>
      <c r="I288" s="8" t="str">
        <f t="shared" si="49"/>
        <v>Priya Menon</v>
      </c>
      <c r="J288" s="8" t="s">
        <v>35</v>
      </c>
      <c r="K288" s="8" t="str">
        <f t="shared" si="43"/>
        <v>Small Business</v>
      </c>
      <c r="L288" s="8" t="s">
        <v>23</v>
      </c>
      <c r="M288" s="8" t="str">
        <f t="shared" si="44"/>
        <v>North</v>
      </c>
      <c r="N288" s="8" t="s">
        <v>349</v>
      </c>
      <c r="O288" s="8" t="str">
        <f t="shared" si="45"/>
        <v>Delhi</v>
      </c>
      <c r="P288" s="8" t="s">
        <v>350</v>
      </c>
      <c r="Q288" s="8" t="str">
        <f t="shared" si="46"/>
        <v>New Delhi</v>
      </c>
      <c r="R288" s="8" t="s">
        <v>39</v>
      </c>
      <c r="S288" s="8" t="str">
        <f t="shared" si="47"/>
        <v>Furniture</v>
      </c>
      <c r="T288" s="8" t="s">
        <v>55</v>
      </c>
      <c r="U288" s="8" t="str">
        <f t="shared" si="48"/>
        <v>Furnishings</v>
      </c>
      <c r="V288" s="8" t="s">
        <v>979</v>
      </c>
    </row>
    <row r="289" spans="1:22">
      <c r="A289" s="8" t="s">
        <v>980</v>
      </c>
      <c r="B289" s="8">
        <f t="shared" si="40"/>
        <v>1</v>
      </c>
      <c r="C289" s="8" t="str">
        <f t="shared" si="41"/>
        <v>Unique</v>
      </c>
      <c r="D289" s="9">
        <v>45540</v>
      </c>
      <c r="E289" s="8">
        <f t="shared" si="42"/>
        <v>-58</v>
      </c>
      <c r="F289" s="10">
        <v>45482</v>
      </c>
      <c r="G289" s="8" t="s">
        <v>981</v>
      </c>
      <c r="H289" s="8" t="s">
        <v>77</v>
      </c>
      <c r="I289" s="8" t="str">
        <f t="shared" si="49"/>
        <v>Neha Gupta</v>
      </c>
      <c r="J289" s="8" t="s">
        <v>35</v>
      </c>
      <c r="K289" s="8" t="str">
        <f t="shared" si="43"/>
        <v>Small Business</v>
      </c>
      <c r="L289" s="8" t="s">
        <v>52</v>
      </c>
      <c r="M289" s="8" t="str">
        <f t="shared" si="44"/>
        <v>South</v>
      </c>
      <c r="N289" s="8" t="s">
        <v>246</v>
      </c>
      <c r="O289" s="8" t="str">
        <f t="shared" si="45"/>
        <v>Tamil Nadu</v>
      </c>
      <c r="P289" s="8" t="s">
        <v>247</v>
      </c>
      <c r="Q289" s="8" t="str">
        <f t="shared" si="46"/>
        <v>Chennai</v>
      </c>
      <c r="R289" s="8" t="s">
        <v>72</v>
      </c>
      <c r="S289" s="8" t="str">
        <f t="shared" si="47"/>
        <v>Technology</v>
      </c>
      <c r="T289" s="8" t="s">
        <v>78</v>
      </c>
      <c r="U289" s="8" t="str">
        <f t="shared" si="48"/>
        <v>Copiers</v>
      </c>
      <c r="V289" s="8" t="s">
        <v>982</v>
      </c>
    </row>
    <row r="290" spans="1:22">
      <c r="A290" s="8" t="s">
        <v>983</v>
      </c>
      <c r="B290" s="8">
        <f t="shared" si="40"/>
        <v>1</v>
      </c>
      <c r="C290" s="8" t="str">
        <f t="shared" si="41"/>
        <v>Unique</v>
      </c>
      <c r="D290" s="9">
        <v>45467</v>
      </c>
      <c r="E290" s="8">
        <f t="shared" si="42"/>
        <v>0</v>
      </c>
      <c r="F290" s="10">
        <v>45467</v>
      </c>
      <c r="G290" s="8" t="s">
        <v>984</v>
      </c>
      <c r="H290" s="8" t="s">
        <v>139</v>
      </c>
      <c r="I290" s="8" t="str">
        <f t="shared" si="49"/>
        <v>Rohan Mehta</v>
      </c>
      <c r="J290" s="8" t="s">
        <v>35</v>
      </c>
      <c r="K290" s="8" t="str">
        <f t="shared" si="43"/>
        <v>Small Business</v>
      </c>
      <c r="L290" s="8" t="s">
        <v>36</v>
      </c>
      <c r="M290" s="8" t="str">
        <f t="shared" si="44"/>
        <v>East</v>
      </c>
      <c r="N290" s="8" t="s">
        <v>143</v>
      </c>
      <c r="O290" s="8" t="str">
        <f t="shared" si="45"/>
        <v>Bihar</v>
      </c>
      <c r="P290" s="8" t="s">
        <v>144</v>
      </c>
      <c r="Q290" s="8" t="str">
        <f t="shared" si="46"/>
        <v>Patna</v>
      </c>
      <c r="R290" s="8" t="s">
        <v>26</v>
      </c>
      <c r="S290" s="8" t="str">
        <f t="shared" si="47"/>
        <v>Office Supplies</v>
      </c>
      <c r="T290" s="8" t="s">
        <v>151</v>
      </c>
      <c r="U290" s="8" t="str">
        <f t="shared" si="48"/>
        <v>Binders</v>
      </c>
      <c r="V290" s="8" t="s">
        <v>985</v>
      </c>
    </row>
    <row r="291" spans="1:22">
      <c r="A291" s="8" t="s">
        <v>986</v>
      </c>
      <c r="B291" s="8">
        <f t="shared" si="40"/>
        <v>1</v>
      </c>
      <c r="C291" s="8" t="str">
        <f t="shared" si="41"/>
        <v>Unique</v>
      </c>
      <c r="D291" s="9">
        <v>45827</v>
      </c>
      <c r="E291" s="8">
        <f t="shared" si="42"/>
        <v>8</v>
      </c>
      <c r="F291" s="10">
        <v>45835</v>
      </c>
      <c r="G291" s="8" t="s">
        <v>987</v>
      </c>
      <c r="H291" s="8" t="s">
        <v>21</v>
      </c>
      <c r="I291" s="8" t="str">
        <f t="shared" si="49"/>
        <v>Karan Malhotra</v>
      </c>
      <c r="J291" s="8" t="s">
        <v>93</v>
      </c>
      <c r="K291" s="8" t="str">
        <f t="shared" si="43"/>
        <v>Home Office</v>
      </c>
      <c r="L291" s="8" t="s">
        <v>52</v>
      </c>
      <c r="M291" s="8" t="str">
        <f t="shared" si="44"/>
        <v>South</v>
      </c>
      <c r="N291" s="8" t="s">
        <v>246</v>
      </c>
      <c r="O291" s="8" t="str">
        <f t="shared" si="45"/>
        <v>Tamil Nadu</v>
      </c>
      <c r="P291" s="8" t="s">
        <v>247</v>
      </c>
      <c r="Q291" s="8" t="str">
        <f t="shared" si="46"/>
        <v>Chennai</v>
      </c>
      <c r="R291" s="8" t="s">
        <v>39</v>
      </c>
      <c r="S291" s="8" t="str">
        <f t="shared" si="47"/>
        <v>Furniture</v>
      </c>
      <c r="T291" s="8" t="s">
        <v>156</v>
      </c>
      <c r="U291" s="8" t="str">
        <f t="shared" si="48"/>
        <v>Bookcases</v>
      </c>
      <c r="V291" s="8" t="s">
        <v>988</v>
      </c>
    </row>
    <row r="292" spans="1:22">
      <c r="A292" s="8" t="s">
        <v>989</v>
      </c>
      <c r="B292" s="8">
        <f t="shared" si="40"/>
        <v>1</v>
      </c>
      <c r="C292" s="8" t="str">
        <f t="shared" si="41"/>
        <v>Unique</v>
      </c>
      <c r="D292" s="9">
        <v>45891</v>
      </c>
      <c r="E292" s="8">
        <f t="shared" si="42"/>
        <v>4</v>
      </c>
      <c r="F292" s="10">
        <v>45895</v>
      </c>
      <c r="G292" s="8" t="s">
        <v>990</v>
      </c>
      <c r="H292" s="8" t="s">
        <v>160</v>
      </c>
      <c r="I292" s="8" t="str">
        <f t="shared" si="49"/>
        <v>Diya Patel</v>
      </c>
      <c r="J292" s="8" t="s">
        <v>93</v>
      </c>
      <c r="K292" s="8" t="str">
        <f t="shared" si="43"/>
        <v>Home Office</v>
      </c>
      <c r="L292" s="8" t="s">
        <v>36</v>
      </c>
      <c r="M292" s="8" t="str">
        <f t="shared" si="44"/>
        <v>East</v>
      </c>
      <c r="N292" s="8" t="s">
        <v>227</v>
      </c>
      <c r="O292" s="8" t="str">
        <f t="shared" si="45"/>
        <v>Jharkhand</v>
      </c>
      <c r="P292" s="8" t="s">
        <v>228</v>
      </c>
      <c r="Q292" s="8" t="str">
        <f t="shared" si="46"/>
        <v>Ranchi</v>
      </c>
      <c r="R292" s="8" t="s">
        <v>39</v>
      </c>
      <c r="S292" s="8" t="str">
        <f t="shared" si="47"/>
        <v>Furniture</v>
      </c>
      <c r="T292" s="8" t="s">
        <v>40</v>
      </c>
      <c r="U292" s="8" t="str">
        <f t="shared" si="48"/>
        <v>Tables</v>
      </c>
      <c r="V292" s="8" t="s">
        <v>991</v>
      </c>
    </row>
    <row r="293" spans="1:22">
      <c r="A293" s="8" t="s">
        <v>992</v>
      </c>
      <c r="B293" s="8">
        <f t="shared" si="40"/>
        <v>1</v>
      </c>
      <c r="C293" s="8" t="str">
        <f t="shared" si="41"/>
        <v>Unique</v>
      </c>
      <c r="D293" s="9">
        <v>45387</v>
      </c>
      <c r="E293" s="8">
        <f t="shared" si="42"/>
        <v>182</v>
      </c>
      <c r="F293" s="10">
        <v>45569</v>
      </c>
      <c r="G293" s="8" t="s">
        <v>993</v>
      </c>
      <c r="H293" s="8" t="s">
        <v>112</v>
      </c>
      <c r="I293" s="8" t="str">
        <f t="shared" si="49"/>
        <v>Priya Menon</v>
      </c>
      <c r="J293" s="8" t="s">
        <v>93</v>
      </c>
      <c r="K293" s="8" t="str">
        <f t="shared" si="43"/>
        <v>Home Office</v>
      </c>
      <c r="L293" s="8" t="s">
        <v>23</v>
      </c>
      <c r="M293" s="8" t="str">
        <f t="shared" si="44"/>
        <v>North</v>
      </c>
      <c r="N293" s="8" t="s">
        <v>24</v>
      </c>
      <c r="O293" s="8" t="str">
        <f t="shared" si="45"/>
        <v>Rajasthan</v>
      </c>
      <c r="P293" s="8" t="s">
        <v>25</v>
      </c>
      <c r="Q293" s="8" t="str">
        <f t="shared" si="46"/>
        <v>Jaipur</v>
      </c>
      <c r="R293" s="8" t="s">
        <v>26</v>
      </c>
      <c r="S293" s="8" t="str">
        <f t="shared" si="47"/>
        <v>Office Supplies</v>
      </c>
      <c r="T293" s="8" t="s">
        <v>151</v>
      </c>
      <c r="U293" s="8" t="str">
        <f t="shared" si="48"/>
        <v>Binders</v>
      </c>
      <c r="V293" s="8" t="s">
        <v>994</v>
      </c>
    </row>
    <row r="294" spans="1:22">
      <c r="A294" s="8" t="s">
        <v>995</v>
      </c>
      <c r="B294" s="8">
        <f t="shared" si="40"/>
        <v>1</v>
      </c>
      <c r="C294" s="8" t="str">
        <f t="shared" si="41"/>
        <v>Unique</v>
      </c>
      <c r="D294" s="9">
        <v>45716</v>
      </c>
      <c r="E294" s="8">
        <f t="shared" si="42"/>
        <v>3</v>
      </c>
      <c r="F294" s="10">
        <v>45719</v>
      </c>
      <c r="G294" s="8" t="s">
        <v>996</v>
      </c>
      <c r="H294" s="8" t="s">
        <v>263</v>
      </c>
      <c r="I294" s="8" t="str">
        <f t="shared" si="49"/>
        <v>Kabir Singh</v>
      </c>
      <c r="J294" s="8" t="s">
        <v>93</v>
      </c>
      <c r="K294" s="8" t="str">
        <f t="shared" si="43"/>
        <v>Home Office</v>
      </c>
      <c r="L294" s="8" t="s">
        <v>23</v>
      </c>
      <c r="M294" s="8" t="str">
        <f t="shared" si="44"/>
        <v>North</v>
      </c>
      <c r="N294" s="8" t="s">
        <v>235</v>
      </c>
      <c r="O294" s="8" t="str">
        <f t="shared" si="45"/>
        <v>Haryana</v>
      </c>
      <c r="P294" s="8" t="s">
        <v>236</v>
      </c>
      <c r="Q294" s="8" t="str">
        <f t="shared" si="46"/>
        <v>Gurugram</v>
      </c>
      <c r="R294" s="8" t="s">
        <v>26</v>
      </c>
      <c r="S294" s="8" t="str">
        <f t="shared" si="47"/>
        <v>Office Supplies</v>
      </c>
      <c r="T294" s="8" t="s">
        <v>46</v>
      </c>
      <c r="U294" s="8" t="str">
        <f t="shared" si="48"/>
        <v>Art</v>
      </c>
      <c r="V294" s="8" t="s">
        <v>997</v>
      </c>
    </row>
    <row r="295" spans="1:22">
      <c r="A295" s="8" t="s">
        <v>998</v>
      </c>
      <c r="B295" s="8">
        <f t="shared" si="40"/>
        <v>1</v>
      </c>
      <c r="C295" s="8" t="str">
        <f t="shared" si="41"/>
        <v>Unique</v>
      </c>
      <c r="D295" s="9">
        <v>45358</v>
      </c>
      <c r="E295" s="8">
        <f t="shared" si="42"/>
        <v>241</v>
      </c>
      <c r="F295" s="10">
        <v>45599</v>
      </c>
      <c r="G295" s="8" t="s">
        <v>999</v>
      </c>
      <c r="H295" s="8" t="s">
        <v>51</v>
      </c>
      <c r="I295" s="8" t="str">
        <f t="shared" si="49"/>
        <v>Arjun Bose</v>
      </c>
      <c r="J295" s="8" t="s">
        <v>93</v>
      </c>
      <c r="K295" s="8" t="str">
        <f t="shared" si="43"/>
        <v>Home Office</v>
      </c>
      <c r="L295" s="8" t="s">
        <v>52</v>
      </c>
      <c r="M295" s="8" t="str">
        <f t="shared" si="44"/>
        <v>South</v>
      </c>
      <c r="N295" s="8" t="s">
        <v>53</v>
      </c>
      <c r="O295" s="8" t="str">
        <f t="shared" si="45"/>
        <v>Telangana</v>
      </c>
      <c r="P295" s="8" t="s">
        <v>54</v>
      </c>
      <c r="Q295" s="8" t="str">
        <f t="shared" si="46"/>
        <v>Hyderabad</v>
      </c>
      <c r="R295" s="8" t="s">
        <v>72</v>
      </c>
      <c r="S295" s="8" t="str">
        <f t="shared" si="47"/>
        <v>Technology</v>
      </c>
      <c r="T295" s="8" t="s">
        <v>169</v>
      </c>
      <c r="U295" s="8" t="str">
        <f t="shared" si="48"/>
        <v>Phones</v>
      </c>
      <c r="V295" s="8" t="s">
        <v>1000</v>
      </c>
    </row>
    <row r="296" spans="1:22">
      <c r="A296" s="8" t="s">
        <v>1001</v>
      </c>
      <c r="B296" s="8">
        <f t="shared" si="40"/>
        <v>1</v>
      </c>
      <c r="C296" s="8" t="str">
        <f t="shared" si="41"/>
        <v>Unique</v>
      </c>
      <c r="D296" s="9">
        <v>45854</v>
      </c>
      <c r="E296" s="8">
        <f t="shared" si="42"/>
        <v>6</v>
      </c>
      <c r="F296" s="10">
        <v>45860</v>
      </c>
      <c r="G296" s="8" t="s">
        <v>1002</v>
      </c>
      <c r="H296" s="8" t="s">
        <v>112</v>
      </c>
      <c r="I296" s="8" t="str">
        <f t="shared" si="49"/>
        <v>Priya Menon</v>
      </c>
      <c r="J296" s="8" t="s">
        <v>22</v>
      </c>
      <c r="K296" s="8" t="str">
        <f t="shared" si="43"/>
        <v>Consumer</v>
      </c>
      <c r="L296" s="8" t="s">
        <v>36</v>
      </c>
      <c r="M296" s="8" t="str">
        <f t="shared" si="44"/>
        <v>East</v>
      </c>
      <c r="N296" s="8" t="s">
        <v>37</v>
      </c>
      <c r="O296" s="8" t="str">
        <f t="shared" si="45"/>
        <v>Odisha</v>
      </c>
      <c r="P296" s="8" t="s">
        <v>38</v>
      </c>
      <c r="Q296" s="8" t="str">
        <f t="shared" si="46"/>
        <v>Bhubaneswar</v>
      </c>
      <c r="R296" s="8" t="s">
        <v>72</v>
      </c>
      <c r="S296" s="8" t="str">
        <f t="shared" si="47"/>
        <v>Technology</v>
      </c>
      <c r="T296" s="8" t="s">
        <v>169</v>
      </c>
      <c r="U296" s="8" t="str">
        <f t="shared" si="48"/>
        <v>Phones</v>
      </c>
      <c r="V296" s="8" t="s">
        <v>1003</v>
      </c>
    </row>
    <row r="297" spans="1:22">
      <c r="A297" s="8" t="s">
        <v>1004</v>
      </c>
      <c r="B297" s="8">
        <f t="shared" si="40"/>
        <v>1</v>
      </c>
      <c r="C297" s="8" t="str">
        <f t="shared" si="41"/>
        <v>Unique</v>
      </c>
      <c r="D297" s="9">
        <v>45833</v>
      </c>
      <c r="E297" s="8">
        <f t="shared" si="42"/>
        <v>3</v>
      </c>
      <c r="F297" s="10">
        <v>45836</v>
      </c>
      <c r="G297" s="8" t="s">
        <v>1005</v>
      </c>
      <c r="H297" s="8" t="s">
        <v>87</v>
      </c>
      <c r="I297" s="8" t="str">
        <f t="shared" si="49"/>
        <v>Aditi Sen</v>
      </c>
      <c r="J297" s="8" t="s">
        <v>35</v>
      </c>
      <c r="K297" s="8" t="str">
        <f t="shared" si="43"/>
        <v>Small Business</v>
      </c>
      <c r="L297" s="8" t="s">
        <v>36</v>
      </c>
      <c r="M297" s="8" t="str">
        <f t="shared" si="44"/>
        <v>East</v>
      </c>
      <c r="N297" s="8" t="s">
        <v>164</v>
      </c>
      <c r="O297" s="8" t="str">
        <f t="shared" si="45"/>
        <v>Assam</v>
      </c>
      <c r="P297" s="8" t="s">
        <v>165</v>
      </c>
      <c r="Q297" s="8" t="str">
        <f t="shared" si="46"/>
        <v>Guwahati</v>
      </c>
      <c r="R297" s="8" t="s">
        <v>26</v>
      </c>
      <c r="S297" s="8" t="str">
        <f t="shared" si="47"/>
        <v>Office Supplies</v>
      </c>
      <c r="T297" s="8" t="s">
        <v>151</v>
      </c>
      <c r="U297" s="8" t="str">
        <f t="shared" si="48"/>
        <v>Binders</v>
      </c>
      <c r="V297" s="8" t="s">
        <v>1006</v>
      </c>
    </row>
    <row r="298" spans="1:22">
      <c r="A298" s="8" t="s">
        <v>1007</v>
      </c>
      <c r="B298" s="8">
        <f t="shared" si="40"/>
        <v>1</v>
      </c>
      <c r="C298" s="8" t="str">
        <f t="shared" si="41"/>
        <v>Unique</v>
      </c>
      <c r="D298" s="9">
        <v>45801</v>
      </c>
      <c r="E298" s="8">
        <f t="shared" si="42"/>
        <v>2</v>
      </c>
      <c r="F298" s="10">
        <v>45803</v>
      </c>
      <c r="G298" s="8" t="s">
        <v>1008</v>
      </c>
      <c r="H298" s="8" t="s">
        <v>87</v>
      </c>
      <c r="I298" s="8" t="str">
        <f t="shared" si="49"/>
        <v>Aditi Sen</v>
      </c>
      <c r="J298" s="8" t="s">
        <v>93</v>
      </c>
      <c r="K298" s="8" t="str">
        <f t="shared" si="43"/>
        <v>Home Office</v>
      </c>
      <c r="L298" s="8" t="s">
        <v>23</v>
      </c>
      <c r="M298" s="8" t="str">
        <f t="shared" si="44"/>
        <v>North</v>
      </c>
      <c r="N298" s="8" t="s">
        <v>235</v>
      </c>
      <c r="O298" s="8" t="str">
        <f t="shared" si="45"/>
        <v>Haryana</v>
      </c>
      <c r="P298" s="8" t="s">
        <v>236</v>
      </c>
      <c r="Q298" s="8" t="str">
        <f t="shared" si="46"/>
        <v>Gurugram</v>
      </c>
      <c r="R298" s="8" t="s">
        <v>39</v>
      </c>
      <c r="S298" s="8" t="str">
        <f t="shared" si="47"/>
        <v>Furniture</v>
      </c>
      <c r="T298" s="8" t="s">
        <v>55</v>
      </c>
      <c r="U298" s="8" t="str">
        <f t="shared" si="48"/>
        <v>Furnishings</v>
      </c>
      <c r="V298" s="8" t="s">
        <v>1009</v>
      </c>
    </row>
    <row r="299" spans="1:22">
      <c r="A299" s="8" t="s">
        <v>1010</v>
      </c>
      <c r="B299" s="8">
        <f t="shared" si="40"/>
        <v>1</v>
      </c>
      <c r="C299" s="8" t="str">
        <f t="shared" si="41"/>
        <v>Unique</v>
      </c>
      <c r="D299" s="9">
        <v>45594</v>
      </c>
      <c r="E299" s="8">
        <f t="shared" si="42"/>
        <v>-140</v>
      </c>
      <c r="F299" s="10">
        <v>45454</v>
      </c>
      <c r="G299" s="8" t="s">
        <v>1011</v>
      </c>
      <c r="H299" s="8" t="s">
        <v>130</v>
      </c>
      <c r="I299" s="8" t="str">
        <f t="shared" si="49"/>
        <v>Sneha Kapoor</v>
      </c>
      <c r="J299" s="8" t="s">
        <v>88</v>
      </c>
      <c r="K299" s="8" t="str">
        <f t="shared" si="43"/>
        <v>Corporate</v>
      </c>
      <c r="L299" s="8" t="s">
        <v>52</v>
      </c>
      <c r="M299" s="8" t="str">
        <f t="shared" si="44"/>
        <v>South</v>
      </c>
      <c r="N299" s="8" t="s">
        <v>246</v>
      </c>
      <c r="O299" s="8" t="str">
        <f t="shared" si="45"/>
        <v>Tamil Nadu</v>
      </c>
      <c r="P299" s="8" t="s">
        <v>247</v>
      </c>
      <c r="Q299" s="8" t="str">
        <f t="shared" si="46"/>
        <v>Chennai</v>
      </c>
      <c r="R299" s="8" t="s">
        <v>72</v>
      </c>
      <c r="S299" s="8" t="str">
        <f t="shared" si="47"/>
        <v>Technology</v>
      </c>
      <c r="T299" s="8" t="s">
        <v>78</v>
      </c>
      <c r="U299" s="8" t="str">
        <f t="shared" si="48"/>
        <v>Copiers</v>
      </c>
      <c r="V299" s="8" t="s">
        <v>1012</v>
      </c>
    </row>
    <row r="300" spans="1:22">
      <c r="A300" s="8" t="s">
        <v>1013</v>
      </c>
      <c r="B300" s="8">
        <f t="shared" si="40"/>
        <v>1</v>
      </c>
      <c r="C300" s="8" t="str">
        <f t="shared" si="41"/>
        <v>Unique</v>
      </c>
      <c r="D300" s="9">
        <v>45680</v>
      </c>
      <c r="E300" s="8">
        <f t="shared" si="42"/>
        <v>3</v>
      </c>
      <c r="F300" s="10">
        <v>45683</v>
      </c>
      <c r="G300" s="8" t="s">
        <v>1014</v>
      </c>
      <c r="H300" s="8" t="s">
        <v>45</v>
      </c>
      <c r="I300" s="8" t="str">
        <f t="shared" si="49"/>
        <v>Isha Nair</v>
      </c>
      <c r="J300" s="8" t="s">
        <v>22</v>
      </c>
      <c r="K300" s="8" t="str">
        <f t="shared" si="43"/>
        <v>Consumer</v>
      </c>
      <c r="L300" s="8" t="s">
        <v>52</v>
      </c>
      <c r="M300" s="8" t="str">
        <f t="shared" si="44"/>
        <v>South</v>
      </c>
      <c r="N300" s="8" t="s">
        <v>183</v>
      </c>
      <c r="O300" s="8" t="str">
        <f t="shared" si="45"/>
        <v>Kerala</v>
      </c>
      <c r="P300" s="8" t="s">
        <v>184</v>
      </c>
      <c r="Q300" s="8" t="str">
        <f t="shared" si="46"/>
        <v>Kochi</v>
      </c>
      <c r="R300" s="8" t="s">
        <v>72</v>
      </c>
      <c r="S300" s="8" t="str">
        <f t="shared" si="47"/>
        <v>Technology</v>
      </c>
      <c r="T300" s="8" t="s">
        <v>78</v>
      </c>
      <c r="U300" s="8" t="str">
        <f t="shared" si="48"/>
        <v>Copiers</v>
      </c>
      <c r="V300" s="8" t="s">
        <v>1015</v>
      </c>
    </row>
    <row r="301" spans="1:22">
      <c r="A301" s="8" t="s">
        <v>1016</v>
      </c>
      <c r="B301" s="8">
        <f t="shared" si="40"/>
        <v>1</v>
      </c>
      <c r="C301" s="8" t="str">
        <f t="shared" si="41"/>
        <v>Unique</v>
      </c>
      <c r="D301" s="9">
        <v>45454</v>
      </c>
      <c r="E301" s="8">
        <f t="shared" si="42"/>
        <v>183</v>
      </c>
      <c r="F301" s="10">
        <v>45637</v>
      </c>
      <c r="G301" s="8" t="s">
        <v>1017</v>
      </c>
      <c r="H301" s="8" t="s">
        <v>116</v>
      </c>
      <c r="I301" s="8" t="str">
        <f t="shared" si="49"/>
        <v>Rahul Verma</v>
      </c>
      <c r="J301" s="8" t="s">
        <v>35</v>
      </c>
      <c r="K301" s="8" t="str">
        <f t="shared" si="43"/>
        <v>Small Business</v>
      </c>
      <c r="L301" s="8" t="s">
        <v>61</v>
      </c>
      <c r="M301" s="8" t="str">
        <f t="shared" si="44"/>
        <v>West</v>
      </c>
      <c r="N301" s="8" t="s">
        <v>178</v>
      </c>
      <c r="O301" s="8" t="str">
        <f t="shared" si="45"/>
        <v>Gujarat</v>
      </c>
      <c r="P301" s="8" t="s">
        <v>179</v>
      </c>
      <c r="Q301" s="8" t="str">
        <f t="shared" si="46"/>
        <v>Ahmedabad</v>
      </c>
      <c r="R301" s="8" t="s">
        <v>72</v>
      </c>
      <c r="S301" s="8" t="str">
        <f t="shared" si="47"/>
        <v>Technology</v>
      </c>
      <c r="T301" s="8" t="s">
        <v>73</v>
      </c>
      <c r="U301" s="8" t="str">
        <f t="shared" si="48"/>
        <v>Accessories</v>
      </c>
      <c r="V301" s="8" t="s">
        <v>1018</v>
      </c>
    </row>
    <row r="302" spans="1:22">
      <c r="A302" s="8" t="s">
        <v>1019</v>
      </c>
      <c r="B302" s="8">
        <f t="shared" si="40"/>
        <v>1</v>
      </c>
      <c r="C302" s="8" t="str">
        <f t="shared" si="41"/>
        <v>Unique</v>
      </c>
      <c r="D302" s="9">
        <v>45397</v>
      </c>
      <c r="E302" s="8">
        <f t="shared" si="42"/>
        <v>8</v>
      </c>
      <c r="F302" s="10">
        <v>45405</v>
      </c>
      <c r="G302" s="8" t="s">
        <v>1020</v>
      </c>
      <c r="H302" s="8" t="s">
        <v>160</v>
      </c>
      <c r="I302" s="8" t="str">
        <f t="shared" si="49"/>
        <v>Diya Patel</v>
      </c>
      <c r="J302" s="8" t="s">
        <v>35</v>
      </c>
      <c r="K302" s="8" t="str">
        <f t="shared" si="43"/>
        <v>Small Business</v>
      </c>
      <c r="L302" s="8" t="s">
        <v>23</v>
      </c>
      <c r="M302" s="8" t="str">
        <f t="shared" si="44"/>
        <v>North</v>
      </c>
      <c r="N302" s="8" t="s">
        <v>120</v>
      </c>
      <c r="O302" s="8" t="str">
        <f t="shared" si="45"/>
        <v>Punjab</v>
      </c>
      <c r="P302" s="8" t="s">
        <v>121</v>
      </c>
      <c r="Q302" s="8" t="str">
        <f t="shared" si="46"/>
        <v>Ludhiana</v>
      </c>
      <c r="R302" s="8" t="s">
        <v>72</v>
      </c>
      <c r="S302" s="8" t="str">
        <f t="shared" si="47"/>
        <v>Technology</v>
      </c>
      <c r="T302" s="8" t="s">
        <v>73</v>
      </c>
      <c r="U302" s="8" t="str">
        <f t="shared" si="48"/>
        <v>Accessories</v>
      </c>
      <c r="V302" s="8" t="s">
        <v>1021</v>
      </c>
    </row>
    <row r="303" spans="1:22">
      <c r="A303" s="8" t="s">
        <v>1022</v>
      </c>
      <c r="B303" s="8">
        <f t="shared" si="40"/>
        <v>1</v>
      </c>
      <c r="C303" s="8" t="str">
        <f t="shared" si="41"/>
        <v>Unique</v>
      </c>
      <c r="D303" s="9">
        <v>45805</v>
      </c>
      <c r="E303" s="8">
        <f t="shared" si="42"/>
        <v>-142</v>
      </c>
      <c r="F303" s="10">
        <v>45663</v>
      </c>
      <c r="G303" s="8" t="s">
        <v>1023</v>
      </c>
      <c r="H303" s="8" t="s">
        <v>45</v>
      </c>
      <c r="I303" s="8" t="str">
        <f t="shared" si="49"/>
        <v>Isha Nair</v>
      </c>
      <c r="J303" s="8" t="s">
        <v>93</v>
      </c>
      <c r="K303" s="8" t="str">
        <f t="shared" si="43"/>
        <v>Home Office</v>
      </c>
      <c r="L303" s="8" t="s">
        <v>36</v>
      </c>
      <c r="M303" s="8" t="str">
        <f t="shared" si="44"/>
        <v>East</v>
      </c>
      <c r="N303" s="8" t="s">
        <v>143</v>
      </c>
      <c r="O303" s="8" t="str">
        <f t="shared" si="45"/>
        <v>Bihar</v>
      </c>
      <c r="P303" s="8" t="s">
        <v>144</v>
      </c>
      <c r="Q303" s="8" t="str">
        <f t="shared" si="46"/>
        <v>Patna</v>
      </c>
      <c r="R303" s="8" t="s">
        <v>72</v>
      </c>
      <c r="S303" s="8" t="str">
        <f t="shared" si="47"/>
        <v>Technology</v>
      </c>
      <c r="T303" s="8" t="s">
        <v>169</v>
      </c>
      <c r="U303" s="8" t="str">
        <f t="shared" si="48"/>
        <v>Phones</v>
      </c>
      <c r="V303" s="8" t="s">
        <v>1024</v>
      </c>
    </row>
    <row r="304" spans="1:22">
      <c r="A304" s="8" t="s">
        <v>1025</v>
      </c>
      <c r="B304" s="8">
        <f t="shared" si="40"/>
        <v>1</v>
      </c>
      <c r="C304" s="8" t="str">
        <f t="shared" si="41"/>
        <v>Unique</v>
      </c>
      <c r="D304" s="9">
        <v>45753</v>
      </c>
      <c r="E304" s="8">
        <f t="shared" si="42"/>
        <v>244</v>
      </c>
      <c r="F304" s="10">
        <v>45997</v>
      </c>
      <c r="G304" s="8" t="s">
        <v>1026</v>
      </c>
      <c r="H304" s="8" t="s">
        <v>77</v>
      </c>
      <c r="I304" s="8" t="str">
        <f t="shared" si="49"/>
        <v>Neha Gupta</v>
      </c>
      <c r="J304" s="8" t="s">
        <v>22</v>
      </c>
      <c r="K304" s="8" t="str">
        <f t="shared" si="43"/>
        <v>Consumer</v>
      </c>
      <c r="L304" s="8" t="s">
        <v>61</v>
      </c>
      <c r="M304" s="8" t="str">
        <f t="shared" si="44"/>
        <v>West</v>
      </c>
      <c r="N304" s="8" t="s">
        <v>188</v>
      </c>
      <c r="O304" s="8" t="str">
        <f t="shared" si="45"/>
        <v>Goa</v>
      </c>
      <c r="P304" s="8" t="s">
        <v>189</v>
      </c>
      <c r="Q304" s="8" t="str">
        <f t="shared" si="46"/>
        <v>Panaji</v>
      </c>
      <c r="R304" s="8" t="s">
        <v>614</v>
      </c>
      <c r="S304" s="8" t="str">
        <f t="shared" si="47"/>
        <v>Office Supplies</v>
      </c>
      <c r="T304" s="8" t="s">
        <v>122</v>
      </c>
      <c r="U304" s="8" t="str">
        <f t="shared" si="48"/>
        <v>Storage</v>
      </c>
      <c r="V304" s="8" t="s">
        <v>1027</v>
      </c>
    </row>
    <row r="305" spans="1:22">
      <c r="A305" s="8" t="s">
        <v>1028</v>
      </c>
      <c r="B305" s="8">
        <f t="shared" si="40"/>
        <v>1</v>
      </c>
      <c r="C305" s="8" t="str">
        <f t="shared" si="41"/>
        <v>Unique</v>
      </c>
      <c r="D305" s="9">
        <v>45466</v>
      </c>
      <c r="E305" s="8">
        <f t="shared" si="42"/>
        <v>5</v>
      </c>
      <c r="F305" s="10">
        <v>45471</v>
      </c>
      <c r="G305" s="8" t="s">
        <v>1029</v>
      </c>
      <c r="H305" s="8" t="s">
        <v>160</v>
      </c>
      <c r="I305" s="8" t="str">
        <f t="shared" si="49"/>
        <v>Diya Patel</v>
      </c>
      <c r="J305" s="8" t="s">
        <v>93</v>
      </c>
      <c r="K305" s="8" t="str">
        <f t="shared" si="43"/>
        <v>Home Office</v>
      </c>
      <c r="L305" s="8" t="s">
        <v>61</v>
      </c>
      <c r="M305" s="8" t="str">
        <f t="shared" si="44"/>
        <v>West</v>
      </c>
      <c r="N305" s="8" t="s">
        <v>178</v>
      </c>
      <c r="O305" s="8" t="str">
        <f t="shared" si="45"/>
        <v>Gujarat</v>
      </c>
      <c r="P305" s="8" t="s">
        <v>179</v>
      </c>
      <c r="Q305" s="8" t="str">
        <f t="shared" si="46"/>
        <v>Ahmedabad</v>
      </c>
      <c r="R305" s="8" t="s">
        <v>39</v>
      </c>
      <c r="S305" s="8" t="str">
        <f t="shared" si="47"/>
        <v>Furniture</v>
      </c>
      <c r="T305" s="8" t="s">
        <v>64</v>
      </c>
      <c r="U305" s="8" t="str">
        <f t="shared" si="48"/>
        <v>Chairs</v>
      </c>
      <c r="V305" s="8" t="s">
        <v>1030</v>
      </c>
    </row>
    <row r="306" spans="1:22">
      <c r="A306" s="8" t="s">
        <v>1031</v>
      </c>
      <c r="B306" s="8">
        <f t="shared" si="40"/>
        <v>1</v>
      </c>
      <c r="C306" s="8" t="str">
        <f t="shared" si="41"/>
        <v>Unique</v>
      </c>
      <c r="D306" s="9">
        <v>45357</v>
      </c>
      <c r="E306" s="8">
        <f t="shared" si="42"/>
        <v>7</v>
      </c>
      <c r="F306" s="10">
        <v>45364</v>
      </c>
      <c r="G306" s="8" t="s">
        <v>1032</v>
      </c>
      <c r="H306" s="8" t="s">
        <v>21</v>
      </c>
      <c r="I306" s="8" t="str">
        <f t="shared" si="49"/>
        <v>Karan Malhotra</v>
      </c>
      <c r="J306" s="8" t="s">
        <v>22</v>
      </c>
      <c r="K306" s="8" t="str">
        <f t="shared" si="43"/>
        <v>Consumer</v>
      </c>
      <c r="L306" s="8" t="s">
        <v>23</v>
      </c>
      <c r="M306" s="8" t="str">
        <f t="shared" si="44"/>
        <v>North</v>
      </c>
      <c r="N306" s="8" t="s">
        <v>120</v>
      </c>
      <c r="O306" s="8" t="str">
        <f t="shared" si="45"/>
        <v>Punjab</v>
      </c>
      <c r="P306" s="8" t="s">
        <v>121</v>
      </c>
      <c r="Q306" s="8" t="str">
        <f t="shared" si="46"/>
        <v>Ludhiana</v>
      </c>
      <c r="R306" s="8" t="s">
        <v>39</v>
      </c>
      <c r="S306" s="8" t="str">
        <f t="shared" si="47"/>
        <v>Furniture</v>
      </c>
      <c r="T306" s="8" t="s">
        <v>55</v>
      </c>
      <c r="U306" s="8" t="str">
        <f t="shared" si="48"/>
        <v>Furnishings</v>
      </c>
      <c r="V306" s="8" t="s">
        <v>1033</v>
      </c>
    </row>
    <row r="307" spans="1:22">
      <c r="A307" s="8" t="s">
        <v>1034</v>
      </c>
      <c r="B307" s="8">
        <f t="shared" si="40"/>
        <v>1</v>
      </c>
      <c r="C307" s="8" t="str">
        <f t="shared" si="41"/>
        <v>Unique</v>
      </c>
      <c r="D307" s="9">
        <v>45296</v>
      </c>
      <c r="E307" s="8">
        <f t="shared" si="42"/>
        <v>118</v>
      </c>
      <c r="F307" s="10">
        <v>45414</v>
      </c>
      <c r="G307" s="8" t="s">
        <v>1035</v>
      </c>
      <c r="H307" s="8" t="s">
        <v>60</v>
      </c>
      <c r="I307" s="8" t="str">
        <f t="shared" si="49"/>
        <v>Ananya Rao</v>
      </c>
      <c r="J307" s="8" t="s">
        <v>22</v>
      </c>
      <c r="K307" s="8" t="str">
        <f t="shared" si="43"/>
        <v>Consumer</v>
      </c>
      <c r="L307" s="8" t="s">
        <v>36</v>
      </c>
      <c r="M307" s="8" t="str">
        <f t="shared" si="44"/>
        <v>East</v>
      </c>
      <c r="N307" s="8" t="s">
        <v>164</v>
      </c>
      <c r="O307" s="8" t="str">
        <f t="shared" si="45"/>
        <v>Assam</v>
      </c>
      <c r="P307" s="8" t="s">
        <v>165</v>
      </c>
      <c r="Q307" s="8" t="str">
        <f t="shared" si="46"/>
        <v>Guwahati</v>
      </c>
      <c r="R307" s="8" t="s">
        <v>39</v>
      </c>
      <c r="S307" s="8" t="str">
        <f t="shared" si="47"/>
        <v>Furniture</v>
      </c>
      <c r="T307" s="8" t="s">
        <v>64</v>
      </c>
      <c r="U307" s="8" t="str">
        <f t="shared" si="48"/>
        <v>Chairs</v>
      </c>
      <c r="V307" s="8" t="s">
        <v>1036</v>
      </c>
    </row>
    <row r="308" spans="1:22">
      <c r="A308" s="8" t="s">
        <v>1037</v>
      </c>
      <c r="B308" s="8">
        <f t="shared" si="40"/>
        <v>1</v>
      </c>
      <c r="C308" s="8" t="str">
        <f t="shared" si="41"/>
        <v>Unique</v>
      </c>
      <c r="D308" s="9">
        <v>45708</v>
      </c>
      <c r="E308" s="8">
        <f t="shared" si="42"/>
        <v>3</v>
      </c>
      <c r="F308" s="10">
        <v>45711</v>
      </c>
      <c r="G308" s="8" t="s">
        <v>1038</v>
      </c>
      <c r="H308" s="8" t="s">
        <v>126</v>
      </c>
      <c r="I308" s="8" t="str">
        <f t="shared" si="49"/>
        <v>Aarav Sharma</v>
      </c>
      <c r="J308" s="8" t="s">
        <v>22</v>
      </c>
      <c r="K308" s="8" t="str">
        <f t="shared" si="43"/>
        <v>Consumer</v>
      </c>
      <c r="L308" s="8" t="s">
        <v>23</v>
      </c>
      <c r="M308" s="8" t="str">
        <f t="shared" si="44"/>
        <v>North</v>
      </c>
      <c r="N308" s="8" t="s">
        <v>24</v>
      </c>
      <c r="O308" s="8" t="str">
        <f t="shared" si="45"/>
        <v>Rajasthan</v>
      </c>
      <c r="P308" s="8" t="s">
        <v>25</v>
      </c>
      <c r="Q308" s="8" t="str">
        <f t="shared" si="46"/>
        <v>Jaipur</v>
      </c>
      <c r="R308" s="8" t="s">
        <v>72</v>
      </c>
      <c r="S308" s="8" t="str">
        <f t="shared" si="47"/>
        <v>Technology</v>
      </c>
      <c r="T308" s="8" t="s">
        <v>169</v>
      </c>
      <c r="U308" s="8" t="str">
        <f t="shared" si="48"/>
        <v>Phones</v>
      </c>
      <c r="V308" s="8" t="s">
        <v>1039</v>
      </c>
    </row>
    <row r="309" spans="1:22">
      <c r="A309" s="8" t="s">
        <v>1040</v>
      </c>
      <c r="B309" s="8">
        <f t="shared" si="40"/>
        <v>1</v>
      </c>
      <c r="C309" s="8" t="str">
        <f t="shared" si="41"/>
        <v>Unique</v>
      </c>
      <c r="D309" s="9">
        <v>45998</v>
      </c>
      <c r="E309" s="8">
        <f t="shared" si="42"/>
        <v>-141</v>
      </c>
      <c r="F309" s="10">
        <v>45857</v>
      </c>
      <c r="G309" s="8" t="s">
        <v>1041</v>
      </c>
      <c r="H309" s="8" t="s">
        <v>60</v>
      </c>
      <c r="I309" s="8" t="str">
        <f t="shared" si="49"/>
        <v>Ananya Rao</v>
      </c>
      <c r="J309" s="8" t="s">
        <v>88</v>
      </c>
      <c r="K309" s="8" t="str">
        <f t="shared" si="43"/>
        <v>Corporate</v>
      </c>
      <c r="L309" s="8" t="s">
        <v>23</v>
      </c>
      <c r="M309" s="8" t="str">
        <f t="shared" si="44"/>
        <v>North</v>
      </c>
      <c r="N309" s="8" t="s">
        <v>134</v>
      </c>
      <c r="O309" s="8" t="str">
        <f t="shared" si="45"/>
        <v>Uttar Pradesh</v>
      </c>
      <c r="P309" s="8" t="s">
        <v>135</v>
      </c>
      <c r="Q309" s="8" t="str">
        <f t="shared" si="46"/>
        <v>Noida</v>
      </c>
      <c r="R309" s="8" t="s">
        <v>39</v>
      </c>
      <c r="S309" s="8" t="str">
        <f t="shared" si="47"/>
        <v>Furniture</v>
      </c>
      <c r="T309" s="8" t="s">
        <v>40</v>
      </c>
      <c r="U309" s="8" t="str">
        <f t="shared" si="48"/>
        <v>Tables</v>
      </c>
      <c r="V309" s="8" t="s">
        <v>1042</v>
      </c>
    </row>
    <row r="310" spans="1:22">
      <c r="A310" s="8" t="s">
        <v>1044</v>
      </c>
      <c r="B310" s="8">
        <f t="shared" si="40"/>
        <v>1</v>
      </c>
      <c r="C310" s="8" t="str">
        <f t="shared" si="41"/>
        <v>Unique</v>
      </c>
      <c r="D310" s="9">
        <v>45821</v>
      </c>
      <c r="E310" s="8">
        <f t="shared" si="42"/>
        <v>6</v>
      </c>
      <c r="F310" s="10">
        <v>45827</v>
      </c>
      <c r="G310" s="8" t="s">
        <v>1045</v>
      </c>
      <c r="H310" s="8" t="s">
        <v>139</v>
      </c>
      <c r="I310" s="8" t="str">
        <f t="shared" si="49"/>
        <v>Rohan Mehta</v>
      </c>
      <c r="J310" s="8" t="s">
        <v>22</v>
      </c>
      <c r="K310" s="8" t="str">
        <f t="shared" si="43"/>
        <v>Consumer</v>
      </c>
      <c r="L310" s="8" t="s">
        <v>23</v>
      </c>
      <c r="M310" s="8" t="str">
        <f t="shared" si="44"/>
        <v>North</v>
      </c>
      <c r="N310" s="8" t="s">
        <v>24</v>
      </c>
      <c r="O310" s="8" t="str">
        <f t="shared" si="45"/>
        <v>Rajasthan</v>
      </c>
      <c r="P310" s="8" t="s">
        <v>25</v>
      </c>
      <c r="Q310" s="8" t="str">
        <f t="shared" si="46"/>
        <v>Jaipur</v>
      </c>
      <c r="R310" s="8" t="s">
        <v>39</v>
      </c>
      <c r="S310" s="8" t="str">
        <f t="shared" si="47"/>
        <v>Furniture</v>
      </c>
      <c r="T310" s="8" t="s">
        <v>40</v>
      </c>
      <c r="U310" s="8" t="str">
        <f t="shared" si="48"/>
        <v>Tables</v>
      </c>
      <c r="V310" s="8" t="s">
        <v>1046</v>
      </c>
    </row>
    <row r="311" spans="1:22">
      <c r="A311" s="8" t="s">
        <v>1047</v>
      </c>
      <c r="B311" s="8">
        <f t="shared" si="40"/>
        <v>1</v>
      </c>
      <c r="C311" s="8" t="str">
        <f t="shared" si="41"/>
        <v>Unique</v>
      </c>
      <c r="D311" s="9">
        <v>45493</v>
      </c>
      <c r="E311" s="8">
        <f t="shared" si="42"/>
        <v>2</v>
      </c>
      <c r="F311" s="10">
        <v>45495</v>
      </c>
      <c r="G311" s="8" t="s">
        <v>1048</v>
      </c>
      <c r="H311" s="8" t="s">
        <v>60</v>
      </c>
      <c r="I311" s="8" t="str">
        <f t="shared" si="49"/>
        <v>Ananya Rao</v>
      </c>
      <c r="J311" s="8" t="s">
        <v>22</v>
      </c>
      <c r="K311" s="8" t="str">
        <f t="shared" si="43"/>
        <v>Consumer</v>
      </c>
      <c r="L311" s="8" t="s">
        <v>52</v>
      </c>
      <c r="M311" s="8" t="str">
        <f t="shared" si="44"/>
        <v>South</v>
      </c>
      <c r="N311" s="8" t="s">
        <v>246</v>
      </c>
      <c r="O311" s="8" t="str">
        <f t="shared" si="45"/>
        <v>Tamil Nadu</v>
      </c>
      <c r="P311" s="8" t="s">
        <v>247</v>
      </c>
      <c r="Q311" s="8" t="str">
        <f t="shared" si="46"/>
        <v>Chennai</v>
      </c>
      <c r="R311" s="8" t="s">
        <v>39</v>
      </c>
      <c r="S311" s="8" t="str">
        <f t="shared" si="47"/>
        <v>Furniture</v>
      </c>
      <c r="T311" s="8" t="s">
        <v>40</v>
      </c>
      <c r="U311" s="8" t="str">
        <f t="shared" si="48"/>
        <v>Tables</v>
      </c>
      <c r="V311" s="8" t="s">
        <v>1049</v>
      </c>
    </row>
    <row r="312" spans="1:22">
      <c r="A312" s="8" t="s">
        <v>1050</v>
      </c>
      <c r="B312" s="8">
        <f t="shared" si="40"/>
        <v>1</v>
      </c>
      <c r="C312" s="8" t="str">
        <f t="shared" si="41"/>
        <v>Unique</v>
      </c>
      <c r="D312" s="9">
        <v>45389</v>
      </c>
      <c r="E312" s="8">
        <f t="shared" si="42"/>
        <v>122</v>
      </c>
      <c r="F312" s="10">
        <v>45511</v>
      </c>
      <c r="G312" s="8" t="s">
        <v>1051</v>
      </c>
      <c r="H312" s="8" t="s">
        <v>139</v>
      </c>
      <c r="I312" s="8" t="str">
        <f t="shared" si="49"/>
        <v>Rohan Mehta</v>
      </c>
      <c r="J312" s="8" t="s">
        <v>35</v>
      </c>
      <c r="K312" s="8" t="str">
        <f t="shared" si="43"/>
        <v>Small Business</v>
      </c>
      <c r="L312" s="8" t="s">
        <v>52</v>
      </c>
      <c r="M312" s="8" t="str">
        <f t="shared" si="44"/>
        <v>South</v>
      </c>
      <c r="N312" s="8" t="s">
        <v>246</v>
      </c>
      <c r="O312" s="8" t="str">
        <f t="shared" si="45"/>
        <v>Tamil Nadu</v>
      </c>
      <c r="P312" s="8" t="s">
        <v>247</v>
      </c>
      <c r="Q312" s="8" t="str">
        <f t="shared" si="46"/>
        <v>Chennai</v>
      </c>
      <c r="R312" s="8" t="s">
        <v>72</v>
      </c>
      <c r="S312" s="8" t="str">
        <f t="shared" si="47"/>
        <v>Technology</v>
      </c>
      <c r="T312" s="8" t="s">
        <v>273</v>
      </c>
      <c r="U312" s="8" t="str">
        <f t="shared" si="48"/>
        <v>Machines</v>
      </c>
      <c r="V312" s="8" t="s">
        <v>1052</v>
      </c>
    </row>
    <row r="313" spans="1:22">
      <c r="A313" s="8" t="s">
        <v>1053</v>
      </c>
      <c r="B313" s="8">
        <f t="shared" si="40"/>
        <v>1</v>
      </c>
      <c r="C313" s="8" t="str">
        <f t="shared" si="41"/>
        <v>Unique</v>
      </c>
      <c r="D313" s="9">
        <v>45409</v>
      </c>
      <c r="E313" s="8">
        <f t="shared" si="42"/>
        <v>-82</v>
      </c>
      <c r="F313" s="10">
        <v>45327</v>
      </c>
      <c r="G313" s="8" t="s">
        <v>1054</v>
      </c>
      <c r="H313" s="8" t="s">
        <v>34</v>
      </c>
      <c r="I313" s="8" t="str">
        <f t="shared" si="49"/>
        <v>Mira Das</v>
      </c>
      <c r="J313" s="8" t="s">
        <v>88</v>
      </c>
      <c r="K313" s="8" t="str">
        <f t="shared" si="43"/>
        <v>Corporate</v>
      </c>
      <c r="L313" s="8" t="s">
        <v>52</v>
      </c>
      <c r="M313" s="8" t="str">
        <f t="shared" si="44"/>
        <v>South</v>
      </c>
      <c r="N313" s="8" t="s">
        <v>173</v>
      </c>
      <c r="O313" s="8" t="str">
        <f t="shared" si="45"/>
        <v>Karnataka</v>
      </c>
      <c r="P313" s="8" t="s">
        <v>174</v>
      </c>
      <c r="Q313" s="8" t="str">
        <f t="shared" si="46"/>
        <v>Bengaluru</v>
      </c>
      <c r="R313" s="8" t="s">
        <v>26</v>
      </c>
      <c r="S313" s="8" t="str">
        <f t="shared" si="47"/>
        <v>Office Supplies</v>
      </c>
      <c r="T313" s="8" t="s">
        <v>151</v>
      </c>
      <c r="U313" s="8" t="str">
        <f t="shared" si="48"/>
        <v>Binders</v>
      </c>
      <c r="V313" s="8" t="s">
        <v>1055</v>
      </c>
    </row>
    <row r="314" spans="1:22">
      <c r="A314" s="8" t="s">
        <v>1056</v>
      </c>
      <c r="B314" s="8">
        <f t="shared" si="40"/>
        <v>1</v>
      </c>
      <c r="C314" s="8" t="str">
        <f t="shared" si="41"/>
        <v>Unique</v>
      </c>
      <c r="D314" s="9">
        <v>45504</v>
      </c>
      <c r="E314" s="8">
        <f t="shared" si="42"/>
        <v>-114</v>
      </c>
      <c r="F314" s="10">
        <v>45390</v>
      </c>
      <c r="G314" s="8" t="s">
        <v>1057</v>
      </c>
      <c r="H314" s="8" t="s">
        <v>21</v>
      </c>
      <c r="I314" s="8" t="str">
        <f t="shared" si="49"/>
        <v>Karan Malhotra</v>
      </c>
      <c r="J314" s="8" t="s">
        <v>35</v>
      </c>
      <c r="K314" s="8" t="str">
        <f t="shared" si="43"/>
        <v>Small Business</v>
      </c>
      <c r="L314" s="8" t="s">
        <v>36</v>
      </c>
      <c r="M314" s="8" t="str">
        <f t="shared" si="44"/>
        <v>East</v>
      </c>
      <c r="N314" s="8" t="s">
        <v>164</v>
      </c>
      <c r="O314" s="8" t="str">
        <f t="shared" si="45"/>
        <v>Assam</v>
      </c>
      <c r="P314" s="8" t="s">
        <v>165</v>
      </c>
      <c r="Q314" s="8" t="str">
        <f t="shared" si="46"/>
        <v>Guwahati</v>
      </c>
      <c r="R314" s="8" t="s">
        <v>72</v>
      </c>
      <c r="S314" s="8" t="str">
        <f t="shared" si="47"/>
        <v>Technology</v>
      </c>
      <c r="T314" s="8" t="s">
        <v>169</v>
      </c>
      <c r="U314" s="8" t="str">
        <f t="shared" si="48"/>
        <v>Phones</v>
      </c>
      <c r="V314" s="8" t="s">
        <v>1058</v>
      </c>
    </row>
    <row r="315" spans="1:22">
      <c r="A315" s="8" t="s">
        <v>1059</v>
      </c>
      <c r="B315" s="8">
        <f t="shared" si="40"/>
        <v>1</v>
      </c>
      <c r="C315" s="8" t="str">
        <f t="shared" si="41"/>
        <v>Unique</v>
      </c>
      <c r="D315" s="9">
        <v>45807</v>
      </c>
      <c r="E315" s="8">
        <f t="shared" si="42"/>
        <v>1</v>
      </c>
      <c r="F315" s="10">
        <v>45808</v>
      </c>
      <c r="G315" s="8" t="s">
        <v>1060</v>
      </c>
      <c r="H315" s="8" t="s">
        <v>116</v>
      </c>
      <c r="I315" s="8" t="str">
        <f t="shared" si="49"/>
        <v>Rahul Verma</v>
      </c>
      <c r="J315" s="8" t="s">
        <v>88</v>
      </c>
      <c r="K315" s="8" t="str">
        <f t="shared" si="43"/>
        <v>Corporate</v>
      </c>
      <c r="L315" s="8" t="s">
        <v>23</v>
      </c>
      <c r="M315" s="8" t="str">
        <f t="shared" si="44"/>
        <v>North</v>
      </c>
      <c r="N315" s="8" t="s">
        <v>134</v>
      </c>
      <c r="O315" s="8" t="str">
        <f t="shared" si="45"/>
        <v>Uttar Pradesh</v>
      </c>
      <c r="P315" s="8" t="s">
        <v>135</v>
      </c>
      <c r="Q315" s="8" t="str">
        <f t="shared" si="46"/>
        <v>Noida</v>
      </c>
      <c r="R315" s="8" t="s">
        <v>72</v>
      </c>
      <c r="S315" s="8" t="str">
        <f t="shared" si="47"/>
        <v>Technology</v>
      </c>
      <c r="T315" s="8" t="s">
        <v>169</v>
      </c>
      <c r="U315" s="8" t="str">
        <f t="shared" si="48"/>
        <v>Phones</v>
      </c>
      <c r="V315" s="8" t="s">
        <v>1061</v>
      </c>
    </row>
    <row r="316" spans="1:22">
      <c r="A316" s="8" t="s">
        <v>1062</v>
      </c>
      <c r="B316" s="8">
        <f t="shared" si="40"/>
        <v>2</v>
      </c>
      <c r="C316" s="8" t="str">
        <f t="shared" si="41"/>
        <v>Review Duplicate ID</v>
      </c>
      <c r="D316" s="9">
        <v>45795</v>
      </c>
      <c r="E316" s="8">
        <f t="shared" si="42"/>
        <v>2</v>
      </c>
      <c r="F316" s="10">
        <v>45797</v>
      </c>
      <c r="G316" s="8" t="s">
        <v>1063</v>
      </c>
      <c r="H316" s="8" t="s">
        <v>45</v>
      </c>
      <c r="I316" s="8" t="str">
        <f t="shared" si="49"/>
        <v>Isha Nair</v>
      </c>
      <c r="J316" s="8" t="s">
        <v>88</v>
      </c>
      <c r="K316" s="8" t="str">
        <f t="shared" si="43"/>
        <v>Corporate</v>
      </c>
      <c r="L316" s="8" t="s">
        <v>61</v>
      </c>
      <c r="M316" s="8" t="str">
        <f t="shared" si="44"/>
        <v>West</v>
      </c>
      <c r="N316" s="8" t="s">
        <v>70</v>
      </c>
      <c r="O316" s="8" t="str">
        <f t="shared" si="45"/>
        <v>Madhya Pradesh</v>
      </c>
      <c r="P316" s="8" t="s">
        <v>71</v>
      </c>
      <c r="Q316" s="8" t="str">
        <f t="shared" si="46"/>
        <v>Indore</v>
      </c>
      <c r="R316" s="8" t="s">
        <v>26</v>
      </c>
      <c r="S316" s="8" t="str">
        <f t="shared" si="47"/>
        <v>Office Supplies</v>
      </c>
      <c r="T316" s="8" t="s">
        <v>89</v>
      </c>
      <c r="U316" s="8" t="str">
        <f t="shared" si="48"/>
        <v>Labels</v>
      </c>
      <c r="V316" s="8" t="s">
        <v>1064</v>
      </c>
    </row>
    <row r="317" spans="1:22">
      <c r="A317" s="8" t="s">
        <v>1065</v>
      </c>
      <c r="B317" s="8">
        <f t="shared" si="40"/>
        <v>1</v>
      </c>
      <c r="C317" s="8" t="str">
        <f t="shared" si="41"/>
        <v>Unique</v>
      </c>
      <c r="D317" s="9">
        <v>45329</v>
      </c>
      <c r="E317" s="8">
        <f t="shared" si="42"/>
        <v>182</v>
      </c>
      <c r="F317" s="10">
        <v>45511</v>
      </c>
      <c r="G317" s="8" t="s">
        <v>1066</v>
      </c>
      <c r="H317" s="8" t="s">
        <v>139</v>
      </c>
      <c r="I317" s="8" t="str">
        <f t="shared" si="49"/>
        <v>Rohan Mehta</v>
      </c>
      <c r="J317" s="8" t="s">
        <v>22</v>
      </c>
      <c r="K317" s="8" t="str">
        <f t="shared" si="43"/>
        <v>Consumer</v>
      </c>
      <c r="L317" s="8" t="s">
        <v>23</v>
      </c>
      <c r="M317" s="8" t="str">
        <f t="shared" si="44"/>
        <v>North</v>
      </c>
      <c r="N317" s="8" t="s">
        <v>349</v>
      </c>
      <c r="O317" s="8" t="str">
        <f t="shared" si="45"/>
        <v>Delhi</v>
      </c>
      <c r="P317" s="8" t="s">
        <v>350</v>
      </c>
      <c r="Q317" s="8" t="str">
        <f t="shared" si="46"/>
        <v>New Delhi</v>
      </c>
      <c r="R317" s="8" t="s">
        <v>26</v>
      </c>
      <c r="S317" s="8" t="str">
        <f t="shared" si="47"/>
        <v>Office Supplies</v>
      </c>
      <c r="T317" s="8" t="s">
        <v>27</v>
      </c>
      <c r="U317" s="8" t="str">
        <f t="shared" si="48"/>
        <v>Paper</v>
      </c>
      <c r="V317" s="8" t="s">
        <v>1067</v>
      </c>
    </row>
    <row r="318" spans="1:22">
      <c r="A318" s="8" t="s">
        <v>1068</v>
      </c>
      <c r="B318" s="8">
        <f t="shared" si="40"/>
        <v>1</v>
      </c>
      <c r="C318" s="8" t="str">
        <f t="shared" si="41"/>
        <v>Unique</v>
      </c>
      <c r="D318" s="9">
        <v>45338</v>
      </c>
      <c r="E318" s="8">
        <f t="shared" si="42"/>
        <v>2</v>
      </c>
      <c r="F318" s="10">
        <v>45340</v>
      </c>
      <c r="G318" s="8" t="s">
        <v>1069</v>
      </c>
      <c r="H318" s="8" t="s">
        <v>21</v>
      </c>
      <c r="I318" s="8" t="str">
        <f t="shared" si="49"/>
        <v>Karan Malhotra</v>
      </c>
      <c r="J318" s="8" t="s">
        <v>88</v>
      </c>
      <c r="K318" s="8" t="str">
        <f t="shared" si="43"/>
        <v>Corporate</v>
      </c>
      <c r="L318" s="8" t="s">
        <v>23</v>
      </c>
      <c r="M318" s="8" t="str">
        <f t="shared" si="44"/>
        <v>North</v>
      </c>
      <c r="N318" s="8" t="s">
        <v>120</v>
      </c>
      <c r="O318" s="8" t="str">
        <f t="shared" si="45"/>
        <v>Punjab</v>
      </c>
      <c r="P318" s="8" t="s">
        <v>121</v>
      </c>
      <c r="Q318" s="8" t="str">
        <f t="shared" si="46"/>
        <v>Ludhiana</v>
      </c>
      <c r="R318" s="8" t="s">
        <v>26</v>
      </c>
      <c r="S318" s="8" t="str">
        <f t="shared" si="47"/>
        <v>Office Supplies</v>
      </c>
      <c r="T318" s="8" t="s">
        <v>89</v>
      </c>
      <c r="U318" s="8" t="str">
        <f t="shared" si="48"/>
        <v>Labels</v>
      </c>
      <c r="V318" s="8" t="s">
        <v>1070</v>
      </c>
    </row>
    <row r="319" spans="1:22">
      <c r="A319" s="8" t="s">
        <v>1071</v>
      </c>
      <c r="B319" s="8">
        <f t="shared" si="40"/>
        <v>1</v>
      </c>
      <c r="C319" s="8" t="str">
        <f t="shared" si="41"/>
        <v>Unique</v>
      </c>
      <c r="D319" s="9">
        <v>45898</v>
      </c>
      <c r="E319" s="8">
        <f t="shared" si="42"/>
        <v>-142</v>
      </c>
      <c r="F319" s="10">
        <v>45756</v>
      </c>
      <c r="G319" s="8" t="s">
        <v>1072</v>
      </c>
      <c r="H319" s="8" t="s">
        <v>77</v>
      </c>
      <c r="I319" s="8" t="str">
        <f t="shared" si="49"/>
        <v>Neha Gupta</v>
      </c>
      <c r="J319" s="8" t="s">
        <v>88</v>
      </c>
      <c r="K319" s="8" t="str">
        <f t="shared" si="43"/>
        <v>Corporate</v>
      </c>
      <c r="L319" s="8" t="s">
        <v>52</v>
      </c>
      <c r="M319" s="8" t="str">
        <f t="shared" si="44"/>
        <v>South</v>
      </c>
      <c r="N319" s="8" t="s">
        <v>183</v>
      </c>
      <c r="O319" s="8" t="str">
        <f t="shared" si="45"/>
        <v>Kerala</v>
      </c>
      <c r="P319" s="8" t="s">
        <v>184</v>
      </c>
      <c r="Q319" s="8" t="str">
        <f t="shared" si="46"/>
        <v>Kochi</v>
      </c>
      <c r="R319" s="8" t="s">
        <v>39</v>
      </c>
      <c r="S319" s="8" t="str">
        <f t="shared" si="47"/>
        <v>Furniture</v>
      </c>
      <c r="T319" s="8" t="s">
        <v>40</v>
      </c>
      <c r="U319" s="8" t="str">
        <f t="shared" si="48"/>
        <v>Tables</v>
      </c>
      <c r="V319" s="8" t="s">
        <v>1073</v>
      </c>
    </row>
    <row r="320" spans="1:22">
      <c r="A320" s="8" t="s">
        <v>1074</v>
      </c>
      <c r="B320" s="8">
        <f t="shared" si="40"/>
        <v>1</v>
      </c>
      <c r="C320" s="8" t="str">
        <f t="shared" si="41"/>
        <v>Unique</v>
      </c>
      <c r="D320" s="9">
        <v>45407</v>
      </c>
      <c r="E320" s="8">
        <f t="shared" si="42"/>
        <v>5</v>
      </c>
      <c r="F320" s="10">
        <v>45412</v>
      </c>
      <c r="G320" s="8" t="s">
        <v>1075</v>
      </c>
      <c r="H320" s="8" t="s">
        <v>34</v>
      </c>
      <c r="I320" s="8" t="str">
        <f t="shared" si="49"/>
        <v>Mira Das</v>
      </c>
      <c r="J320" s="8" t="s">
        <v>35</v>
      </c>
      <c r="K320" s="8" t="str">
        <f t="shared" si="43"/>
        <v>Small Business</v>
      </c>
      <c r="L320" s="8" t="s">
        <v>52</v>
      </c>
      <c r="M320" s="8" t="str">
        <f t="shared" si="44"/>
        <v>South</v>
      </c>
      <c r="N320" s="8" t="s">
        <v>173</v>
      </c>
      <c r="O320" s="8" t="str">
        <f t="shared" si="45"/>
        <v>Karnataka</v>
      </c>
      <c r="P320" s="8" t="s">
        <v>174</v>
      </c>
      <c r="Q320" s="8" t="str">
        <f t="shared" si="46"/>
        <v>Bengaluru</v>
      </c>
      <c r="R320" s="8" t="s">
        <v>72</v>
      </c>
      <c r="S320" s="8" t="str">
        <f t="shared" si="47"/>
        <v>Technology</v>
      </c>
      <c r="T320" s="8" t="s">
        <v>169</v>
      </c>
      <c r="U320" s="8" t="str">
        <f t="shared" si="48"/>
        <v>Phones</v>
      </c>
      <c r="V320" s="8" t="s">
        <v>1076</v>
      </c>
    </row>
    <row r="321" spans="1:22">
      <c r="A321" s="8" t="s">
        <v>1077</v>
      </c>
      <c r="B321" s="8">
        <f t="shared" si="40"/>
        <v>1</v>
      </c>
      <c r="C321" s="8" t="str">
        <f t="shared" si="41"/>
        <v>Unique</v>
      </c>
      <c r="D321" s="9">
        <v>45525</v>
      </c>
      <c r="E321" s="8">
        <f t="shared" si="42"/>
        <v>4</v>
      </c>
      <c r="F321" s="10">
        <v>45529</v>
      </c>
      <c r="G321" s="8" t="s">
        <v>1078</v>
      </c>
      <c r="H321" s="8" t="s">
        <v>160</v>
      </c>
      <c r="I321" s="8" t="str">
        <f t="shared" si="49"/>
        <v>Diya Patel</v>
      </c>
      <c r="J321" s="8" t="s">
        <v>22</v>
      </c>
      <c r="K321" s="8" t="str">
        <f t="shared" si="43"/>
        <v>Consumer</v>
      </c>
      <c r="L321" s="8" t="s">
        <v>61</v>
      </c>
      <c r="M321" s="8" t="str">
        <f t="shared" si="44"/>
        <v>West</v>
      </c>
      <c r="N321" s="8" t="s">
        <v>178</v>
      </c>
      <c r="O321" s="8" t="str">
        <f t="shared" si="45"/>
        <v>Gujarat</v>
      </c>
      <c r="P321" s="8" t="s">
        <v>179</v>
      </c>
      <c r="Q321" s="8" t="str">
        <f t="shared" si="46"/>
        <v>Ahmedabad</v>
      </c>
      <c r="R321" s="8" t="s">
        <v>26</v>
      </c>
      <c r="S321" s="8" t="str">
        <f t="shared" si="47"/>
        <v>Office Supplies</v>
      </c>
      <c r="T321" s="8" t="s">
        <v>151</v>
      </c>
      <c r="U321" s="8" t="str">
        <f t="shared" si="48"/>
        <v>Binders</v>
      </c>
      <c r="V321" s="8" t="s">
        <v>1079</v>
      </c>
    </row>
    <row r="322" spans="1:22">
      <c r="A322" s="8" t="s">
        <v>1080</v>
      </c>
      <c r="B322" s="8">
        <f t="shared" si="40"/>
        <v>1</v>
      </c>
      <c r="C322" s="8" t="str">
        <f t="shared" si="41"/>
        <v>Unique</v>
      </c>
      <c r="D322" s="9">
        <v>45630</v>
      </c>
      <c r="E322" s="8">
        <f t="shared" si="42"/>
        <v>2</v>
      </c>
      <c r="F322" s="10">
        <v>45632</v>
      </c>
      <c r="G322" s="8" t="s">
        <v>1081</v>
      </c>
      <c r="H322" s="8" t="s">
        <v>126</v>
      </c>
      <c r="I322" s="8" t="str">
        <f t="shared" si="49"/>
        <v>Aarav Sharma</v>
      </c>
      <c r="J322" s="8" t="s">
        <v>93</v>
      </c>
      <c r="K322" s="8" t="str">
        <f t="shared" si="43"/>
        <v>Home Office</v>
      </c>
      <c r="L322" s="8" t="s">
        <v>36</v>
      </c>
      <c r="M322" s="8" t="str">
        <f t="shared" si="44"/>
        <v>East</v>
      </c>
      <c r="N322" s="8" t="s">
        <v>97</v>
      </c>
      <c r="O322" s="8" t="str">
        <f t="shared" si="45"/>
        <v>West Bengal</v>
      </c>
      <c r="P322" s="8" t="s">
        <v>98</v>
      </c>
      <c r="Q322" s="8" t="str">
        <f t="shared" si="46"/>
        <v>Kolkata</v>
      </c>
      <c r="R322" s="8" t="s">
        <v>26</v>
      </c>
      <c r="S322" s="8" t="str">
        <f t="shared" si="47"/>
        <v>Office Supplies</v>
      </c>
      <c r="T322" s="8" t="s">
        <v>46</v>
      </c>
      <c r="U322" s="8" t="str">
        <f t="shared" si="48"/>
        <v>Art</v>
      </c>
      <c r="V322" s="8" t="s">
        <v>1082</v>
      </c>
    </row>
    <row r="323" spans="1:22">
      <c r="A323" s="8" t="s">
        <v>1083</v>
      </c>
      <c r="B323" s="8">
        <f t="shared" ref="B323:B386" si="50">COUNTIF($A:$A,A323)</f>
        <v>1</v>
      </c>
      <c r="C323" s="8" t="str">
        <f t="shared" ref="C323:C386" si="51">IF(B323&gt;1,"Review Duplicate ID","Unique")</f>
        <v>Unique</v>
      </c>
      <c r="D323" s="9">
        <v>45466</v>
      </c>
      <c r="E323" s="8">
        <f t="shared" ref="E323:E386" si="52">F323-D323</f>
        <v>7</v>
      </c>
      <c r="F323" s="10">
        <v>45473</v>
      </c>
      <c r="G323" s="8" t="s">
        <v>1084</v>
      </c>
      <c r="H323" s="8" t="s">
        <v>77</v>
      </c>
      <c r="I323" s="8" t="str">
        <f t="shared" si="49"/>
        <v>Neha Gupta</v>
      </c>
      <c r="J323" s="8" t="s">
        <v>35</v>
      </c>
      <c r="K323" s="8" t="str">
        <f t="shared" ref="K323:K386" si="53">PROPER(TRIM(J323))</f>
        <v>Small Business</v>
      </c>
      <c r="L323" s="8" t="s">
        <v>61</v>
      </c>
      <c r="M323" s="8" t="str">
        <f t="shared" ref="M323:M386" si="54">PROPER(TRIM(L323))</f>
        <v>West</v>
      </c>
      <c r="N323" s="8" t="s">
        <v>188</v>
      </c>
      <c r="O323" s="8" t="str">
        <f t="shared" ref="O323:O386" si="55">PROPER(TRIM(N323))</f>
        <v>Goa</v>
      </c>
      <c r="P323" s="8" t="s">
        <v>189</v>
      </c>
      <c r="Q323" s="8" t="str">
        <f t="shared" ref="Q323:Q386" si="56">PROPER(TRIM(P323))</f>
        <v>Panaji</v>
      </c>
      <c r="R323" s="8" t="s">
        <v>72</v>
      </c>
      <c r="S323" s="8" t="str">
        <f t="shared" ref="S323:S386" si="57">PROPER(TRIM(R323))</f>
        <v>Technology</v>
      </c>
      <c r="T323" s="8" t="s">
        <v>73</v>
      </c>
      <c r="U323" s="8" t="str">
        <f t="shared" ref="U323:U386" si="58">PROPER(TRIM(T323))</f>
        <v>Accessories</v>
      </c>
      <c r="V323" s="8" t="s">
        <v>1085</v>
      </c>
    </row>
    <row r="324" spans="1:22">
      <c r="A324" s="8" t="s">
        <v>1086</v>
      </c>
      <c r="B324" s="8">
        <f t="shared" si="50"/>
        <v>1</v>
      </c>
      <c r="C324" s="8" t="str">
        <f t="shared" si="51"/>
        <v>Unique</v>
      </c>
      <c r="D324" s="9">
        <v>45637</v>
      </c>
      <c r="E324" s="8">
        <f t="shared" si="52"/>
        <v>0</v>
      </c>
      <c r="F324" s="10">
        <v>45637</v>
      </c>
      <c r="G324" s="8" t="s">
        <v>1087</v>
      </c>
      <c r="H324" s="8" t="s">
        <v>45</v>
      </c>
      <c r="I324" s="8" t="str">
        <f t="shared" ref="I324:I387" si="59">PROPER(TRIM(H324))</f>
        <v>Isha Nair</v>
      </c>
      <c r="J324" s="8" t="s">
        <v>22</v>
      </c>
      <c r="K324" s="8" t="str">
        <f t="shared" si="53"/>
        <v>Consumer</v>
      </c>
      <c r="L324" s="8" t="s">
        <v>23</v>
      </c>
      <c r="M324" s="8" t="str">
        <f t="shared" si="54"/>
        <v>North</v>
      </c>
      <c r="N324" s="8" t="s">
        <v>134</v>
      </c>
      <c r="O324" s="8" t="str">
        <f t="shared" si="55"/>
        <v>Uttar Pradesh</v>
      </c>
      <c r="P324" s="8" t="s">
        <v>135</v>
      </c>
      <c r="Q324" s="8" t="str">
        <f t="shared" si="56"/>
        <v>Noida</v>
      </c>
      <c r="R324" s="8" t="s">
        <v>72</v>
      </c>
      <c r="S324" s="8" t="str">
        <f t="shared" si="57"/>
        <v>Technology</v>
      </c>
      <c r="T324" s="8" t="s">
        <v>169</v>
      </c>
      <c r="U324" s="8" t="str">
        <f t="shared" si="58"/>
        <v>Phones</v>
      </c>
      <c r="V324" s="8" t="s">
        <v>1088</v>
      </c>
    </row>
    <row r="325" spans="1:22">
      <c r="A325" s="8" t="s">
        <v>1089</v>
      </c>
      <c r="B325" s="8">
        <f t="shared" si="50"/>
        <v>1</v>
      </c>
      <c r="C325" s="8" t="str">
        <f t="shared" si="51"/>
        <v>Unique</v>
      </c>
      <c r="D325" s="9">
        <v>45347</v>
      </c>
      <c r="E325" s="8">
        <f t="shared" si="52"/>
        <v>4</v>
      </c>
      <c r="F325" s="10">
        <v>45351</v>
      </c>
      <c r="G325" s="8" t="s">
        <v>1090</v>
      </c>
      <c r="H325" s="8" t="s">
        <v>45</v>
      </c>
      <c r="I325" s="8" t="str">
        <f t="shared" si="59"/>
        <v>Isha Nair</v>
      </c>
      <c r="J325" s="8" t="s">
        <v>35</v>
      </c>
      <c r="K325" s="8" t="str">
        <f t="shared" si="53"/>
        <v>Small Business</v>
      </c>
      <c r="L325" s="8" t="s">
        <v>61</v>
      </c>
      <c r="M325" s="8" t="str">
        <f t="shared" si="54"/>
        <v>West</v>
      </c>
      <c r="N325" s="8" t="s">
        <v>188</v>
      </c>
      <c r="O325" s="8" t="str">
        <f t="shared" si="55"/>
        <v>Goa</v>
      </c>
      <c r="P325" s="8" t="s">
        <v>189</v>
      </c>
      <c r="Q325" s="8" t="str">
        <f t="shared" si="56"/>
        <v>Panaji</v>
      </c>
      <c r="R325" s="8" t="s">
        <v>39</v>
      </c>
      <c r="S325" s="8" t="str">
        <f t="shared" si="57"/>
        <v>Furniture</v>
      </c>
      <c r="T325" s="8" t="s">
        <v>55</v>
      </c>
      <c r="U325" s="8" t="str">
        <f t="shared" si="58"/>
        <v>Furnishings</v>
      </c>
      <c r="V325" s="8" t="s">
        <v>148</v>
      </c>
    </row>
    <row r="326" spans="1:22">
      <c r="A326" s="8" t="s">
        <v>1091</v>
      </c>
      <c r="B326" s="8">
        <f t="shared" si="50"/>
        <v>1</v>
      </c>
      <c r="C326" s="8" t="str">
        <f t="shared" si="51"/>
        <v>Unique</v>
      </c>
      <c r="D326" s="9">
        <v>45869</v>
      </c>
      <c r="E326" s="8">
        <f t="shared" si="52"/>
        <v>-173</v>
      </c>
      <c r="F326" s="10">
        <v>45696</v>
      </c>
      <c r="G326" s="8" t="s">
        <v>1092</v>
      </c>
      <c r="H326" s="8" t="s">
        <v>139</v>
      </c>
      <c r="I326" s="8" t="str">
        <f t="shared" si="59"/>
        <v>Rohan Mehta</v>
      </c>
      <c r="J326" s="8" t="s">
        <v>93</v>
      </c>
      <c r="K326" s="8" t="str">
        <f t="shared" si="53"/>
        <v>Home Office</v>
      </c>
      <c r="L326" s="8" t="s">
        <v>52</v>
      </c>
      <c r="M326" s="8" t="str">
        <f t="shared" si="54"/>
        <v>South</v>
      </c>
      <c r="N326" s="8" t="s">
        <v>82</v>
      </c>
      <c r="O326" s="8" t="str">
        <f t="shared" si="55"/>
        <v>Andhra Pradesh</v>
      </c>
      <c r="P326" s="8" t="s">
        <v>83</v>
      </c>
      <c r="Q326" s="8" t="str">
        <f t="shared" si="56"/>
        <v>Vijayawada</v>
      </c>
      <c r="R326" s="8" t="s">
        <v>26</v>
      </c>
      <c r="S326" s="8" t="str">
        <f t="shared" si="57"/>
        <v>Office Supplies</v>
      </c>
      <c r="T326" s="8" t="s">
        <v>89</v>
      </c>
      <c r="U326" s="8" t="str">
        <f t="shared" si="58"/>
        <v>Labels</v>
      </c>
      <c r="V326" s="8" t="s">
        <v>1093</v>
      </c>
    </row>
    <row r="327" spans="1:22">
      <c r="A327" s="8" t="s">
        <v>1094</v>
      </c>
      <c r="B327" s="8">
        <f t="shared" si="50"/>
        <v>1</v>
      </c>
      <c r="C327" s="8" t="str">
        <f t="shared" si="51"/>
        <v>Unique</v>
      </c>
      <c r="D327" s="9">
        <v>45916</v>
      </c>
      <c r="E327" s="8">
        <f t="shared" si="52"/>
        <v>6</v>
      </c>
      <c r="F327" s="10">
        <v>45922</v>
      </c>
      <c r="G327" s="8" t="s">
        <v>1095</v>
      </c>
      <c r="H327" s="8" t="s">
        <v>130</v>
      </c>
      <c r="I327" s="8" t="str">
        <f t="shared" si="59"/>
        <v>Sneha Kapoor</v>
      </c>
      <c r="J327" s="8" t="s">
        <v>93</v>
      </c>
      <c r="K327" s="8" t="str">
        <f t="shared" si="53"/>
        <v>Home Office</v>
      </c>
      <c r="L327" s="8" t="s">
        <v>36</v>
      </c>
      <c r="M327" s="8" t="str">
        <f t="shared" si="54"/>
        <v>East</v>
      </c>
      <c r="N327" s="8" t="s">
        <v>97</v>
      </c>
      <c r="O327" s="8" t="str">
        <f t="shared" si="55"/>
        <v>West Bengal</v>
      </c>
      <c r="P327" s="8" t="s">
        <v>98</v>
      </c>
      <c r="Q327" s="8" t="str">
        <f t="shared" si="56"/>
        <v>Kolkata</v>
      </c>
      <c r="R327" s="8" t="s">
        <v>72</v>
      </c>
      <c r="S327" s="8" t="str">
        <f t="shared" si="57"/>
        <v>Technology</v>
      </c>
      <c r="T327" s="8" t="s">
        <v>78</v>
      </c>
      <c r="U327" s="8" t="str">
        <f t="shared" si="58"/>
        <v>Copiers</v>
      </c>
      <c r="V327" s="8" t="s">
        <v>1096</v>
      </c>
    </row>
    <row r="328" spans="1:22">
      <c r="A328" s="8" t="s">
        <v>1097</v>
      </c>
      <c r="B328" s="8">
        <f t="shared" si="50"/>
        <v>1</v>
      </c>
      <c r="C328" s="8" t="str">
        <f t="shared" si="51"/>
        <v>Unique</v>
      </c>
      <c r="D328" s="9">
        <v>45860</v>
      </c>
      <c r="E328" s="8">
        <f t="shared" si="52"/>
        <v>0</v>
      </c>
      <c r="F328" s="10">
        <v>45860</v>
      </c>
      <c r="G328" s="8" t="s">
        <v>1098</v>
      </c>
      <c r="H328" s="8" t="s">
        <v>130</v>
      </c>
      <c r="I328" s="8" t="str">
        <f t="shared" si="59"/>
        <v>Sneha Kapoor</v>
      </c>
      <c r="J328" s="8" t="s">
        <v>88</v>
      </c>
      <c r="K328" s="8" t="str">
        <f t="shared" si="53"/>
        <v>Corporate</v>
      </c>
      <c r="L328" s="8" t="s">
        <v>36</v>
      </c>
      <c r="M328" s="8" t="str">
        <f t="shared" si="54"/>
        <v>East</v>
      </c>
      <c r="N328" s="8" t="s">
        <v>227</v>
      </c>
      <c r="O328" s="8" t="str">
        <f t="shared" si="55"/>
        <v>Jharkhand</v>
      </c>
      <c r="P328" s="8" t="s">
        <v>228</v>
      </c>
      <c r="Q328" s="8" t="str">
        <f t="shared" si="56"/>
        <v>Ranchi</v>
      </c>
      <c r="R328" s="8" t="s">
        <v>39</v>
      </c>
      <c r="S328" s="8" t="str">
        <f t="shared" si="57"/>
        <v>Furniture</v>
      </c>
      <c r="T328" s="8" t="s">
        <v>55</v>
      </c>
      <c r="U328" s="8" t="str">
        <f t="shared" si="58"/>
        <v>Furnishings</v>
      </c>
      <c r="V328" s="8" t="s">
        <v>1099</v>
      </c>
    </row>
    <row r="329" spans="1:22">
      <c r="A329" s="8" t="s">
        <v>1100</v>
      </c>
      <c r="B329" s="8">
        <f t="shared" si="50"/>
        <v>1</v>
      </c>
      <c r="C329" s="8" t="str">
        <f t="shared" si="51"/>
        <v>Unique</v>
      </c>
      <c r="D329" s="9">
        <v>45497</v>
      </c>
      <c r="E329" s="8">
        <f t="shared" si="52"/>
        <v>3</v>
      </c>
      <c r="F329" s="10">
        <v>45500</v>
      </c>
      <c r="G329" s="8" t="s">
        <v>1101</v>
      </c>
      <c r="H329" s="8" t="s">
        <v>45</v>
      </c>
      <c r="I329" s="8" t="str">
        <f t="shared" si="59"/>
        <v>Isha Nair</v>
      </c>
      <c r="J329" s="8" t="s">
        <v>22</v>
      </c>
      <c r="K329" s="8" t="str">
        <f t="shared" si="53"/>
        <v>Consumer</v>
      </c>
      <c r="L329" s="8" t="s">
        <v>61</v>
      </c>
      <c r="M329" s="8" t="str">
        <f t="shared" si="54"/>
        <v>West</v>
      </c>
      <c r="N329" s="8" t="s">
        <v>24</v>
      </c>
      <c r="O329" s="8" t="str">
        <f t="shared" si="55"/>
        <v>Rajasthan</v>
      </c>
      <c r="P329" s="8" t="s">
        <v>107</v>
      </c>
      <c r="Q329" s="8" t="str">
        <f t="shared" si="56"/>
        <v>Udaipur</v>
      </c>
      <c r="R329" s="8" t="s">
        <v>72</v>
      </c>
      <c r="S329" s="8" t="str">
        <f t="shared" si="57"/>
        <v>Technology</v>
      </c>
      <c r="T329" s="8" t="s">
        <v>73</v>
      </c>
      <c r="U329" s="8" t="str">
        <f t="shared" si="58"/>
        <v>Accessories</v>
      </c>
      <c r="V329" s="8" t="s">
        <v>1102</v>
      </c>
    </row>
    <row r="330" spans="1:22">
      <c r="A330" s="8" t="s">
        <v>1103</v>
      </c>
      <c r="B330" s="8">
        <f t="shared" si="50"/>
        <v>1</v>
      </c>
      <c r="C330" s="8" t="str">
        <f t="shared" si="51"/>
        <v>Unique</v>
      </c>
      <c r="D330" s="9">
        <v>45806</v>
      </c>
      <c r="E330" s="8">
        <f t="shared" si="52"/>
        <v>-53</v>
      </c>
      <c r="F330" s="10">
        <v>45753</v>
      </c>
      <c r="G330" s="8" t="s">
        <v>1104</v>
      </c>
      <c r="H330" s="8" t="s">
        <v>160</v>
      </c>
      <c r="I330" s="8" t="str">
        <f t="shared" si="59"/>
        <v>Diya Patel</v>
      </c>
      <c r="J330" s="8" t="s">
        <v>22</v>
      </c>
      <c r="K330" s="8" t="str">
        <f t="shared" si="53"/>
        <v>Consumer</v>
      </c>
      <c r="L330" s="8" t="s">
        <v>61</v>
      </c>
      <c r="M330" s="8" t="str">
        <f t="shared" si="54"/>
        <v>West</v>
      </c>
      <c r="N330" s="8" t="s">
        <v>62</v>
      </c>
      <c r="O330" s="8" t="str">
        <f t="shared" si="55"/>
        <v>Maharashtra</v>
      </c>
      <c r="P330" s="8" t="s">
        <v>63</v>
      </c>
      <c r="Q330" s="8" t="str">
        <f t="shared" si="56"/>
        <v>Mumbai</v>
      </c>
      <c r="R330" s="8" t="s">
        <v>26</v>
      </c>
      <c r="S330" s="8" t="str">
        <f t="shared" si="57"/>
        <v>Office Supplies</v>
      </c>
      <c r="T330" s="8" t="s">
        <v>122</v>
      </c>
      <c r="U330" s="8" t="str">
        <f t="shared" si="58"/>
        <v>Storage</v>
      </c>
      <c r="V330" s="8" t="s">
        <v>1105</v>
      </c>
    </row>
    <row r="331" spans="1:22">
      <c r="A331" s="8" t="s">
        <v>1106</v>
      </c>
      <c r="B331" s="8">
        <f t="shared" si="50"/>
        <v>1</v>
      </c>
      <c r="C331" s="8" t="str">
        <f t="shared" si="51"/>
        <v>Unique</v>
      </c>
      <c r="D331" s="9">
        <v>45996</v>
      </c>
      <c r="E331" s="8">
        <f t="shared" si="52"/>
        <v>-201</v>
      </c>
      <c r="F331" s="10">
        <v>45795</v>
      </c>
      <c r="G331" s="8" t="s">
        <v>1107</v>
      </c>
      <c r="H331" s="8" t="s">
        <v>77</v>
      </c>
      <c r="I331" s="8" t="str">
        <f t="shared" si="59"/>
        <v>Neha Gupta</v>
      </c>
      <c r="J331" s="8" t="s">
        <v>35</v>
      </c>
      <c r="K331" s="8" t="str">
        <f t="shared" si="53"/>
        <v>Small Business</v>
      </c>
      <c r="L331" s="8" t="s">
        <v>61</v>
      </c>
      <c r="M331" s="8" t="str">
        <f t="shared" si="54"/>
        <v>West</v>
      </c>
      <c r="N331" s="8" t="s">
        <v>62</v>
      </c>
      <c r="O331" s="8" t="str">
        <f t="shared" si="55"/>
        <v>Maharashtra</v>
      </c>
      <c r="P331" s="8" t="s">
        <v>63</v>
      </c>
      <c r="Q331" s="8" t="str">
        <f t="shared" si="56"/>
        <v>Mumbai</v>
      </c>
      <c r="R331" s="8" t="s">
        <v>26</v>
      </c>
      <c r="S331" s="8" t="str">
        <f t="shared" si="57"/>
        <v>Office Supplies</v>
      </c>
      <c r="T331" s="8" t="s">
        <v>122</v>
      </c>
      <c r="U331" s="8" t="str">
        <f t="shared" si="58"/>
        <v>Storage</v>
      </c>
      <c r="V331" s="8" t="s">
        <v>1108</v>
      </c>
    </row>
    <row r="332" spans="1:22">
      <c r="A332" s="8" t="s">
        <v>1109</v>
      </c>
      <c r="B332" s="8">
        <f t="shared" si="50"/>
        <v>1</v>
      </c>
      <c r="C332" s="8" t="str">
        <f t="shared" si="51"/>
        <v>Unique</v>
      </c>
      <c r="D332" s="9">
        <v>45428</v>
      </c>
      <c r="E332" s="8">
        <f t="shared" si="52"/>
        <v>8</v>
      </c>
      <c r="F332" s="10">
        <v>45436</v>
      </c>
      <c r="G332" s="8" t="s">
        <v>1110</v>
      </c>
      <c r="H332" s="8" t="s">
        <v>51</v>
      </c>
      <c r="I332" s="8" t="str">
        <f t="shared" si="59"/>
        <v>Arjun Bose</v>
      </c>
      <c r="J332" s="8" t="s">
        <v>93</v>
      </c>
      <c r="K332" s="8" t="str">
        <f t="shared" si="53"/>
        <v>Home Office</v>
      </c>
      <c r="L332" s="8" t="s">
        <v>23</v>
      </c>
      <c r="M332" s="8" t="str">
        <f t="shared" si="54"/>
        <v>North</v>
      </c>
      <c r="N332" s="8" t="s">
        <v>120</v>
      </c>
      <c r="O332" s="8" t="str">
        <f t="shared" si="55"/>
        <v>Punjab</v>
      </c>
      <c r="P332" s="8" t="s">
        <v>121</v>
      </c>
      <c r="Q332" s="8" t="str">
        <f t="shared" si="56"/>
        <v>Ludhiana</v>
      </c>
      <c r="R332" s="8" t="s">
        <v>72</v>
      </c>
      <c r="S332" s="8" t="str">
        <f t="shared" si="57"/>
        <v>Technology</v>
      </c>
      <c r="T332" s="8" t="s">
        <v>73</v>
      </c>
      <c r="U332" s="8" t="str">
        <f t="shared" si="58"/>
        <v>Accessories</v>
      </c>
      <c r="V332" s="8" t="s">
        <v>1111</v>
      </c>
    </row>
    <row r="333" spans="1:22">
      <c r="A333" s="8" t="s">
        <v>1112</v>
      </c>
      <c r="B333" s="8">
        <f t="shared" si="50"/>
        <v>2</v>
      </c>
      <c r="C333" s="8" t="str">
        <f t="shared" si="51"/>
        <v>Review Duplicate ID</v>
      </c>
      <c r="D333" s="9">
        <v>45394</v>
      </c>
      <c r="E333" s="8">
        <f t="shared" si="52"/>
        <v>61</v>
      </c>
      <c r="F333" s="10">
        <v>45455</v>
      </c>
      <c r="G333" s="8" t="s">
        <v>1113</v>
      </c>
      <c r="H333" s="8" t="s">
        <v>130</v>
      </c>
      <c r="I333" s="8" t="str">
        <f t="shared" si="59"/>
        <v>Sneha Kapoor</v>
      </c>
      <c r="J333" s="8" t="s">
        <v>93</v>
      </c>
      <c r="K333" s="8" t="str">
        <f t="shared" si="53"/>
        <v>Home Office</v>
      </c>
      <c r="L333" s="8" t="s">
        <v>36</v>
      </c>
      <c r="M333" s="8" t="str">
        <f t="shared" si="54"/>
        <v>East</v>
      </c>
      <c r="N333" s="8" t="s">
        <v>37</v>
      </c>
      <c r="O333" s="8" t="str">
        <f t="shared" si="55"/>
        <v>Odisha</v>
      </c>
      <c r="P333" s="8" t="s">
        <v>38</v>
      </c>
      <c r="Q333" s="8" t="str">
        <f t="shared" si="56"/>
        <v>Bhubaneswar</v>
      </c>
      <c r="R333" s="8" t="s">
        <v>26</v>
      </c>
      <c r="S333" s="8" t="str">
        <f t="shared" si="57"/>
        <v>Office Supplies</v>
      </c>
      <c r="T333" s="8" t="s">
        <v>151</v>
      </c>
      <c r="U333" s="8" t="str">
        <f t="shared" si="58"/>
        <v>Binders</v>
      </c>
      <c r="V333" s="8" t="s">
        <v>1114</v>
      </c>
    </row>
    <row r="334" spans="1:22">
      <c r="A334" s="8" t="s">
        <v>1115</v>
      </c>
      <c r="B334" s="8">
        <f t="shared" si="50"/>
        <v>1</v>
      </c>
      <c r="C334" s="8" t="str">
        <f t="shared" si="51"/>
        <v>Unique</v>
      </c>
      <c r="D334" s="9">
        <v>45804</v>
      </c>
      <c r="E334" s="8">
        <f t="shared" si="52"/>
        <v>1</v>
      </c>
      <c r="F334" s="10">
        <v>45805</v>
      </c>
      <c r="G334" s="8" t="s">
        <v>1116</v>
      </c>
      <c r="H334" s="8" t="s">
        <v>126</v>
      </c>
      <c r="I334" s="8" t="str">
        <f t="shared" si="59"/>
        <v>Aarav Sharma</v>
      </c>
      <c r="J334" s="8" t="s">
        <v>22</v>
      </c>
      <c r="K334" s="8" t="str">
        <f t="shared" si="53"/>
        <v>Consumer</v>
      </c>
      <c r="L334" s="8" t="s">
        <v>52</v>
      </c>
      <c r="M334" s="8" t="str">
        <f t="shared" si="54"/>
        <v>South</v>
      </c>
      <c r="N334" s="8" t="s">
        <v>82</v>
      </c>
      <c r="O334" s="8" t="str">
        <f t="shared" si="55"/>
        <v>Andhra Pradesh</v>
      </c>
      <c r="P334" s="8" t="s">
        <v>83</v>
      </c>
      <c r="Q334" s="8" t="str">
        <f t="shared" si="56"/>
        <v>Vijayawada</v>
      </c>
      <c r="R334" s="8" t="s">
        <v>72</v>
      </c>
      <c r="S334" s="8" t="str">
        <f t="shared" si="57"/>
        <v>Technology</v>
      </c>
      <c r="T334" s="8" t="s">
        <v>1117</v>
      </c>
      <c r="U334" s="8" t="str">
        <f t="shared" si="58"/>
        <v>Machines</v>
      </c>
      <c r="V334" s="8" t="s">
        <v>1118</v>
      </c>
    </row>
    <row r="335" spans="1:22">
      <c r="A335" s="8" t="s">
        <v>1119</v>
      </c>
      <c r="B335" s="8">
        <f t="shared" si="50"/>
        <v>1</v>
      </c>
      <c r="C335" s="8" t="str">
        <f t="shared" si="51"/>
        <v>Unique</v>
      </c>
      <c r="D335" s="9">
        <v>45830</v>
      </c>
      <c r="E335" s="8">
        <f t="shared" si="52"/>
        <v>5</v>
      </c>
      <c r="F335" s="10">
        <v>45835</v>
      </c>
      <c r="G335" s="8" t="s">
        <v>1120</v>
      </c>
      <c r="H335" s="8" t="s">
        <v>139</v>
      </c>
      <c r="I335" s="8" t="str">
        <f t="shared" si="59"/>
        <v>Rohan Mehta</v>
      </c>
      <c r="J335" s="8" t="s">
        <v>93</v>
      </c>
      <c r="K335" s="8" t="str">
        <f t="shared" si="53"/>
        <v>Home Office</v>
      </c>
      <c r="M335" s="8" t="str">
        <f t="shared" si="54"/>
        <v/>
      </c>
      <c r="N335" s="8" t="s">
        <v>349</v>
      </c>
      <c r="O335" s="8" t="str">
        <f t="shared" si="55"/>
        <v>Delhi</v>
      </c>
      <c r="P335" s="8" t="s">
        <v>350</v>
      </c>
      <c r="Q335" s="8" t="str">
        <f t="shared" si="56"/>
        <v>New Delhi</v>
      </c>
      <c r="R335" s="8" t="s">
        <v>72</v>
      </c>
      <c r="S335" s="8" t="str">
        <f t="shared" si="57"/>
        <v>Technology</v>
      </c>
      <c r="T335" s="8" t="s">
        <v>169</v>
      </c>
      <c r="U335" s="8" t="str">
        <f t="shared" si="58"/>
        <v>Phones</v>
      </c>
      <c r="V335" s="8" t="s">
        <v>1121</v>
      </c>
    </row>
    <row r="336" spans="1:22">
      <c r="A336" s="8" t="s">
        <v>1122</v>
      </c>
      <c r="B336" s="8">
        <f t="shared" si="50"/>
        <v>1</v>
      </c>
      <c r="C336" s="8" t="str">
        <f t="shared" si="51"/>
        <v>Unique</v>
      </c>
      <c r="D336" s="9">
        <v>45635</v>
      </c>
      <c r="E336" s="8">
        <f t="shared" si="52"/>
        <v>-83</v>
      </c>
      <c r="F336" s="10">
        <v>45552</v>
      </c>
      <c r="G336" s="8" t="s">
        <v>1123</v>
      </c>
      <c r="H336" s="8" t="s">
        <v>60</v>
      </c>
      <c r="I336" s="8" t="str">
        <f t="shared" si="59"/>
        <v>Ananya Rao</v>
      </c>
      <c r="J336" s="8" t="s">
        <v>22</v>
      </c>
      <c r="K336" s="8" t="str">
        <f t="shared" si="53"/>
        <v>Consumer</v>
      </c>
      <c r="L336" s="8" t="s">
        <v>36</v>
      </c>
      <c r="M336" s="8" t="str">
        <f t="shared" si="54"/>
        <v>East</v>
      </c>
      <c r="N336" s="8" t="s">
        <v>227</v>
      </c>
      <c r="O336" s="8" t="str">
        <f t="shared" si="55"/>
        <v>Jharkhand</v>
      </c>
      <c r="P336" s="8" t="s">
        <v>228</v>
      </c>
      <c r="Q336" s="8" t="str">
        <f t="shared" si="56"/>
        <v>Ranchi</v>
      </c>
      <c r="R336" s="8" t="s">
        <v>26</v>
      </c>
      <c r="S336" s="8" t="str">
        <f t="shared" si="57"/>
        <v>Office Supplies</v>
      </c>
      <c r="T336" s="8" t="s">
        <v>122</v>
      </c>
      <c r="U336" s="8" t="str">
        <f t="shared" si="58"/>
        <v>Storage</v>
      </c>
      <c r="V336" s="8" t="s">
        <v>1124</v>
      </c>
    </row>
    <row r="337" spans="1:22">
      <c r="A337" s="8" t="s">
        <v>1125</v>
      </c>
      <c r="B337" s="8">
        <f t="shared" si="50"/>
        <v>2</v>
      </c>
      <c r="C337" s="8" t="str">
        <f t="shared" si="51"/>
        <v>Review Duplicate ID</v>
      </c>
      <c r="D337" s="9">
        <v>45824</v>
      </c>
      <c r="E337" s="8">
        <f t="shared" si="52"/>
        <v>2</v>
      </c>
      <c r="F337" s="10">
        <v>45826</v>
      </c>
      <c r="G337" s="8" t="s">
        <v>1126</v>
      </c>
      <c r="H337" s="8" t="s">
        <v>116</v>
      </c>
      <c r="I337" s="8" t="str">
        <f t="shared" si="59"/>
        <v>Rahul Verma</v>
      </c>
      <c r="J337" s="8" t="s">
        <v>93</v>
      </c>
      <c r="K337" s="8" t="str">
        <f t="shared" si="53"/>
        <v>Home Office</v>
      </c>
      <c r="L337" s="8" t="s">
        <v>61</v>
      </c>
      <c r="M337" s="8" t="str">
        <f t="shared" si="54"/>
        <v>West</v>
      </c>
      <c r="N337" s="8" t="s">
        <v>70</v>
      </c>
      <c r="O337" s="8" t="str">
        <f t="shared" si="55"/>
        <v>Madhya Pradesh</v>
      </c>
      <c r="P337" s="8" t="s">
        <v>71</v>
      </c>
      <c r="Q337" s="8" t="str">
        <f t="shared" si="56"/>
        <v>Indore</v>
      </c>
      <c r="R337" s="8" t="s">
        <v>26</v>
      </c>
      <c r="S337" s="8" t="str">
        <f t="shared" si="57"/>
        <v>Office Supplies</v>
      </c>
      <c r="T337" s="8" t="s">
        <v>27</v>
      </c>
      <c r="U337" s="8" t="str">
        <f t="shared" si="58"/>
        <v>Paper</v>
      </c>
      <c r="V337" s="8" t="s">
        <v>1127</v>
      </c>
    </row>
    <row r="338" spans="1:22">
      <c r="A338" s="8" t="s">
        <v>1128</v>
      </c>
      <c r="B338" s="8">
        <f t="shared" si="50"/>
        <v>1</v>
      </c>
      <c r="C338" s="8" t="str">
        <f t="shared" si="51"/>
        <v>Unique</v>
      </c>
      <c r="D338" s="9">
        <v>45368</v>
      </c>
      <c r="E338" s="8">
        <f t="shared" si="52"/>
        <v>4</v>
      </c>
      <c r="F338" s="10">
        <v>45372</v>
      </c>
      <c r="G338" s="8" t="s">
        <v>878</v>
      </c>
      <c r="H338" s="8" t="s">
        <v>126</v>
      </c>
      <c r="I338" s="8" t="str">
        <f t="shared" si="59"/>
        <v>Aarav Sharma</v>
      </c>
      <c r="J338" s="8" t="s">
        <v>22</v>
      </c>
      <c r="K338" s="8" t="str">
        <f t="shared" si="53"/>
        <v>Consumer</v>
      </c>
      <c r="L338" s="8" t="s">
        <v>23</v>
      </c>
      <c r="M338" s="8" t="str">
        <f t="shared" si="54"/>
        <v>North</v>
      </c>
      <c r="N338" s="8" t="s">
        <v>24</v>
      </c>
      <c r="O338" s="8" t="str">
        <f t="shared" si="55"/>
        <v>Rajasthan</v>
      </c>
      <c r="P338" s="8" t="s">
        <v>25</v>
      </c>
      <c r="Q338" s="8" t="str">
        <f t="shared" si="56"/>
        <v>Jaipur</v>
      </c>
      <c r="R338" s="8" t="s">
        <v>72</v>
      </c>
      <c r="S338" s="8" t="str">
        <f t="shared" si="57"/>
        <v>Technology</v>
      </c>
      <c r="T338" s="8" t="s">
        <v>78</v>
      </c>
      <c r="U338" s="8" t="str">
        <f t="shared" si="58"/>
        <v>Copiers</v>
      </c>
      <c r="V338" s="8" t="s">
        <v>1129</v>
      </c>
    </row>
    <row r="339" spans="1:22">
      <c r="A339" s="8" t="s">
        <v>1130</v>
      </c>
      <c r="B339" s="8">
        <f t="shared" si="50"/>
        <v>1</v>
      </c>
      <c r="C339" s="8" t="str">
        <f t="shared" si="51"/>
        <v>Unique</v>
      </c>
      <c r="D339" s="9">
        <v>45634</v>
      </c>
      <c r="E339" s="8">
        <f t="shared" si="52"/>
        <v>-112</v>
      </c>
      <c r="F339" s="10">
        <v>45522</v>
      </c>
      <c r="G339" s="8" t="s">
        <v>1131</v>
      </c>
      <c r="H339" s="8" t="s">
        <v>60</v>
      </c>
      <c r="I339" s="8" t="str">
        <f t="shared" si="59"/>
        <v>Ananya Rao</v>
      </c>
      <c r="J339" s="8" t="s">
        <v>22</v>
      </c>
      <c r="K339" s="8" t="str">
        <f t="shared" si="53"/>
        <v>Consumer</v>
      </c>
      <c r="L339" s="8" t="s">
        <v>36</v>
      </c>
      <c r="M339" s="8" t="str">
        <f t="shared" si="54"/>
        <v>East</v>
      </c>
      <c r="N339" s="8" t="s">
        <v>164</v>
      </c>
      <c r="O339" s="8" t="str">
        <f t="shared" si="55"/>
        <v>Assam</v>
      </c>
      <c r="P339" s="8" t="s">
        <v>165</v>
      </c>
      <c r="Q339" s="8" t="str">
        <f t="shared" si="56"/>
        <v>Guwahati</v>
      </c>
      <c r="R339" s="8" t="s">
        <v>26</v>
      </c>
      <c r="S339" s="8" t="str">
        <f t="shared" si="57"/>
        <v>Office Supplies</v>
      </c>
      <c r="T339" s="8" t="s">
        <v>89</v>
      </c>
      <c r="U339" s="8" t="str">
        <f t="shared" si="58"/>
        <v>Labels</v>
      </c>
      <c r="V339" s="8" t="s">
        <v>1132</v>
      </c>
    </row>
    <row r="340" spans="1:22">
      <c r="A340" s="8" t="s">
        <v>1133</v>
      </c>
      <c r="B340" s="8">
        <f t="shared" si="50"/>
        <v>1</v>
      </c>
      <c r="C340" s="8" t="str">
        <f t="shared" si="51"/>
        <v>Unique</v>
      </c>
      <c r="D340" s="9">
        <v>45516</v>
      </c>
      <c r="E340" s="8">
        <f t="shared" si="52"/>
        <v>118</v>
      </c>
      <c r="F340" s="10">
        <v>45634</v>
      </c>
      <c r="G340" s="8" t="s">
        <v>1134</v>
      </c>
      <c r="H340" s="8" t="s">
        <v>51</v>
      </c>
      <c r="I340" s="8" t="str">
        <f t="shared" si="59"/>
        <v>Arjun Bose</v>
      </c>
      <c r="J340" s="8" t="s">
        <v>35</v>
      </c>
      <c r="K340" s="8" t="str">
        <f t="shared" si="53"/>
        <v>Small Business</v>
      </c>
      <c r="L340" s="8" t="s">
        <v>52</v>
      </c>
      <c r="M340" s="8" t="str">
        <f t="shared" si="54"/>
        <v>South</v>
      </c>
      <c r="N340" s="8" t="s">
        <v>82</v>
      </c>
      <c r="O340" s="8" t="str">
        <f t="shared" si="55"/>
        <v>Andhra Pradesh</v>
      </c>
      <c r="P340" s="8" t="s">
        <v>83</v>
      </c>
      <c r="Q340" s="8" t="str">
        <f t="shared" si="56"/>
        <v>Vijayawada</v>
      </c>
      <c r="R340" s="8" t="s">
        <v>72</v>
      </c>
      <c r="S340" s="8" t="str">
        <f t="shared" si="57"/>
        <v>Technology</v>
      </c>
      <c r="T340" s="8" t="s">
        <v>73</v>
      </c>
      <c r="U340" s="8" t="str">
        <f t="shared" si="58"/>
        <v>Accessories</v>
      </c>
      <c r="V340" s="8" t="s">
        <v>1135</v>
      </c>
    </row>
    <row r="341" spans="1:22">
      <c r="A341" s="8" t="s">
        <v>1136</v>
      </c>
      <c r="B341" s="8">
        <f t="shared" si="50"/>
        <v>1</v>
      </c>
      <c r="C341" s="8" t="str">
        <f t="shared" si="51"/>
        <v>Unique</v>
      </c>
      <c r="D341" s="9">
        <v>45708</v>
      </c>
      <c r="E341" s="8">
        <f t="shared" si="52"/>
        <v>2</v>
      </c>
      <c r="F341" s="10">
        <v>45710</v>
      </c>
      <c r="G341" s="8" t="s">
        <v>1137</v>
      </c>
      <c r="H341" s="8" t="s">
        <v>77</v>
      </c>
      <c r="I341" s="8" t="str">
        <f t="shared" si="59"/>
        <v>Neha Gupta</v>
      </c>
      <c r="J341" s="8" t="s">
        <v>88</v>
      </c>
      <c r="K341" s="8" t="str">
        <f t="shared" si="53"/>
        <v>Corporate</v>
      </c>
      <c r="L341" s="8" t="s">
        <v>36</v>
      </c>
      <c r="M341" s="8" t="str">
        <f t="shared" si="54"/>
        <v>East</v>
      </c>
      <c r="N341" s="8" t="s">
        <v>227</v>
      </c>
      <c r="O341" s="8" t="str">
        <f t="shared" si="55"/>
        <v>Jharkhand</v>
      </c>
      <c r="P341" s="8" t="s">
        <v>228</v>
      </c>
      <c r="Q341" s="8" t="str">
        <f t="shared" si="56"/>
        <v>Ranchi</v>
      </c>
      <c r="R341" s="8" t="s">
        <v>39</v>
      </c>
      <c r="S341" s="8" t="str">
        <f t="shared" si="57"/>
        <v>Furniture</v>
      </c>
      <c r="T341" s="8" t="s">
        <v>156</v>
      </c>
      <c r="U341" s="8" t="str">
        <f t="shared" si="58"/>
        <v>Bookcases</v>
      </c>
      <c r="V341" s="8" t="s">
        <v>1138</v>
      </c>
    </row>
    <row r="342" spans="1:22">
      <c r="A342" s="8" t="s">
        <v>1139</v>
      </c>
      <c r="B342" s="8">
        <f t="shared" si="50"/>
        <v>1</v>
      </c>
      <c r="C342" s="8" t="str">
        <f t="shared" si="51"/>
        <v>Unique</v>
      </c>
      <c r="D342" s="9">
        <v>45312</v>
      </c>
      <c r="E342" s="8">
        <f t="shared" si="52"/>
        <v>8</v>
      </c>
      <c r="F342" s="10">
        <v>45320</v>
      </c>
      <c r="G342" s="8" t="s">
        <v>1140</v>
      </c>
      <c r="H342" s="8" t="s">
        <v>77</v>
      </c>
      <c r="I342" s="8" t="str">
        <f t="shared" si="59"/>
        <v>Neha Gupta</v>
      </c>
      <c r="J342" s="8" t="s">
        <v>22</v>
      </c>
      <c r="K342" s="8" t="str">
        <f t="shared" si="53"/>
        <v>Consumer</v>
      </c>
      <c r="L342" s="8" t="s">
        <v>52</v>
      </c>
      <c r="M342" s="8" t="str">
        <f t="shared" si="54"/>
        <v>South</v>
      </c>
      <c r="N342" s="8" t="s">
        <v>173</v>
      </c>
      <c r="O342" s="8" t="str">
        <f t="shared" si="55"/>
        <v>Karnataka</v>
      </c>
      <c r="P342" s="8" t="s">
        <v>174</v>
      </c>
      <c r="Q342" s="8" t="str">
        <f t="shared" si="56"/>
        <v>Bengaluru</v>
      </c>
      <c r="R342" s="8" t="s">
        <v>26</v>
      </c>
      <c r="S342" s="8" t="str">
        <f t="shared" si="57"/>
        <v>Office Supplies</v>
      </c>
      <c r="T342" s="8" t="s">
        <v>151</v>
      </c>
      <c r="U342" s="8" t="str">
        <f t="shared" si="58"/>
        <v>Binders</v>
      </c>
      <c r="V342" s="8" t="s">
        <v>1141</v>
      </c>
    </row>
    <row r="343" spans="1:22">
      <c r="A343" s="8" t="s">
        <v>1142</v>
      </c>
      <c r="B343" s="8">
        <f t="shared" si="50"/>
        <v>1</v>
      </c>
      <c r="C343" s="8" t="str">
        <f t="shared" si="51"/>
        <v>Unique</v>
      </c>
      <c r="D343" s="9">
        <v>45878</v>
      </c>
      <c r="E343" s="8">
        <f t="shared" si="52"/>
        <v>31</v>
      </c>
      <c r="F343" s="10">
        <v>45909</v>
      </c>
      <c r="G343" s="8" t="s">
        <v>1143</v>
      </c>
      <c r="H343" s="8" t="s">
        <v>139</v>
      </c>
      <c r="I343" s="8" t="str">
        <f t="shared" si="59"/>
        <v>Rohan Mehta</v>
      </c>
      <c r="J343" s="8" t="s">
        <v>93</v>
      </c>
      <c r="K343" s="8" t="str">
        <f t="shared" si="53"/>
        <v>Home Office</v>
      </c>
      <c r="L343" s="8" t="s">
        <v>61</v>
      </c>
      <c r="M343" s="8" t="str">
        <f t="shared" si="54"/>
        <v>West</v>
      </c>
      <c r="N343" s="8" t="s">
        <v>178</v>
      </c>
      <c r="O343" s="8" t="str">
        <f t="shared" si="55"/>
        <v>Gujarat</v>
      </c>
      <c r="P343" s="8" t="s">
        <v>179</v>
      </c>
      <c r="Q343" s="8" t="str">
        <f t="shared" si="56"/>
        <v>Ahmedabad</v>
      </c>
      <c r="R343" s="8" t="s">
        <v>39</v>
      </c>
      <c r="S343" s="8" t="str">
        <f t="shared" si="57"/>
        <v>Furniture</v>
      </c>
      <c r="T343" s="8" t="s">
        <v>64</v>
      </c>
      <c r="U343" s="8" t="str">
        <f t="shared" si="58"/>
        <v>Chairs</v>
      </c>
      <c r="V343" s="8" t="s">
        <v>1144</v>
      </c>
    </row>
    <row r="344" spans="1:22">
      <c r="A344" s="8" t="s">
        <v>1145</v>
      </c>
      <c r="B344" s="8">
        <f t="shared" si="50"/>
        <v>1</v>
      </c>
      <c r="C344" s="8" t="str">
        <f t="shared" si="51"/>
        <v>Unique</v>
      </c>
      <c r="D344" s="9">
        <v>45862</v>
      </c>
      <c r="E344" s="8">
        <f t="shared" si="52"/>
        <v>-197</v>
      </c>
      <c r="F344" s="10">
        <v>45665</v>
      </c>
      <c r="G344" s="8" t="s">
        <v>1146</v>
      </c>
      <c r="H344" s="8" t="s">
        <v>263</v>
      </c>
      <c r="I344" s="8" t="str">
        <f t="shared" si="59"/>
        <v>Kabir Singh</v>
      </c>
      <c r="J344" s="8" t="s">
        <v>35</v>
      </c>
      <c r="K344" s="8" t="str">
        <f t="shared" si="53"/>
        <v>Small Business</v>
      </c>
      <c r="L344" s="8" t="s">
        <v>36</v>
      </c>
      <c r="M344" s="8" t="str">
        <f t="shared" si="54"/>
        <v>East</v>
      </c>
      <c r="N344" s="8" t="s">
        <v>227</v>
      </c>
      <c r="O344" s="8" t="str">
        <f t="shared" si="55"/>
        <v>Jharkhand</v>
      </c>
      <c r="P344" s="8" t="s">
        <v>228</v>
      </c>
      <c r="Q344" s="8" t="str">
        <f t="shared" si="56"/>
        <v>Ranchi</v>
      </c>
      <c r="R344" s="8" t="s">
        <v>26</v>
      </c>
      <c r="S344" s="8" t="str">
        <f t="shared" si="57"/>
        <v>Office Supplies</v>
      </c>
      <c r="T344" s="8" t="s">
        <v>151</v>
      </c>
      <c r="U344" s="8" t="str">
        <f t="shared" si="58"/>
        <v>Binders</v>
      </c>
      <c r="V344" s="8" t="s">
        <v>1147</v>
      </c>
    </row>
    <row r="345" spans="1:22">
      <c r="A345" s="8" t="s">
        <v>1148</v>
      </c>
      <c r="B345" s="8">
        <f t="shared" si="50"/>
        <v>1</v>
      </c>
      <c r="C345" s="8" t="str">
        <f t="shared" si="51"/>
        <v>Unique</v>
      </c>
      <c r="D345" s="9">
        <v>45933</v>
      </c>
      <c r="E345" s="8">
        <f t="shared" si="52"/>
        <v>-54</v>
      </c>
      <c r="F345" s="10">
        <v>45879</v>
      </c>
      <c r="G345" s="8" t="s">
        <v>1149</v>
      </c>
      <c r="H345" s="8" t="s">
        <v>126</v>
      </c>
      <c r="I345" s="8" t="str">
        <f t="shared" si="59"/>
        <v>Aarav Sharma</v>
      </c>
      <c r="J345" s="8" t="s">
        <v>88</v>
      </c>
      <c r="K345" s="8" t="str">
        <f t="shared" si="53"/>
        <v>Corporate</v>
      </c>
      <c r="L345" s="8" t="s">
        <v>61</v>
      </c>
      <c r="M345" s="8" t="str">
        <f t="shared" si="54"/>
        <v>West</v>
      </c>
      <c r="N345" s="8" t="s">
        <v>70</v>
      </c>
      <c r="O345" s="8" t="str">
        <f t="shared" si="55"/>
        <v>Madhya Pradesh</v>
      </c>
      <c r="P345" s="8" t="s">
        <v>71</v>
      </c>
      <c r="Q345" s="8" t="str">
        <f t="shared" si="56"/>
        <v>Indore</v>
      </c>
      <c r="R345" s="8" t="s">
        <v>72</v>
      </c>
      <c r="S345" s="8" t="str">
        <f t="shared" si="57"/>
        <v>Technology</v>
      </c>
      <c r="T345" s="8" t="s">
        <v>273</v>
      </c>
      <c r="U345" s="8" t="str">
        <f t="shared" si="58"/>
        <v>Machines</v>
      </c>
      <c r="V345" s="8" t="s">
        <v>1150</v>
      </c>
    </row>
    <row r="346" spans="1:22">
      <c r="A346" s="8" t="s">
        <v>1151</v>
      </c>
      <c r="B346" s="8">
        <f t="shared" si="50"/>
        <v>1</v>
      </c>
      <c r="C346" s="8" t="str">
        <f t="shared" si="51"/>
        <v>Unique</v>
      </c>
      <c r="D346" s="9">
        <v>45599</v>
      </c>
      <c r="E346" s="8">
        <f t="shared" si="52"/>
        <v>0</v>
      </c>
      <c r="F346" s="10">
        <v>45599</v>
      </c>
      <c r="G346" s="8" t="s">
        <v>1152</v>
      </c>
      <c r="H346" s="8" t="s">
        <v>112</v>
      </c>
      <c r="I346" s="8" t="str">
        <f t="shared" si="59"/>
        <v>Priya Menon</v>
      </c>
      <c r="J346" s="8" t="s">
        <v>22</v>
      </c>
      <c r="K346" s="8" t="str">
        <f t="shared" si="53"/>
        <v>Consumer</v>
      </c>
      <c r="L346" s="8" t="s">
        <v>23</v>
      </c>
      <c r="M346" s="8" t="str">
        <f t="shared" si="54"/>
        <v>North</v>
      </c>
      <c r="N346" s="8" t="s">
        <v>120</v>
      </c>
      <c r="O346" s="8" t="str">
        <f t="shared" si="55"/>
        <v>Punjab</v>
      </c>
      <c r="P346" s="8" t="s">
        <v>121</v>
      </c>
      <c r="Q346" s="8" t="str">
        <f t="shared" si="56"/>
        <v>Ludhiana</v>
      </c>
      <c r="R346" s="8" t="s">
        <v>39</v>
      </c>
      <c r="S346" s="8" t="str">
        <f t="shared" si="57"/>
        <v>Furniture</v>
      </c>
      <c r="T346" s="8" t="s">
        <v>156</v>
      </c>
      <c r="U346" s="8" t="str">
        <f t="shared" si="58"/>
        <v>Bookcases</v>
      </c>
      <c r="V346" s="8" t="s">
        <v>1153</v>
      </c>
    </row>
    <row r="347" spans="1:22">
      <c r="A347" s="8" t="s">
        <v>1154</v>
      </c>
      <c r="B347" s="8">
        <f t="shared" si="50"/>
        <v>1</v>
      </c>
      <c r="C347" s="8" t="str">
        <f t="shared" si="51"/>
        <v>Unique</v>
      </c>
      <c r="D347" s="9">
        <v>45549</v>
      </c>
      <c r="E347" s="8">
        <f t="shared" si="52"/>
        <v>8</v>
      </c>
      <c r="F347" s="10">
        <v>45557</v>
      </c>
      <c r="G347" s="8" t="s">
        <v>1155</v>
      </c>
      <c r="H347" s="8" t="s">
        <v>21</v>
      </c>
      <c r="I347" s="8" t="str">
        <f t="shared" si="59"/>
        <v>Karan Malhotra</v>
      </c>
      <c r="J347" s="8" t="s">
        <v>22</v>
      </c>
      <c r="K347" s="8" t="str">
        <f t="shared" si="53"/>
        <v>Consumer</v>
      </c>
      <c r="L347" s="8" t="s">
        <v>61</v>
      </c>
      <c r="M347" s="8" t="str">
        <f t="shared" si="54"/>
        <v>West</v>
      </c>
      <c r="N347" s="8" t="s">
        <v>70</v>
      </c>
      <c r="O347" s="8" t="str">
        <f t="shared" si="55"/>
        <v>Madhya Pradesh</v>
      </c>
      <c r="P347" s="8" t="s">
        <v>71</v>
      </c>
      <c r="Q347" s="8" t="str">
        <f t="shared" si="56"/>
        <v>Indore</v>
      </c>
      <c r="R347" s="8" t="s">
        <v>39</v>
      </c>
      <c r="S347" s="8" t="str">
        <f t="shared" si="57"/>
        <v>Furniture</v>
      </c>
      <c r="T347" s="8" t="s">
        <v>55</v>
      </c>
      <c r="U347" s="8" t="str">
        <f t="shared" si="58"/>
        <v>Furnishings</v>
      </c>
      <c r="V347" s="8" t="s">
        <v>1156</v>
      </c>
    </row>
    <row r="348" spans="1:22">
      <c r="A348" s="8" t="s">
        <v>1157</v>
      </c>
      <c r="B348" s="8">
        <f t="shared" si="50"/>
        <v>1</v>
      </c>
      <c r="C348" s="8" t="str">
        <f t="shared" si="51"/>
        <v>Unique</v>
      </c>
      <c r="D348" s="9">
        <v>45860</v>
      </c>
      <c r="E348" s="8">
        <f t="shared" si="52"/>
        <v>6</v>
      </c>
      <c r="F348" s="10">
        <v>45866</v>
      </c>
      <c r="G348" s="8" t="s">
        <v>1158</v>
      </c>
      <c r="H348" s="8" t="s">
        <v>116</v>
      </c>
      <c r="I348" s="8" t="str">
        <f t="shared" si="59"/>
        <v>Rahul Verma</v>
      </c>
      <c r="J348" s="8" t="s">
        <v>88</v>
      </c>
      <c r="K348" s="8" t="str">
        <f t="shared" si="53"/>
        <v>Corporate</v>
      </c>
      <c r="L348" s="8" t="s">
        <v>52</v>
      </c>
      <c r="M348" s="8" t="str">
        <f t="shared" si="54"/>
        <v>South</v>
      </c>
      <c r="N348" s="8" t="s">
        <v>183</v>
      </c>
      <c r="O348" s="8" t="str">
        <f t="shared" si="55"/>
        <v>Kerala</v>
      </c>
      <c r="P348" s="8" t="s">
        <v>184</v>
      </c>
      <c r="Q348" s="8" t="str">
        <f t="shared" si="56"/>
        <v>Kochi</v>
      </c>
      <c r="R348" s="8" t="s">
        <v>39</v>
      </c>
      <c r="S348" s="8" t="str">
        <f t="shared" si="57"/>
        <v>Furniture</v>
      </c>
      <c r="T348" s="8" t="s">
        <v>64</v>
      </c>
      <c r="U348" s="8" t="str">
        <f t="shared" si="58"/>
        <v>Chairs</v>
      </c>
      <c r="V348" s="8" t="s">
        <v>1159</v>
      </c>
    </row>
    <row r="349" spans="1:22">
      <c r="A349" s="8" t="s">
        <v>1160</v>
      </c>
      <c r="B349" s="8">
        <f t="shared" si="50"/>
        <v>1</v>
      </c>
      <c r="C349" s="8" t="str">
        <f t="shared" si="51"/>
        <v>Unique</v>
      </c>
      <c r="D349" s="9">
        <v>45303</v>
      </c>
      <c r="E349" s="8">
        <f t="shared" si="52"/>
        <v>331</v>
      </c>
      <c r="F349" s="10">
        <v>45634</v>
      </c>
      <c r="G349" s="8" t="s">
        <v>1161</v>
      </c>
      <c r="H349" s="8" t="s">
        <v>126</v>
      </c>
      <c r="I349" s="8" t="str">
        <f t="shared" si="59"/>
        <v>Aarav Sharma</v>
      </c>
      <c r="J349" s="8" t="s">
        <v>35</v>
      </c>
      <c r="K349" s="8" t="str">
        <f t="shared" si="53"/>
        <v>Small Business</v>
      </c>
      <c r="L349" s="8" t="s">
        <v>61</v>
      </c>
      <c r="M349" s="8" t="str">
        <f t="shared" si="54"/>
        <v>West</v>
      </c>
      <c r="N349" s="8" t="s">
        <v>188</v>
      </c>
      <c r="O349" s="8" t="str">
        <f t="shared" si="55"/>
        <v>Goa</v>
      </c>
      <c r="P349" s="8" t="s">
        <v>189</v>
      </c>
      <c r="Q349" s="8" t="str">
        <f t="shared" si="56"/>
        <v>Panaji</v>
      </c>
      <c r="R349" s="8" t="s">
        <v>39</v>
      </c>
      <c r="S349" s="8" t="str">
        <f t="shared" si="57"/>
        <v>Furniture</v>
      </c>
      <c r="T349" s="8" t="s">
        <v>64</v>
      </c>
      <c r="U349" s="8" t="str">
        <f t="shared" si="58"/>
        <v>Chairs</v>
      </c>
      <c r="V349" s="8" t="s">
        <v>1162</v>
      </c>
    </row>
    <row r="350" spans="1:22">
      <c r="A350" s="8" t="s">
        <v>1163</v>
      </c>
      <c r="B350" s="8">
        <f t="shared" si="50"/>
        <v>1</v>
      </c>
      <c r="C350" s="8" t="str">
        <f t="shared" si="51"/>
        <v>Unique</v>
      </c>
      <c r="D350" s="9">
        <v>45445</v>
      </c>
      <c r="E350" s="8">
        <f t="shared" si="52"/>
        <v>5</v>
      </c>
      <c r="F350" s="10">
        <v>45450</v>
      </c>
      <c r="G350" s="8" t="s">
        <v>1164</v>
      </c>
      <c r="H350" s="8" t="s">
        <v>126</v>
      </c>
      <c r="I350" s="8" t="str">
        <f t="shared" si="59"/>
        <v>Aarav Sharma</v>
      </c>
      <c r="J350" s="8" t="s">
        <v>88</v>
      </c>
      <c r="K350" s="8" t="str">
        <f t="shared" si="53"/>
        <v>Corporate</v>
      </c>
      <c r="L350" s="8" t="s">
        <v>52</v>
      </c>
      <c r="M350" s="8" t="str">
        <f t="shared" si="54"/>
        <v>South</v>
      </c>
      <c r="N350" s="8" t="s">
        <v>173</v>
      </c>
      <c r="O350" s="8" t="str">
        <f t="shared" si="55"/>
        <v>Karnataka</v>
      </c>
      <c r="P350" s="8" t="s">
        <v>174</v>
      </c>
      <c r="Q350" s="8" t="str">
        <f t="shared" si="56"/>
        <v>Bengaluru</v>
      </c>
      <c r="R350" s="8" t="s">
        <v>72</v>
      </c>
      <c r="S350" s="8" t="str">
        <f t="shared" si="57"/>
        <v>Technology</v>
      </c>
      <c r="T350" s="8" t="s">
        <v>169</v>
      </c>
      <c r="U350" s="8" t="str">
        <f t="shared" si="58"/>
        <v>Phones</v>
      </c>
      <c r="V350" s="8" t="s">
        <v>1165</v>
      </c>
    </row>
    <row r="351" spans="1:22">
      <c r="A351" s="8" t="s">
        <v>1166</v>
      </c>
      <c r="B351" s="8">
        <f t="shared" si="50"/>
        <v>1</v>
      </c>
      <c r="C351" s="8" t="str">
        <f t="shared" si="51"/>
        <v>Unique</v>
      </c>
      <c r="D351" s="9">
        <v>45927</v>
      </c>
      <c r="E351" s="8">
        <f t="shared" si="52"/>
        <v>2</v>
      </c>
      <c r="F351" s="10">
        <v>45929</v>
      </c>
      <c r="G351" s="8" t="s">
        <v>1167</v>
      </c>
      <c r="H351" s="8" t="s">
        <v>263</v>
      </c>
      <c r="I351" s="8" t="str">
        <f t="shared" si="59"/>
        <v>Kabir Singh</v>
      </c>
      <c r="J351" s="8" t="s">
        <v>93</v>
      </c>
      <c r="K351" s="8" t="str">
        <f t="shared" si="53"/>
        <v>Home Office</v>
      </c>
      <c r="L351" s="8" t="s">
        <v>36</v>
      </c>
      <c r="M351" s="8" t="str">
        <f t="shared" si="54"/>
        <v>East</v>
      </c>
      <c r="N351" s="8" t="s">
        <v>227</v>
      </c>
      <c r="O351" s="8" t="str">
        <f t="shared" si="55"/>
        <v>Jharkhand</v>
      </c>
      <c r="P351" s="8" t="s">
        <v>228</v>
      </c>
      <c r="Q351" s="8" t="str">
        <f t="shared" si="56"/>
        <v>Ranchi</v>
      </c>
      <c r="R351" s="8" t="s">
        <v>39</v>
      </c>
      <c r="S351" s="8" t="str">
        <f t="shared" si="57"/>
        <v>Furniture</v>
      </c>
      <c r="T351" s="8" t="s">
        <v>55</v>
      </c>
      <c r="U351" s="8" t="str">
        <f t="shared" si="58"/>
        <v>Furnishings</v>
      </c>
      <c r="V351" s="8" t="s">
        <v>1168</v>
      </c>
    </row>
    <row r="352" spans="1:22">
      <c r="A352" s="8" t="s">
        <v>1169</v>
      </c>
      <c r="B352" s="8">
        <f t="shared" si="50"/>
        <v>1</v>
      </c>
      <c r="C352" s="8" t="str">
        <f t="shared" si="51"/>
        <v>Unique</v>
      </c>
      <c r="D352" s="9">
        <v>45474</v>
      </c>
      <c r="E352" s="8">
        <f t="shared" si="52"/>
        <v>-169</v>
      </c>
      <c r="F352" s="10">
        <v>45305</v>
      </c>
      <c r="G352" s="8" t="s">
        <v>1170</v>
      </c>
      <c r="H352" s="8" t="s">
        <v>130</v>
      </c>
      <c r="I352" s="8" t="str">
        <f t="shared" si="59"/>
        <v>Sneha Kapoor</v>
      </c>
      <c r="J352" s="8" t="s">
        <v>35</v>
      </c>
      <c r="K352" s="8" t="str">
        <f t="shared" si="53"/>
        <v>Small Business</v>
      </c>
      <c r="L352" s="8" t="s">
        <v>36</v>
      </c>
      <c r="M352" s="8" t="str">
        <f t="shared" si="54"/>
        <v>East</v>
      </c>
      <c r="N352" s="8" t="s">
        <v>227</v>
      </c>
      <c r="O352" s="8" t="str">
        <f t="shared" si="55"/>
        <v>Jharkhand</v>
      </c>
      <c r="P352" s="8" t="s">
        <v>228</v>
      </c>
      <c r="Q352" s="8" t="str">
        <f t="shared" si="56"/>
        <v>Ranchi</v>
      </c>
      <c r="R352" s="8" t="s">
        <v>39</v>
      </c>
      <c r="S352" s="8" t="str">
        <f t="shared" si="57"/>
        <v>Furniture</v>
      </c>
      <c r="T352" s="8" t="s">
        <v>55</v>
      </c>
      <c r="U352" s="8" t="str">
        <f t="shared" si="58"/>
        <v>Furnishings</v>
      </c>
      <c r="V352" s="8" t="s">
        <v>1171</v>
      </c>
    </row>
    <row r="353" spans="1:22">
      <c r="A353" s="8" t="s">
        <v>1172</v>
      </c>
      <c r="B353" s="8">
        <f t="shared" si="50"/>
        <v>1</v>
      </c>
      <c r="C353" s="8" t="str">
        <f t="shared" si="51"/>
        <v>Unique</v>
      </c>
      <c r="D353" s="9">
        <v>45800</v>
      </c>
      <c r="E353" s="8">
        <f t="shared" si="52"/>
        <v>4</v>
      </c>
      <c r="F353" s="10">
        <v>45804</v>
      </c>
      <c r="G353" s="8" t="s">
        <v>1173</v>
      </c>
      <c r="H353" s="8" t="s">
        <v>69</v>
      </c>
      <c r="I353" s="8" t="str">
        <f t="shared" si="59"/>
        <v>Vikram Iyer</v>
      </c>
      <c r="J353" s="8" t="s">
        <v>35</v>
      </c>
      <c r="K353" s="8" t="str">
        <f t="shared" si="53"/>
        <v>Small Business</v>
      </c>
      <c r="L353" s="8" t="s">
        <v>52</v>
      </c>
      <c r="M353" s="8" t="str">
        <f t="shared" si="54"/>
        <v>South</v>
      </c>
      <c r="N353" s="8" t="s">
        <v>53</v>
      </c>
      <c r="O353" s="8" t="str">
        <f t="shared" si="55"/>
        <v>Telangana</v>
      </c>
      <c r="P353" s="8" t="s">
        <v>54</v>
      </c>
      <c r="Q353" s="8" t="str">
        <f t="shared" si="56"/>
        <v>Hyderabad</v>
      </c>
      <c r="R353" s="8" t="s">
        <v>26</v>
      </c>
      <c r="S353" s="8" t="str">
        <f t="shared" si="57"/>
        <v>Office Supplies</v>
      </c>
      <c r="T353" s="8" t="s">
        <v>122</v>
      </c>
      <c r="U353" s="8" t="str">
        <f t="shared" si="58"/>
        <v>Storage</v>
      </c>
      <c r="V353" s="8" t="s">
        <v>1174</v>
      </c>
    </row>
    <row r="354" spans="1:22">
      <c r="A354" s="8" t="s">
        <v>1175</v>
      </c>
      <c r="B354" s="8">
        <f t="shared" si="50"/>
        <v>1</v>
      </c>
      <c r="C354" s="8" t="str">
        <f t="shared" si="51"/>
        <v>Unique</v>
      </c>
      <c r="D354" s="9">
        <v>45884</v>
      </c>
      <c r="E354" s="8">
        <f t="shared" si="52"/>
        <v>2</v>
      </c>
      <c r="F354" s="10">
        <v>45886</v>
      </c>
      <c r="G354" s="8" t="s">
        <v>1176</v>
      </c>
      <c r="H354" s="8" t="s">
        <v>160</v>
      </c>
      <c r="I354" s="8" t="str">
        <f t="shared" si="59"/>
        <v>Diya Patel</v>
      </c>
      <c r="J354" s="8" t="s">
        <v>35</v>
      </c>
      <c r="K354" s="8" t="str">
        <f t="shared" si="53"/>
        <v>Small Business</v>
      </c>
      <c r="L354" s="8" t="s">
        <v>36</v>
      </c>
      <c r="M354" s="8" t="str">
        <f t="shared" si="54"/>
        <v>East</v>
      </c>
      <c r="N354" s="8" t="s">
        <v>164</v>
      </c>
      <c r="O354" s="8" t="str">
        <f t="shared" si="55"/>
        <v>Assam</v>
      </c>
      <c r="P354" s="8" t="s">
        <v>165</v>
      </c>
      <c r="Q354" s="8" t="str">
        <f t="shared" si="56"/>
        <v>Guwahati</v>
      </c>
      <c r="R354" s="8" t="s">
        <v>72</v>
      </c>
      <c r="S354" s="8" t="str">
        <f t="shared" si="57"/>
        <v>Technology</v>
      </c>
      <c r="T354" s="8" t="s">
        <v>78</v>
      </c>
      <c r="U354" s="8" t="str">
        <f t="shared" si="58"/>
        <v>Copiers</v>
      </c>
      <c r="V354" s="8" t="s">
        <v>1177</v>
      </c>
    </row>
    <row r="355" spans="1:22">
      <c r="A355" s="8" t="s">
        <v>1178</v>
      </c>
      <c r="B355" s="8">
        <f t="shared" si="50"/>
        <v>1</v>
      </c>
      <c r="C355" s="8" t="str">
        <f t="shared" si="51"/>
        <v>Unique</v>
      </c>
      <c r="D355" s="9">
        <v>45709</v>
      </c>
      <c r="E355" s="8">
        <f t="shared" si="52"/>
        <v>6</v>
      </c>
      <c r="F355" s="10">
        <v>45715</v>
      </c>
      <c r="G355" s="8" t="s">
        <v>1179</v>
      </c>
      <c r="H355" s="8" t="s">
        <v>60</v>
      </c>
      <c r="I355" s="8" t="str">
        <f t="shared" si="59"/>
        <v>Ananya Rao</v>
      </c>
      <c r="J355" s="8" t="s">
        <v>22</v>
      </c>
      <c r="K355" s="8" t="str">
        <f t="shared" si="53"/>
        <v>Consumer</v>
      </c>
      <c r="L355" s="8" t="s">
        <v>23</v>
      </c>
      <c r="M355" s="8" t="str">
        <f t="shared" si="54"/>
        <v>North</v>
      </c>
      <c r="N355" s="8" t="s">
        <v>24</v>
      </c>
      <c r="O355" s="8" t="str">
        <f t="shared" si="55"/>
        <v>Rajasthan</v>
      </c>
      <c r="P355" s="8" t="s">
        <v>25</v>
      </c>
      <c r="Q355" s="8" t="str">
        <f t="shared" si="56"/>
        <v>Jaipur</v>
      </c>
      <c r="R355" s="8" t="s">
        <v>26</v>
      </c>
      <c r="S355" s="8" t="str">
        <f t="shared" si="57"/>
        <v>Office Supplies</v>
      </c>
      <c r="T355" s="8" t="s">
        <v>46</v>
      </c>
      <c r="U355" s="8" t="str">
        <f t="shared" si="58"/>
        <v>Art</v>
      </c>
      <c r="V355" s="8" t="s">
        <v>1180</v>
      </c>
    </row>
    <row r="356" spans="1:22">
      <c r="A356" s="8" t="s">
        <v>1181</v>
      </c>
      <c r="B356" s="8">
        <f t="shared" si="50"/>
        <v>1</v>
      </c>
      <c r="C356" s="8" t="str">
        <f t="shared" si="51"/>
        <v>Unique</v>
      </c>
      <c r="D356" s="9">
        <v>45653</v>
      </c>
      <c r="E356" s="8">
        <f t="shared" si="52"/>
        <v>4</v>
      </c>
      <c r="F356" s="10">
        <v>45657</v>
      </c>
      <c r="G356" s="8" t="s">
        <v>1182</v>
      </c>
      <c r="H356" s="8" t="s">
        <v>263</v>
      </c>
      <c r="I356" s="8" t="str">
        <f t="shared" si="59"/>
        <v>Kabir Singh</v>
      </c>
      <c r="J356" s="8" t="s">
        <v>1183</v>
      </c>
      <c r="K356" s="8" t="str">
        <f t="shared" si="53"/>
        <v>Corporate</v>
      </c>
      <c r="L356" s="8" t="s">
        <v>23</v>
      </c>
      <c r="M356" s="8" t="str">
        <f t="shared" si="54"/>
        <v>North</v>
      </c>
      <c r="N356" s="8" t="s">
        <v>120</v>
      </c>
      <c r="O356" s="8" t="str">
        <f t="shared" si="55"/>
        <v>Punjab</v>
      </c>
      <c r="P356" s="8" t="s">
        <v>121</v>
      </c>
      <c r="Q356" s="8" t="str">
        <f t="shared" si="56"/>
        <v>Ludhiana</v>
      </c>
      <c r="R356" s="8" t="s">
        <v>39</v>
      </c>
      <c r="S356" s="8" t="str">
        <f t="shared" si="57"/>
        <v>Furniture</v>
      </c>
      <c r="T356" s="8" t="s">
        <v>55</v>
      </c>
      <c r="U356" s="8" t="str">
        <f t="shared" si="58"/>
        <v>Furnishings</v>
      </c>
      <c r="V356" s="8" t="s">
        <v>1184</v>
      </c>
    </row>
    <row r="357" spans="1:22">
      <c r="A357" s="8" t="s">
        <v>1185</v>
      </c>
      <c r="B357" s="8">
        <f t="shared" si="50"/>
        <v>1</v>
      </c>
      <c r="C357" s="8" t="str">
        <f t="shared" si="51"/>
        <v>Unique</v>
      </c>
      <c r="D357" s="9">
        <v>45631</v>
      </c>
      <c r="E357" s="8">
        <f t="shared" si="52"/>
        <v>-91</v>
      </c>
      <c r="F357" s="10">
        <v>45540</v>
      </c>
      <c r="G357" s="8" t="s">
        <v>1186</v>
      </c>
      <c r="H357" s="8" t="s">
        <v>112</v>
      </c>
      <c r="I357" s="8" t="str">
        <f t="shared" si="59"/>
        <v>Priya Menon</v>
      </c>
      <c r="J357" s="8" t="s">
        <v>88</v>
      </c>
      <c r="K357" s="8" t="str">
        <f t="shared" si="53"/>
        <v>Corporate</v>
      </c>
      <c r="L357" s="8" t="s">
        <v>61</v>
      </c>
      <c r="M357" s="8" t="str">
        <f t="shared" si="54"/>
        <v>West</v>
      </c>
      <c r="N357" s="8" t="s">
        <v>24</v>
      </c>
      <c r="O357" s="8" t="str">
        <f t="shared" si="55"/>
        <v>Rajasthan</v>
      </c>
      <c r="P357" s="8" t="s">
        <v>107</v>
      </c>
      <c r="Q357" s="8" t="str">
        <f t="shared" si="56"/>
        <v>Udaipur</v>
      </c>
      <c r="R357" s="8" t="s">
        <v>39</v>
      </c>
      <c r="S357" s="8" t="str">
        <f t="shared" si="57"/>
        <v>Furniture</v>
      </c>
      <c r="T357" s="8" t="s">
        <v>40</v>
      </c>
      <c r="U357" s="8" t="str">
        <f t="shared" si="58"/>
        <v>Tables</v>
      </c>
      <c r="V357" s="8" t="s">
        <v>1187</v>
      </c>
    </row>
    <row r="358" spans="1:22">
      <c r="A358" s="8" t="s">
        <v>1188</v>
      </c>
      <c r="B358" s="8">
        <f t="shared" si="50"/>
        <v>1</v>
      </c>
      <c r="C358" s="8" t="str">
        <f t="shared" si="51"/>
        <v>Unique</v>
      </c>
      <c r="D358" s="9">
        <v>45835</v>
      </c>
      <c r="E358" s="8">
        <f t="shared" si="52"/>
        <v>2</v>
      </c>
      <c r="F358" s="10">
        <v>45837</v>
      </c>
      <c r="G358" s="8" t="s">
        <v>1189</v>
      </c>
      <c r="H358" s="8" t="s">
        <v>139</v>
      </c>
      <c r="I358" s="8" t="str">
        <f t="shared" si="59"/>
        <v>Rohan Mehta</v>
      </c>
      <c r="J358" s="8" t="s">
        <v>93</v>
      </c>
      <c r="K358" s="8" t="str">
        <f t="shared" si="53"/>
        <v>Home Office</v>
      </c>
      <c r="L358" s="8" t="s">
        <v>52</v>
      </c>
      <c r="M358" s="8" t="str">
        <f t="shared" si="54"/>
        <v>South</v>
      </c>
      <c r="N358" s="8" t="s">
        <v>53</v>
      </c>
      <c r="O358" s="8" t="str">
        <f t="shared" si="55"/>
        <v>Telangana</v>
      </c>
      <c r="P358" s="8" t="s">
        <v>54</v>
      </c>
      <c r="Q358" s="8" t="str">
        <f t="shared" si="56"/>
        <v>Hyderabad</v>
      </c>
      <c r="R358" s="8" t="s">
        <v>39</v>
      </c>
      <c r="S358" s="8" t="str">
        <f t="shared" si="57"/>
        <v>Furniture</v>
      </c>
      <c r="T358" s="8" t="s">
        <v>64</v>
      </c>
      <c r="U358" s="8" t="str">
        <f t="shared" si="58"/>
        <v>Chairs</v>
      </c>
      <c r="V358" s="8" t="s">
        <v>1190</v>
      </c>
    </row>
    <row r="359" spans="1:22">
      <c r="A359" s="8" t="s">
        <v>1191</v>
      </c>
      <c r="B359" s="8">
        <f t="shared" si="50"/>
        <v>1</v>
      </c>
      <c r="C359" s="8" t="str">
        <f t="shared" si="51"/>
        <v>Unique</v>
      </c>
      <c r="D359" s="9">
        <v>45678</v>
      </c>
      <c r="E359" s="8">
        <f t="shared" si="52"/>
        <v>8</v>
      </c>
      <c r="F359" s="10">
        <v>45686</v>
      </c>
      <c r="G359" s="8" t="s">
        <v>1192</v>
      </c>
      <c r="H359" s="8" t="s">
        <v>34</v>
      </c>
      <c r="I359" s="8" t="str">
        <f t="shared" si="59"/>
        <v>Mira Das</v>
      </c>
      <c r="J359" s="8" t="s">
        <v>93</v>
      </c>
      <c r="K359" s="8" t="str">
        <f t="shared" si="53"/>
        <v>Home Office</v>
      </c>
      <c r="L359" s="8" t="s">
        <v>52</v>
      </c>
      <c r="M359" s="8" t="str">
        <f t="shared" si="54"/>
        <v>South</v>
      </c>
      <c r="N359" s="8" t="s">
        <v>82</v>
      </c>
      <c r="O359" s="8" t="str">
        <f t="shared" si="55"/>
        <v>Andhra Pradesh</v>
      </c>
      <c r="P359" s="8" t="s">
        <v>83</v>
      </c>
      <c r="Q359" s="8" t="str">
        <f t="shared" si="56"/>
        <v>Vijayawada</v>
      </c>
      <c r="R359" s="8" t="s">
        <v>72</v>
      </c>
      <c r="S359" s="8" t="str">
        <f t="shared" si="57"/>
        <v>Technology</v>
      </c>
      <c r="T359" s="8" t="s">
        <v>273</v>
      </c>
      <c r="U359" s="8" t="str">
        <f t="shared" si="58"/>
        <v>Machines</v>
      </c>
      <c r="V359" s="8" t="s">
        <v>1193</v>
      </c>
    </row>
    <row r="360" spans="1:22">
      <c r="A360" s="8" t="s">
        <v>1194</v>
      </c>
      <c r="B360" s="8">
        <f t="shared" si="50"/>
        <v>1</v>
      </c>
      <c r="C360" s="8" t="str">
        <f t="shared" si="51"/>
        <v>Unique</v>
      </c>
      <c r="D360" s="9">
        <v>45878</v>
      </c>
      <c r="E360" s="8">
        <f t="shared" si="52"/>
        <v>-32</v>
      </c>
      <c r="F360" s="10">
        <v>45846</v>
      </c>
      <c r="G360" s="8" t="s">
        <v>1195</v>
      </c>
      <c r="H360" s="8" t="s">
        <v>69</v>
      </c>
      <c r="I360" s="8" t="str">
        <f t="shared" si="59"/>
        <v>Vikram Iyer</v>
      </c>
      <c r="J360" s="8" t="s">
        <v>93</v>
      </c>
      <c r="K360" s="8" t="str">
        <f t="shared" si="53"/>
        <v>Home Office</v>
      </c>
      <c r="L360" s="8" t="s">
        <v>61</v>
      </c>
      <c r="M360" s="8" t="str">
        <f t="shared" si="54"/>
        <v>West</v>
      </c>
      <c r="N360" s="8" t="s">
        <v>178</v>
      </c>
      <c r="O360" s="8" t="str">
        <f t="shared" si="55"/>
        <v>Gujarat</v>
      </c>
      <c r="P360" s="8" t="s">
        <v>179</v>
      </c>
      <c r="Q360" s="8" t="str">
        <f t="shared" si="56"/>
        <v>Ahmedabad</v>
      </c>
      <c r="R360" s="8" t="s">
        <v>39</v>
      </c>
      <c r="S360" s="8" t="str">
        <f t="shared" si="57"/>
        <v>Furniture</v>
      </c>
      <c r="T360" s="8" t="s">
        <v>156</v>
      </c>
      <c r="U360" s="8" t="str">
        <f t="shared" si="58"/>
        <v>Bookcases</v>
      </c>
      <c r="V360" s="8" t="s">
        <v>1196</v>
      </c>
    </row>
    <row r="361" spans="1:22">
      <c r="A361" s="8" t="s">
        <v>1197</v>
      </c>
      <c r="B361" s="8">
        <f t="shared" si="50"/>
        <v>1</v>
      </c>
      <c r="C361" s="8" t="str">
        <f t="shared" si="51"/>
        <v>Unique</v>
      </c>
      <c r="D361" s="9">
        <v>45525</v>
      </c>
      <c r="E361" s="8">
        <f t="shared" si="52"/>
        <v>1</v>
      </c>
      <c r="F361" s="10">
        <v>45526</v>
      </c>
      <c r="G361" s="8" t="s">
        <v>1198</v>
      </c>
      <c r="H361" s="8" t="s">
        <v>45</v>
      </c>
      <c r="I361" s="8" t="str">
        <f t="shared" si="59"/>
        <v>Isha Nair</v>
      </c>
      <c r="J361" s="8" t="s">
        <v>22</v>
      </c>
      <c r="K361" s="8" t="str">
        <f t="shared" si="53"/>
        <v>Consumer</v>
      </c>
      <c r="L361" s="8" t="s">
        <v>52</v>
      </c>
      <c r="M361" s="8" t="str">
        <f t="shared" si="54"/>
        <v>South</v>
      </c>
      <c r="N361" s="8" t="s">
        <v>246</v>
      </c>
      <c r="O361" s="8" t="str">
        <f t="shared" si="55"/>
        <v>Tamil Nadu</v>
      </c>
      <c r="P361" s="8" t="s">
        <v>247</v>
      </c>
      <c r="Q361" s="8" t="str">
        <f t="shared" si="56"/>
        <v>Chennai</v>
      </c>
      <c r="R361" s="8" t="s">
        <v>72</v>
      </c>
      <c r="S361" s="8" t="str">
        <f t="shared" si="57"/>
        <v>Technology</v>
      </c>
      <c r="T361" s="8" t="s">
        <v>169</v>
      </c>
      <c r="U361" s="8" t="str">
        <f t="shared" si="58"/>
        <v>Phones</v>
      </c>
      <c r="V361" s="8" t="s">
        <v>1199</v>
      </c>
    </row>
    <row r="362" spans="1:22">
      <c r="A362" s="8" t="s">
        <v>1200</v>
      </c>
      <c r="B362" s="8">
        <f t="shared" si="50"/>
        <v>1</v>
      </c>
      <c r="C362" s="8" t="str">
        <f t="shared" si="51"/>
        <v>Unique</v>
      </c>
      <c r="D362" s="9">
        <v>45460</v>
      </c>
      <c r="E362" s="8">
        <f t="shared" si="52"/>
        <v>3</v>
      </c>
      <c r="F362" s="10">
        <v>45463</v>
      </c>
      <c r="G362" s="8" t="s">
        <v>1201</v>
      </c>
      <c r="H362" s="8" t="s">
        <v>130</v>
      </c>
      <c r="I362" s="8" t="str">
        <f t="shared" si="59"/>
        <v>Sneha Kapoor</v>
      </c>
      <c r="J362" s="8" t="s">
        <v>35</v>
      </c>
      <c r="K362" s="8" t="str">
        <f t="shared" si="53"/>
        <v>Small Business</v>
      </c>
      <c r="L362" s="8" t="s">
        <v>61</v>
      </c>
      <c r="M362" s="8" t="str">
        <f t="shared" si="54"/>
        <v>West</v>
      </c>
      <c r="N362" s="8" t="s">
        <v>178</v>
      </c>
      <c r="O362" s="8" t="str">
        <f t="shared" si="55"/>
        <v>Gujarat</v>
      </c>
      <c r="P362" s="8" t="s">
        <v>179</v>
      </c>
      <c r="Q362" s="8" t="str">
        <f t="shared" si="56"/>
        <v>Ahmedabad</v>
      </c>
      <c r="R362" s="8" t="s">
        <v>39</v>
      </c>
      <c r="S362" s="8" t="str">
        <f t="shared" si="57"/>
        <v>Furniture</v>
      </c>
      <c r="T362" s="8" t="s">
        <v>55</v>
      </c>
      <c r="U362" s="8" t="str">
        <f t="shared" si="58"/>
        <v>Furnishings</v>
      </c>
      <c r="V362" s="8" t="s">
        <v>1202</v>
      </c>
    </row>
    <row r="363" spans="1:22">
      <c r="A363" s="8" t="s">
        <v>1203</v>
      </c>
      <c r="B363" s="8">
        <f t="shared" si="50"/>
        <v>1</v>
      </c>
      <c r="C363" s="8" t="str">
        <f t="shared" si="51"/>
        <v>Unique</v>
      </c>
      <c r="D363" s="9">
        <v>45661</v>
      </c>
      <c r="E363" s="8">
        <f t="shared" si="52"/>
        <v>31</v>
      </c>
      <c r="F363" s="10">
        <v>45692</v>
      </c>
      <c r="G363" s="8" t="s">
        <v>1204</v>
      </c>
      <c r="H363" s="8" t="s">
        <v>139</v>
      </c>
      <c r="I363" s="8" t="str">
        <f t="shared" si="59"/>
        <v>Rohan Mehta</v>
      </c>
      <c r="J363" s="8" t="s">
        <v>88</v>
      </c>
      <c r="K363" s="8" t="str">
        <f t="shared" si="53"/>
        <v>Corporate</v>
      </c>
      <c r="L363" s="8" t="s">
        <v>36</v>
      </c>
      <c r="M363" s="8" t="str">
        <f t="shared" si="54"/>
        <v>East</v>
      </c>
      <c r="N363" s="8" t="s">
        <v>37</v>
      </c>
      <c r="O363" s="8" t="str">
        <f t="shared" si="55"/>
        <v>Odisha</v>
      </c>
      <c r="P363" s="8" t="s">
        <v>38</v>
      </c>
      <c r="Q363" s="8" t="str">
        <f t="shared" si="56"/>
        <v>Bhubaneswar</v>
      </c>
      <c r="R363" s="8" t="s">
        <v>39</v>
      </c>
      <c r="S363" s="8" t="str">
        <f t="shared" si="57"/>
        <v>Furniture</v>
      </c>
      <c r="T363" s="8" t="s">
        <v>64</v>
      </c>
      <c r="U363" s="8" t="str">
        <f t="shared" si="58"/>
        <v>Chairs</v>
      </c>
      <c r="V363" s="8" t="s">
        <v>1205</v>
      </c>
    </row>
    <row r="364" spans="1:22">
      <c r="A364" s="8" t="s">
        <v>1206</v>
      </c>
      <c r="B364" s="8">
        <f t="shared" si="50"/>
        <v>1</v>
      </c>
      <c r="C364" s="8" t="str">
        <f t="shared" si="51"/>
        <v>Unique</v>
      </c>
      <c r="D364" s="9">
        <v>45527</v>
      </c>
      <c r="E364" s="8">
        <f t="shared" si="52"/>
        <v>2</v>
      </c>
      <c r="F364" s="10">
        <v>45529</v>
      </c>
      <c r="G364" s="8" t="s">
        <v>1207</v>
      </c>
      <c r="H364" s="8" t="s">
        <v>69</v>
      </c>
      <c r="I364" s="8" t="str">
        <f t="shared" si="59"/>
        <v>Vikram Iyer</v>
      </c>
      <c r="J364" s="8" t="s">
        <v>22</v>
      </c>
      <c r="K364" s="8" t="str">
        <f t="shared" si="53"/>
        <v>Consumer</v>
      </c>
      <c r="L364" s="8" t="s">
        <v>61</v>
      </c>
      <c r="M364" s="8" t="str">
        <f t="shared" si="54"/>
        <v>West</v>
      </c>
      <c r="N364" s="8" t="s">
        <v>188</v>
      </c>
      <c r="O364" s="8" t="str">
        <f t="shared" si="55"/>
        <v>Goa</v>
      </c>
      <c r="P364" s="8" t="s">
        <v>189</v>
      </c>
      <c r="Q364" s="8" t="str">
        <f t="shared" si="56"/>
        <v>Panaji</v>
      </c>
      <c r="R364" s="8" t="s">
        <v>72</v>
      </c>
      <c r="S364" s="8" t="str">
        <f t="shared" si="57"/>
        <v>Technology</v>
      </c>
      <c r="T364" s="8" t="s">
        <v>273</v>
      </c>
      <c r="U364" s="8" t="str">
        <f t="shared" si="58"/>
        <v>Machines</v>
      </c>
      <c r="V364" s="8" t="s">
        <v>1208</v>
      </c>
    </row>
    <row r="365" spans="1:22">
      <c r="A365" s="8" t="s">
        <v>1209</v>
      </c>
      <c r="B365" s="8">
        <f t="shared" si="50"/>
        <v>1</v>
      </c>
      <c r="C365" s="8" t="str">
        <f t="shared" si="51"/>
        <v>Unique</v>
      </c>
      <c r="D365" s="9">
        <v>45845</v>
      </c>
      <c r="E365" s="8">
        <f t="shared" si="52"/>
        <v>5</v>
      </c>
      <c r="F365" s="10">
        <v>45850</v>
      </c>
      <c r="G365" s="8" t="s">
        <v>1210</v>
      </c>
      <c r="H365" s="8" t="s">
        <v>160</v>
      </c>
      <c r="I365" s="8" t="str">
        <f t="shared" si="59"/>
        <v>Diya Patel</v>
      </c>
      <c r="J365" s="8" t="s">
        <v>88</v>
      </c>
      <c r="K365" s="8" t="str">
        <f t="shared" si="53"/>
        <v>Corporate</v>
      </c>
      <c r="L365" s="8" t="s">
        <v>36</v>
      </c>
      <c r="M365" s="8" t="str">
        <f t="shared" si="54"/>
        <v>East</v>
      </c>
      <c r="N365" s="8" t="s">
        <v>97</v>
      </c>
      <c r="O365" s="8" t="str">
        <f t="shared" si="55"/>
        <v>West Bengal</v>
      </c>
      <c r="P365" s="8" t="s">
        <v>98</v>
      </c>
      <c r="Q365" s="8" t="str">
        <f t="shared" si="56"/>
        <v>Kolkata</v>
      </c>
      <c r="R365" s="8" t="s">
        <v>39</v>
      </c>
      <c r="S365" s="8" t="str">
        <f t="shared" si="57"/>
        <v>Furniture</v>
      </c>
      <c r="T365" s="8" t="s">
        <v>40</v>
      </c>
      <c r="U365" s="8" t="str">
        <f t="shared" si="58"/>
        <v>Tables</v>
      </c>
      <c r="V365" s="8" t="s">
        <v>1211</v>
      </c>
    </row>
    <row r="366" spans="1:22">
      <c r="A366" s="8" t="s">
        <v>1212</v>
      </c>
      <c r="B366" s="8">
        <f t="shared" si="50"/>
        <v>1</v>
      </c>
      <c r="C366" s="8" t="str">
        <f t="shared" si="51"/>
        <v>Unique</v>
      </c>
      <c r="D366" s="9">
        <v>45737</v>
      </c>
      <c r="E366" s="8">
        <f t="shared" si="52"/>
        <v>3</v>
      </c>
      <c r="F366" s="10">
        <v>45740</v>
      </c>
      <c r="G366" s="8" t="s">
        <v>1213</v>
      </c>
      <c r="H366" s="8" t="s">
        <v>126</v>
      </c>
      <c r="I366" s="8" t="str">
        <f t="shared" si="59"/>
        <v>Aarav Sharma</v>
      </c>
      <c r="J366" s="8" t="s">
        <v>35</v>
      </c>
      <c r="K366" s="8" t="str">
        <f t="shared" si="53"/>
        <v>Small Business</v>
      </c>
      <c r="L366" s="8" t="s">
        <v>52</v>
      </c>
      <c r="M366" s="8" t="str">
        <f t="shared" si="54"/>
        <v>South</v>
      </c>
      <c r="N366" s="8" t="s">
        <v>82</v>
      </c>
      <c r="O366" s="8" t="str">
        <f t="shared" si="55"/>
        <v>Andhra Pradesh</v>
      </c>
      <c r="P366" s="8" t="s">
        <v>83</v>
      </c>
      <c r="Q366" s="8" t="str">
        <f t="shared" si="56"/>
        <v>Vijayawada</v>
      </c>
      <c r="R366" s="8" t="s">
        <v>39</v>
      </c>
      <c r="S366" s="8" t="str">
        <f t="shared" si="57"/>
        <v>Furniture</v>
      </c>
      <c r="T366" s="8" t="s">
        <v>64</v>
      </c>
      <c r="U366" s="8" t="str">
        <f t="shared" si="58"/>
        <v>Chairs</v>
      </c>
      <c r="V366" s="8" t="s">
        <v>1214</v>
      </c>
    </row>
    <row r="367" spans="1:22">
      <c r="A367" s="8" t="s">
        <v>1215</v>
      </c>
      <c r="B367" s="8">
        <f t="shared" si="50"/>
        <v>1</v>
      </c>
      <c r="C367" s="8" t="str">
        <f t="shared" si="51"/>
        <v>Unique</v>
      </c>
      <c r="D367" s="9">
        <v>45458</v>
      </c>
      <c r="E367" s="8">
        <f t="shared" si="52"/>
        <v>6</v>
      </c>
      <c r="F367" s="10">
        <v>45464</v>
      </c>
      <c r="G367" s="8" t="s">
        <v>1216</v>
      </c>
      <c r="H367" s="8" t="s">
        <v>87</v>
      </c>
      <c r="I367" s="8" t="str">
        <f t="shared" si="59"/>
        <v>Aditi Sen</v>
      </c>
      <c r="J367" s="8" t="s">
        <v>88</v>
      </c>
      <c r="K367" s="8" t="str">
        <f t="shared" si="53"/>
        <v>Corporate</v>
      </c>
      <c r="L367" s="8" t="s">
        <v>61</v>
      </c>
      <c r="M367" s="8" t="str">
        <f t="shared" si="54"/>
        <v>West</v>
      </c>
      <c r="N367" s="8" t="s">
        <v>188</v>
      </c>
      <c r="O367" s="8" t="str">
        <f t="shared" si="55"/>
        <v>Goa</v>
      </c>
      <c r="P367" s="8" t="s">
        <v>189</v>
      </c>
      <c r="Q367" s="8" t="str">
        <f t="shared" si="56"/>
        <v>Panaji</v>
      </c>
      <c r="R367" s="8" t="s">
        <v>72</v>
      </c>
      <c r="S367" s="8" t="str">
        <f t="shared" si="57"/>
        <v>Technology</v>
      </c>
      <c r="T367" s="8" t="s">
        <v>73</v>
      </c>
      <c r="U367" s="8" t="str">
        <f t="shared" si="58"/>
        <v>Accessories</v>
      </c>
      <c r="V367" s="8" t="s">
        <v>1217</v>
      </c>
    </row>
    <row r="368" spans="1:22">
      <c r="A368" s="8" t="s">
        <v>1218</v>
      </c>
      <c r="B368" s="8">
        <f t="shared" si="50"/>
        <v>1</v>
      </c>
      <c r="C368" s="8" t="str">
        <f t="shared" si="51"/>
        <v>Unique</v>
      </c>
      <c r="D368" s="9">
        <v>45673</v>
      </c>
      <c r="E368" s="8">
        <f t="shared" si="52"/>
        <v>6</v>
      </c>
      <c r="F368" s="10">
        <v>45679</v>
      </c>
      <c r="G368" s="8" t="s">
        <v>1219</v>
      </c>
      <c r="H368" s="8" t="s">
        <v>130</v>
      </c>
      <c r="I368" s="8" t="str">
        <f t="shared" si="59"/>
        <v>Sneha Kapoor</v>
      </c>
      <c r="J368" s="8" t="s">
        <v>88</v>
      </c>
      <c r="K368" s="8" t="str">
        <f t="shared" si="53"/>
        <v>Corporate</v>
      </c>
      <c r="L368" s="8" t="s">
        <v>23</v>
      </c>
      <c r="M368" s="8" t="str">
        <f t="shared" si="54"/>
        <v>North</v>
      </c>
      <c r="N368" s="8" t="s">
        <v>24</v>
      </c>
      <c r="O368" s="8" t="str">
        <f t="shared" si="55"/>
        <v>Rajasthan</v>
      </c>
      <c r="P368" s="8" t="s">
        <v>25</v>
      </c>
      <c r="Q368" s="8" t="str">
        <f t="shared" si="56"/>
        <v>Jaipur</v>
      </c>
      <c r="R368" s="8" t="s">
        <v>39</v>
      </c>
      <c r="S368" s="8" t="str">
        <f t="shared" si="57"/>
        <v>Furniture</v>
      </c>
      <c r="T368" s="8" t="s">
        <v>40</v>
      </c>
      <c r="U368" s="8" t="str">
        <f t="shared" si="58"/>
        <v>Tables</v>
      </c>
      <c r="V368" s="8" t="s">
        <v>1220</v>
      </c>
    </row>
    <row r="369" spans="1:22">
      <c r="A369" s="8" t="s">
        <v>1221</v>
      </c>
      <c r="B369" s="8">
        <f t="shared" si="50"/>
        <v>1</v>
      </c>
      <c r="C369" s="8" t="str">
        <f t="shared" si="51"/>
        <v>Unique</v>
      </c>
      <c r="D369" s="9">
        <v>45366</v>
      </c>
      <c r="E369" s="8">
        <f t="shared" si="52"/>
        <v>1</v>
      </c>
      <c r="F369" s="10">
        <v>45367</v>
      </c>
      <c r="G369" s="8" t="s">
        <v>1222</v>
      </c>
      <c r="H369" s="8" t="s">
        <v>139</v>
      </c>
      <c r="I369" s="8" t="str">
        <f t="shared" si="59"/>
        <v>Rohan Mehta</v>
      </c>
      <c r="J369" s="8" t="s">
        <v>22</v>
      </c>
      <c r="K369" s="8" t="str">
        <f t="shared" si="53"/>
        <v>Consumer</v>
      </c>
      <c r="L369" s="8" t="s">
        <v>23</v>
      </c>
      <c r="M369" s="8" t="str">
        <f t="shared" si="54"/>
        <v>North</v>
      </c>
      <c r="N369" s="8" t="s">
        <v>349</v>
      </c>
      <c r="O369" s="8" t="str">
        <f t="shared" si="55"/>
        <v>Delhi</v>
      </c>
      <c r="P369" s="8" t="s">
        <v>350</v>
      </c>
      <c r="Q369" s="8" t="str">
        <f t="shared" si="56"/>
        <v>New Delhi</v>
      </c>
      <c r="R369" s="8" t="s">
        <v>26</v>
      </c>
      <c r="S369" s="8" t="str">
        <f t="shared" si="57"/>
        <v>Office Supplies</v>
      </c>
      <c r="T369" s="8" t="s">
        <v>46</v>
      </c>
      <c r="U369" s="8" t="str">
        <f t="shared" si="58"/>
        <v>Art</v>
      </c>
      <c r="V369" s="8" t="s">
        <v>1223</v>
      </c>
    </row>
    <row r="370" spans="1:22">
      <c r="A370" s="8" t="s">
        <v>1224</v>
      </c>
      <c r="B370" s="8">
        <f t="shared" si="50"/>
        <v>1</v>
      </c>
      <c r="C370" s="8" t="str">
        <f t="shared" si="51"/>
        <v>Unique</v>
      </c>
      <c r="D370" s="9">
        <v>45815</v>
      </c>
      <c r="E370" s="8">
        <f t="shared" si="52"/>
        <v>0</v>
      </c>
      <c r="F370" s="10">
        <v>45815</v>
      </c>
      <c r="G370" s="8" t="s">
        <v>1225</v>
      </c>
      <c r="H370" s="8" t="s">
        <v>126</v>
      </c>
      <c r="I370" s="8" t="str">
        <f t="shared" si="59"/>
        <v>Aarav Sharma</v>
      </c>
      <c r="J370" s="8" t="s">
        <v>93</v>
      </c>
      <c r="K370" s="8" t="str">
        <f t="shared" si="53"/>
        <v>Home Office</v>
      </c>
      <c r="L370" s="8" t="s">
        <v>23</v>
      </c>
      <c r="M370" s="8" t="str">
        <f t="shared" si="54"/>
        <v>North</v>
      </c>
      <c r="N370" s="8" t="s">
        <v>24</v>
      </c>
      <c r="O370" s="8" t="str">
        <f t="shared" si="55"/>
        <v>Rajasthan</v>
      </c>
      <c r="P370" s="8" t="s">
        <v>25</v>
      </c>
      <c r="Q370" s="8" t="str">
        <f t="shared" si="56"/>
        <v>Jaipur</v>
      </c>
      <c r="R370" s="8" t="s">
        <v>72</v>
      </c>
      <c r="S370" s="8" t="str">
        <f t="shared" si="57"/>
        <v>Technology</v>
      </c>
      <c r="T370" s="8" t="s">
        <v>73</v>
      </c>
      <c r="U370" s="8" t="str">
        <f t="shared" si="58"/>
        <v>Accessories</v>
      </c>
      <c r="V370" s="8" t="s">
        <v>1226</v>
      </c>
    </row>
    <row r="371" spans="1:22">
      <c r="A371" s="8" t="s">
        <v>1227</v>
      </c>
      <c r="B371" s="8">
        <f t="shared" si="50"/>
        <v>1</v>
      </c>
      <c r="C371" s="8" t="str">
        <f t="shared" si="51"/>
        <v>Unique</v>
      </c>
      <c r="D371" s="9">
        <v>45680</v>
      </c>
      <c r="E371" s="8">
        <f t="shared" si="52"/>
        <v>7</v>
      </c>
      <c r="F371" s="10">
        <v>45687</v>
      </c>
      <c r="G371" s="8" t="s">
        <v>1228</v>
      </c>
      <c r="H371" s="8" t="s">
        <v>112</v>
      </c>
      <c r="I371" s="8" t="str">
        <f t="shared" si="59"/>
        <v>Priya Menon</v>
      </c>
      <c r="J371" s="8" t="s">
        <v>22</v>
      </c>
      <c r="K371" s="8" t="str">
        <f t="shared" si="53"/>
        <v>Consumer</v>
      </c>
      <c r="L371" s="8" t="s">
        <v>23</v>
      </c>
      <c r="M371" s="8" t="str">
        <f t="shared" si="54"/>
        <v>North</v>
      </c>
      <c r="N371" s="8" t="s">
        <v>349</v>
      </c>
      <c r="O371" s="8" t="str">
        <f t="shared" si="55"/>
        <v>Delhi</v>
      </c>
      <c r="P371" s="8" t="s">
        <v>350</v>
      </c>
      <c r="Q371" s="8" t="str">
        <f t="shared" si="56"/>
        <v>New Delhi</v>
      </c>
      <c r="R371" s="8" t="s">
        <v>26</v>
      </c>
      <c r="S371" s="8" t="str">
        <f t="shared" si="57"/>
        <v>Office Supplies</v>
      </c>
      <c r="T371" s="8" t="s">
        <v>89</v>
      </c>
      <c r="U371" s="8" t="str">
        <f t="shared" si="58"/>
        <v>Labels</v>
      </c>
      <c r="V371" s="8" t="s">
        <v>1229</v>
      </c>
    </row>
    <row r="372" spans="1:22">
      <c r="A372" s="8" t="s">
        <v>1230</v>
      </c>
      <c r="B372" s="8">
        <f t="shared" si="50"/>
        <v>1</v>
      </c>
      <c r="C372" s="8" t="str">
        <f t="shared" si="51"/>
        <v>Unique</v>
      </c>
      <c r="D372" s="9">
        <v>45519</v>
      </c>
      <c r="E372" s="8">
        <f t="shared" si="52"/>
        <v>6</v>
      </c>
      <c r="F372" s="10">
        <v>45525</v>
      </c>
      <c r="G372" s="8" t="s">
        <v>1231</v>
      </c>
      <c r="H372" s="8" t="s">
        <v>60</v>
      </c>
      <c r="I372" s="8" t="str">
        <f t="shared" si="59"/>
        <v>Ananya Rao</v>
      </c>
      <c r="J372" s="8" t="s">
        <v>35</v>
      </c>
      <c r="K372" s="8" t="str">
        <f t="shared" si="53"/>
        <v>Small Business</v>
      </c>
      <c r="L372" s="8" t="s">
        <v>61</v>
      </c>
      <c r="M372" s="8" t="str">
        <f t="shared" si="54"/>
        <v>West</v>
      </c>
      <c r="N372" s="8" t="s">
        <v>24</v>
      </c>
      <c r="O372" s="8" t="str">
        <f t="shared" si="55"/>
        <v>Rajasthan</v>
      </c>
      <c r="P372" s="8" t="s">
        <v>107</v>
      </c>
      <c r="Q372" s="8" t="str">
        <f t="shared" si="56"/>
        <v>Udaipur</v>
      </c>
      <c r="R372" s="8" t="s">
        <v>72</v>
      </c>
      <c r="S372" s="8" t="str">
        <f t="shared" si="57"/>
        <v>Technology</v>
      </c>
      <c r="T372" s="8" t="s">
        <v>78</v>
      </c>
      <c r="U372" s="8" t="str">
        <f t="shared" si="58"/>
        <v>Copiers</v>
      </c>
      <c r="V372" s="8" t="s">
        <v>1232</v>
      </c>
    </row>
    <row r="373" spans="1:22">
      <c r="A373" s="8" t="s">
        <v>1233</v>
      </c>
      <c r="B373" s="8">
        <f t="shared" si="50"/>
        <v>1</v>
      </c>
      <c r="C373" s="8" t="str">
        <f t="shared" si="51"/>
        <v>Unique</v>
      </c>
      <c r="D373" s="9">
        <v>45313</v>
      </c>
      <c r="E373" s="8">
        <f t="shared" si="52"/>
        <v>2</v>
      </c>
      <c r="F373" s="10">
        <v>45315</v>
      </c>
      <c r="G373" s="8" t="s">
        <v>1234</v>
      </c>
      <c r="H373" s="8" t="s">
        <v>160</v>
      </c>
      <c r="I373" s="8" t="str">
        <f t="shared" si="59"/>
        <v>Diya Patel</v>
      </c>
      <c r="J373" s="8" t="s">
        <v>93</v>
      </c>
      <c r="K373" s="8" t="str">
        <f t="shared" si="53"/>
        <v>Home Office</v>
      </c>
      <c r="L373" s="8" t="s">
        <v>61</v>
      </c>
      <c r="M373" s="8" t="str">
        <f t="shared" si="54"/>
        <v>West</v>
      </c>
      <c r="N373" s="8" t="s">
        <v>62</v>
      </c>
      <c r="O373" s="8" t="str">
        <f t="shared" si="55"/>
        <v>Maharashtra</v>
      </c>
      <c r="P373" s="8" t="s">
        <v>63</v>
      </c>
      <c r="Q373" s="8" t="str">
        <f t="shared" si="56"/>
        <v>Mumbai</v>
      </c>
      <c r="R373" s="8" t="s">
        <v>26</v>
      </c>
      <c r="S373" s="8" t="str">
        <f t="shared" si="57"/>
        <v>Office Supplies</v>
      </c>
      <c r="T373" s="8" t="s">
        <v>46</v>
      </c>
      <c r="U373" s="8" t="str">
        <f t="shared" si="58"/>
        <v>Art</v>
      </c>
      <c r="V373" s="8" t="s">
        <v>1235</v>
      </c>
    </row>
    <row r="374" spans="1:22">
      <c r="A374" s="8" t="s">
        <v>1236</v>
      </c>
      <c r="B374" s="8">
        <f t="shared" si="50"/>
        <v>1</v>
      </c>
      <c r="C374" s="8" t="str">
        <f t="shared" si="51"/>
        <v>Unique</v>
      </c>
      <c r="D374" s="9">
        <v>45885</v>
      </c>
      <c r="E374" s="8">
        <f t="shared" si="52"/>
        <v>2</v>
      </c>
      <c r="F374" s="10">
        <v>45887</v>
      </c>
      <c r="G374" s="8" t="s">
        <v>648</v>
      </c>
      <c r="H374" s="8" t="s">
        <v>263</v>
      </c>
      <c r="I374" s="8" t="str">
        <f t="shared" si="59"/>
        <v>Kabir Singh</v>
      </c>
      <c r="J374" s="8" t="s">
        <v>22</v>
      </c>
      <c r="K374" s="8" t="str">
        <f t="shared" si="53"/>
        <v>Consumer</v>
      </c>
      <c r="L374" s="8" t="s">
        <v>36</v>
      </c>
      <c r="M374" s="8" t="str">
        <f t="shared" si="54"/>
        <v>East</v>
      </c>
      <c r="N374" s="8" t="s">
        <v>227</v>
      </c>
      <c r="O374" s="8" t="str">
        <f t="shared" si="55"/>
        <v>Jharkhand</v>
      </c>
      <c r="P374" s="8" t="s">
        <v>228</v>
      </c>
      <c r="Q374" s="8" t="str">
        <f t="shared" si="56"/>
        <v>Ranchi</v>
      </c>
      <c r="R374" s="8" t="s">
        <v>39</v>
      </c>
      <c r="S374" s="8" t="str">
        <f t="shared" si="57"/>
        <v>Furniture</v>
      </c>
      <c r="T374" s="8" t="s">
        <v>64</v>
      </c>
      <c r="U374" s="8" t="str">
        <f t="shared" si="58"/>
        <v>Chairs</v>
      </c>
      <c r="V374" s="8" t="s">
        <v>1237</v>
      </c>
    </row>
    <row r="375" spans="1:22">
      <c r="A375" s="8" t="s">
        <v>1238</v>
      </c>
      <c r="B375" s="8">
        <f t="shared" si="50"/>
        <v>2</v>
      </c>
      <c r="C375" s="8" t="str">
        <f t="shared" si="51"/>
        <v>Review Duplicate ID</v>
      </c>
      <c r="D375" s="9">
        <v>45760</v>
      </c>
      <c r="E375" s="8">
        <f t="shared" si="52"/>
        <v>0</v>
      </c>
      <c r="F375" s="10">
        <v>45760</v>
      </c>
      <c r="G375" s="8" t="s">
        <v>1239</v>
      </c>
      <c r="H375" s="8" t="s">
        <v>130</v>
      </c>
      <c r="I375" s="8" t="str">
        <f t="shared" si="59"/>
        <v>Sneha Kapoor</v>
      </c>
      <c r="J375" s="8" t="s">
        <v>35</v>
      </c>
      <c r="K375" s="8" t="str">
        <f t="shared" si="53"/>
        <v>Small Business</v>
      </c>
      <c r="L375" s="8" t="s">
        <v>23</v>
      </c>
      <c r="M375" s="8" t="str">
        <f t="shared" si="54"/>
        <v>North</v>
      </c>
      <c r="N375" s="8" t="s">
        <v>134</v>
      </c>
      <c r="O375" s="8" t="str">
        <f t="shared" si="55"/>
        <v>Uttar Pradesh</v>
      </c>
      <c r="P375" s="8" t="s">
        <v>135</v>
      </c>
      <c r="Q375" s="8" t="str">
        <f t="shared" si="56"/>
        <v>Noida</v>
      </c>
      <c r="R375" s="8" t="s">
        <v>26</v>
      </c>
      <c r="S375" s="8" t="str">
        <f t="shared" si="57"/>
        <v>Office Supplies</v>
      </c>
      <c r="T375" s="8" t="s">
        <v>122</v>
      </c>
      <c r="U375" s="8" t="str">
        <f t="shared" si="58"/>
        <v>Storage</v>
      </c>
      <c r="V375" s="8" t="s">
        <v>1240</v>
      </c>
    </row>
    <row r="376" spans="1:22">
      <c r="A376" s="8" t="s">
        <v>1241</v>
      </c>
      <c r="B376" s="8">
        <f t="shared" si="50"/>
        <v>1</v>
      </c>
      <c r="C376" s="8" t="str">
        <f t="shared" si="51"/>
        <v>Unique</v>
      </c>
      <c r="D376" s="9">
        <v>45715</v>
      </c>
      <c r="E376" s="8">
        <f t="shared" si="52"/>
        <v>1</v>
      </c>
      <c r="F376" s="10">
        <v>45716</v>
      </c>
      <c r="G376" s="8" t="s">
        <v>1242</v>
      </c>
      <c r="H376" s="8" t="s">
        <v>87</v>
      </c>
      <c r="I376" s="8" t="str">
        <f t="shared" si="59"/>
        <v>Aditi Sen</v>
      </c>
      <c r="J376" s="8" t="s">
        <v>35</v>
      </c>
      <c r="K376" s="8" t="str">
        <f t="shared" si="53"/>
        <v>Small Business</v>
      </c>
      <c r="L376" s="8" t="s">
        <v>23</v>
      </c>
      <c r="M376" s="8" t="str">
        <f t="shared" si="54"/>
        <v>North</v>
      </c>
      <c r="N376" s="8" t="s">
        <v>134</v>
      </c>
      <c r="O376" s="8" t="str">
        <f t="shared" si="55"/>
        <v>Uttar Pradesh</v>
      </c>
      <c r="P376" s="8" t="s">
        <v>135</v>
      </c>
      <c r="Q376" s="8" t="str">
        <f t="shared" si="56"/>
        <v>Noida</v>
      </c>
      <c r="R376" s="8" t="s">
        <v>26</v>
      </c>
      <c r="S376" s="8" t="str">
        <f t="shared" si="57"/>
        <v>Office Supplies</v>
      </c>
      <c r="T376" s="8" t="s">
        <v>89</v>
      </c>
      <c r="U376" s="8" t="str">
        <f t="shared" si="58"/>
        <v>Labels</v>
      </c>
      <c r="V376" s="8" t="s">
        <v>1243</v>
      </c>
    </row>
    <row r="377" spans="1:22">
      <c r="A377" s="8" t="s">
        <v>1244</v>
      </c>
      <c r="B377" s="8">
        <f t="shared" si="50"/>
        <v>1</v>
      </c>
      <c r="C377" s="8" t="str">
        <f t="shared" si="51"/>
        <v>Unique</v>
      </c>
      <c r="D377" s="9">
        <v>45657</v>
      </c>
      <c r="E377" s="8">
        <f t="shared" si="52"/>
        <v>91</v>
      </c>
      <c r="F377" s="10">
        <v>45748</v>
      </c>
      <c r="G377" s="8" t="s">
        <v>1245</v>
      </c>
      <c r="H377" s="8" t="s">
        <v>69</v>
      </c>
      <c r="I377" s="8" t="str">
        <f t="shared" si="59"/>
        <v>Vikram Iyer</v>
      </c>
      <c r="J377" s="8" t="s">
        <v>22</v>
      </c>
      <c r="K377" s="8" t="str">
        <f t="shared" si="53"/>
        <v>Consumer</v>
      </c>
      <c r="L377" s="8" t="s">
        <v>23</v>
      </c>
      <c r="M377" s="8" t="str">
        <f t="shared" si="54"/>
        <v>North</v>
      </c>
      <c r="N377" s="8" t="s">
        <v>349</v>
      </c>
      <c r="O377" s="8" t="str">
        <f t="shared" si="55"/>
        <v>Delhi</v>
      </c>
      <c r="P377" s="8" t="s">
        <v>350</v>
      </c>
      <c r="Q377" s="8" t="str">
        <f t="shared" si="56"/>
        <v>New Delhi</v>
      </c>
      <c r="R377" s="8" t="s">
        <v>39</v>
      </c>
      <c r="S377" s="8" t="str">
        <f t="shared" si="57"/>
        <v>Furniture</v>
      </c>
      <c r="T377" s="8" t="s">
        <v>64</v>
      </c>
      <c r="U377" s="8" t="str">
        <f t="shared" si="58"/>
        <v>Chairs</v>
      </c>
      <c r="V377" s="8" t="s">
        <v>1246</v>
      </c>
    </row>
    <row r="378" spans="1:22">
      <c r="A378" s="8" t="s">
        <v>1247</v>
      </c>
      <c r="B378" s="8">
        <f t="shared" si="50"/>
        <v>1</v>
      </c>
      <c r="C378" s="8" t="str">
        <f t="shared" si="51"/>
        <v>Unique</v>
      </c>
      <c r="D378" s="9">
        <v>45655</v>
      </c>
      <c r="E378" s="8">
        <f t="shared" si="52"/>
        <v>2</v>
      </c>
      <c r="F378" s="10">
        <v>45657</v>
      </c>
      <c r="G378" s="8" t="s">
        <v>1248</v>
      </c>
      <c r="H378" s="8" t="s">
        <v>45</v>
      </c>
      <c r="I378" s="8" t="str">
        <f t="shared" si="59"/>
        <v>Isha Nair</v>
      </c>
      <c r="J378" s="8" t="s">
        <v>35</v>
      </c>
      <c r="K378" s="8" t="str">
        <f t="shared" si="53"/>
        <v>Small Business</v>
      </c>
      <c r="L378" s="8" t="s">
        <v>36</v>
      </c>
      <c r="M378" s="8" t="str">
        <f t="shared" si="54"/>
        <v>East</v>
      </c>
      <c r="N378" s="8" t="s">
        <v>143</v>
      </c>
      <c r="O378" s="8" t="str">
        <f t="shared" si="55"/>
        <v>Bihar</v>
      </c>
      <c r="P378" s="8" t="s">
        <v>144</v>
      </c>
      <c r="Q378" s="8" t="str">
        <f t="shared" si="56"/>
        <v>Patna</v>
      </c>
      <c r="R378" s="8" t="s">
        <v>39</v>
      </c>
      <c r="S378" s="8" t="str">
        <f t="shared" si="57"/>
        <v>Furniture</v>
      </c>
      <c r="T378" s="8" t="s">
        <v>64</v>
      </c>
      <c r="U378" s="8" t="str">
        <f t="shared" si="58"/>
        <v>Chairs</v>
      </c>
      <c r="V378" s="8" t="s">
        <v>1249</v>
      </c>
    </row>
    <row r="379" spans="1:22">
      <c r="A379" s="8" t="s">
        <v>1250</v>
      </c>
      <c r="B379" s="8">
        <f t="shared" si="50"/>
        <v>2</v>
      </c>
      <c r="C379" s="8" t="str">
        <f t="shared" si="51"/>
        <v>Review Duplicate ID</v>
      </c>
      <c r="D379" s="9">
        <v>45801</v>
      </c>
      <c r="E379" s="8">
        <f t="shared" si="52"/>
        <v>6</v>
      </c>
      <c r="F379" s="10">
        <v>45807</v>
      </c>
      <c r="G379" s="8" t="s">
        <v>1251</v>
      </c>
      <c r="H379" s="8" t="s">
        <v>263</v>
      </c>
      <c r="I379" s="8" t="str">
        <f t="shared" si="59"/>
        <v>Kabir Singh</v>
      </c>
      <c r="J379" s="8" t="s">
        <v>35</v>
      </c>
      <c r="K379" s="8" t="str">
        <f t="shared" si="53"/>
        <v>Small Business</v>
      </c>
      <c r="L379" s="8" t="s">
        <v>36</v>
      </c>
      <c r="M379" s="8" t="str">
        <f t="shared" si="54"/>
        <v>East</v>
      </c>
      <c r="N379" s="8" t="s">
        <v>37</v>
      </c>
      <c r="O379" s="8" t="str">
        <f t="shared" si="55"/>
        <v>Odisha</v>
      </c>
      <c r="P379" s="8" t="s">
        <v>38</v>
      </c>
      <c r="Q379" s="8" t="str">
        <f t="shared" si="56"/>
        <v>Bhubaneswar</v>
      </c>
      <c r="R379" s="8" t="s">
        <v>26</v>
      </c>
      <c r="S379" s="8" t="str">
        <f t="shared" si="57"/>
        <v>Office Supplies</v>
      </c>
      <c r="T379" s="8" t="s">
        <v>1252</v>
      </c>
      <c r="U379" s="8" t="str">
        <f t="shared" si="58"/>
        <v>Storage</v>
      </c>
      <c r="V379" s="8" t="s">
        <v>1253</v>
      </c>
    </row>
    <row r="380" spans="1:22">
      <c r="A380" s="8" t="s">
        <v>1254</v>
      </c>
      <c r="B380" s="8">
        <f t="shared" si="50"/>
        <v>1</v>
      </c>
      <c r="C380" s="8" t="str">
        <f t="shared" si="51"/>
        <v>Unique</v>
      </c>
      <c r="D380" s="9">
        <v>45799</v>
      </c>
      <c r="E380" s="8">
        <f t="shared" si="52"/>
        <v>0</v>
      </c>
      <c r="F380" s="10">
        <v>45799</v>
      </c>
      <c r="G380" s="8" t="s">
        <v>1255</v>
      </c>
      <c r="H380" s="8" t="s">
        <v>34</v>
      </c>
      <c r="I380" s="8" t="str">
        <f t="shared" si="59"/>
        <v>Mira Das</v>
      </c>
      <c r="J380" s="8" t="s">
        <v>22</v>
      </c>
      <c r="K380" s="8" t="str">
        <f t="shared" si="53"/>
        <v>Consumer</v>
      </c>
      <c r="L380" s="8" t="s">
        <v>61</v>
      </c>
      <c r="M380" s="8" t="str">
        <f t="shared" si="54"/>
        <v>West</v>
      </c>
      <c r="N380" s="8" t="s">
        <v>188</v>
      </c>
      <c r="O380" s="8" t="str">
        <f t="shared" si="55"/>
        <v>Goa</v>
      </c>
      <c r="P380" s="8" t="s">
        <v>189</v>
      </c>
      <c r="Q380" s="8" t="str">
        <f t="shared" si="56"/>
        <v>Panaji</v>
      </c>
      <c r="R380" s="8" t="s">
        <v>72</v>
      </c>
      <c r="S380" s="8" t="str">
        <f t="shared" si="57"/>
        <v>Technology</v>
      </c>
      <c r="T380" s="8" t="s">
        <v>73</v>
      </c>
      <c r="U380" s="8" t="str">
        <f t="shared" si="58"/>
        <v>Accessories</v>
      </c>
      <c r="V380" s="8" t="s">
        <v>1256</v>
      </c>
    </row>
    <row r="381" spans="1:22">
      <c r="A381" s="8" t="s">
        <v>1257</v>
      </c>
      <c r="B381" s="8">
        <f t="shared" si="50"/>
        <v>1</v>
      </c>
      <c r="C381" s="8" t="str">
        <f t="shared" si="51"/>
        <v>Unique</v>
      </c>
      <c r="D381" s="9">
        <v>45554</v>
      </c>
      <c r="E381" s="8">
        <f t="shared" si="52"/>
        <v>4</v>
      </c>
      <c r="F381" s="10">
        <v>45558</v>
      </c>
      <c r="G381" s="8" t="s">
        <v>1258</v>
      </c>
      <c r="H381" s="8" t="s">
        <v>34</v>
      </c>
      <c r="I381" s="8" t="str">
        <f t="shared" si="59"/>
        <v>Mira Das</v>
      </c>
      <c r="J381" s="8" t="s">
        <v>35</v>
      </c>
      <c r="K381" s="8" t="str">
        <f t="shared" si="53"/>
        <v>Small Business</v>
      </c>
      <c r="L381" s="8" t="s">
        <v>52</v>
      </c>
      <c r="M381" s="8" t="str">
        <f t="shared" si="54"/>
        <v>South</v>
      </c>
      <c r="N381" s="8" t="s">
        <v>183</v>
      </c>
      <c r="O381" s="8" t="str">
        <f t="shared" si="55"/>
        <v>Kerala</v>
      </c>
      <c r="P381" s="8" t="s">
        <v>184</v>
      </c>
      <c r="Q381" s="8" t="str">
        <f t="shared" si="56"/>
        <v>Kochi</v>
      </c>
      <c r="R381" s="8" t="s">
        <v>26</v>
      </c>
      <c r="S381" s="8" t="str">
        <f t="shared" si="57"/>
        <v>Office Supplies</v>
      </c>
      <c r="T381" s="8" t="s">
        <v>27</v>
      </c>
      <c r="U381" s="8" t="str">
        <f t="shared" si="58"/>
        <v>Paper</v>
      </c>
      <c r="V381" s="8" t="s">
        <v>1259</v>
      </c>
    </row>
    <row r="382" spans="1:22">
      <c r="A382" s="8" t="s">
        <v>1260</v>
      </c>
      <c r="B382" s="8">
        <f t="shared" si="50"/>
        <v>1</v>
      </c>
      <c r="C382" s="8" t="str">
        <f t="shared" si="51"/>
        <v>Unique</v>
      </c>
      <c r="D382" s="9">
        <v>45477</v>
      </c>
      <c r="E382" s="8">
        <f t="shared" si="52"/>
        <v>-81</v>
      </c>
      <c r="F382" s="10">
        <v>45396</v>
      </c>
      <c r="G382" s="8" t="s">
        <v>1261</v>
      </c>
      <c r="H382" s="8" t="s">
        <v>69</v>
      </c>
      <c r="I382" s="8" t="str">
        <f t="shared" si="59"/>
        <v>Vikram Iyer</v>
      </c>
      <c r="J382" s="8" t="s">
        <v>22</v>
      </c>
      <c r="K382" s="8" t="str">
        <f t="shared" si="53"/>
        <v>Consumer</v>
      </c>
      <c r="L382" s="8" t="s">
        <v>61</v>
      </c>
      <c r="M382" s="8" t="str">
        <f t="shared" si="54"/>
        <v>West</v>
      </c>
      <c r="N382" s="8" t="s">
        <v>62</v>
      </c>
      <c r="O382" s="8" t="str">
        <f t="shared" si="55"/>
        <v>Maharashtra</v>
      </c>
      <c r="P382" s="8" t="s">
        <v>63</v>
      </c>
      <c r="Q382" s="8" t="str">
        <f t="shared" si="56"/>
        <v>Mumbai</v>
      </c>
      <c r="R382" s="8" t="s">
        <v>39</v>
      </c>
      <c r="S382" s="8" t="str">
        <f t="shared" si="57"/>
        <v>Furniture</v>
      </c>
      <c r="T382" s="8" t="s">
        <v>156</v>
      </c>
      <c r="U382" s="8" t="str">
        <f t="shared" si="58"/>
        <v>Bookcases</v>
      </c>
      <c r="V382" s="8" t="s">
        <v>1262</v>
      </c>
    </row>
    <row r="383" spans="1:22">
      <c r="A383" s="8" t="s">
        <v>1263</v>
      </c>
      <c r="B383" s="8">
        <f t="shared" si="50"/>
        <v>1</v>
      </c>
      <c r="C383" s="8" t="str">
        <f t="shared" si="51"/>
        <v>Unique</v>
      </c>
      <c r="D383" s="9">
        <v>45919</v>
      </c>
      <c r="E383" s="8">
        <f t="shared" si="52"/>
        <v>4</v>
      </c>
      <c r="F383" s="10">
        <v>45923</v>
      </c>
      <c r="G383" s="8" t="s">
        <v>1264</v>
      </c>
      <c r="H383" s="8" t="s">
        <v>51</v>
      </c>
      <c r="I383" s="8" t="str">
        <f t="shared" si="59"/>
        <v>Arjun Bose</v>
      </c>
      <c r="J383" s="8" t="s">
        <v>1265</v>
      </c>
      <c r="K383" s="8" t="str">
        <f t="shared" si="53"/>
        <v>Home Office</v>
      </c>
      <c r="L383" s="8" t="s">
        <v>23</v>
      </c>
      <c r="M383" s="8" t="str">
        <f t="shared" si="54"/>
        <v>North</v>
      </c>
      <c r="N383" s="8" t="s">
        <v>349</v>
      </c>
      <c r="O383" s="8" t="str">
        <f t="shared" si="55"/>
        <v>Delhi</v>
      </c>
      <c r="P383" s="8" t="s">
        <v>350</v>
      </c>
      <c r="Q383" s="8" t="str">
        <f t="shared" si="56"/>
        <v>New Delhi</v>
      </c>
      <c r="R383" s="8" t="s">
        <v>26</v>
      </c>
      <c r="S383" s="8" t="str">
        <f t="shared" si="57"/>
        <v>Office Supplies</v>
      </c>
      <c r="T383" s="8" t="s">
        <v>151</v>
      </c>
      <c r="U383" s="8" t="str">
        <f t="shared" si="58"/>
        <v>Binders</v>
      </c>
      <c r="V383" s="8" t="s">
        <v>1266</v>
      </c>
    </row>
    <row r="384" spans="1:22">
      <c r="A384" s="8" t="s">
        <v>1267</v>
      </c>
      <c r="B384" s="8">
        <f t="shared" si="50"/>
        <v>1</v>
      </c>
      <c r="C384" s="8" t="str">
        <f t="shared" si="51"/>
        <v>Unique</v>
      </c>
      <c r="D384" s="9">
        <v>45750</v>
      </c>
      <c r="E384" s="8">
        <f t="shared" si="52"/>
        <v>-26</v>
      </c>
      <c r="F384" s="10">
        <v>45724</v>
      </c>
      <c r="G384" s="8" t="s">
        <v>155</v>
      </c>
      <c r="H384" s="8" t="s">
        <v>51</v>
      </c>
      <c r="I384" s="8" t="str">
        <f t="shared" si="59"/>
        <v>Arjun Bose</v>
      </c>
      <c r="J384" s="8" t="s">
        <v>35</v>
      </c>
      <c r="K384" s="8" t="str">
        <f t="shared" si="53"/>
        <v>Small Business</v>
      </c>
      <c r="L384" s="8" t="s">
        <v>36</v>
      </c>
      <c r="M384" s="8" t="str">
        <f t="shared" si="54"/>
        <v>East</v>
      </c>
      <c r="N384" s="8" t="s">
        <v>143</v>
      </c>
      <c r="O384" s="8" t="str">
        <f t="shared" si="55"/>
        <v>Bihar</v>
      </c>
      <c r="P384" s="8" t="s">
        <v>144</v>
      </c>
      <c r="Q384" s="8" t="str">
        <f t="shared" si="56"/>
        <v>Patna</v>
      </c>
      <c r="R384" s="8" t="s">
        <v>1268</v>
      </c>
      <c r="S384" s="8" t="str">
        <f t="shared" si="57"/>
        <v>Technology</v>
      </c>
      <c r="T384" s="8" t="s">
        <v>169</v>
      </c>
      <c r="U384" s="8" t="str">
        <f t="shared" si="58"/>
        <v>Phones</v>
      </c>
      <c r="V384" s="8" t="s">
        <v>1269</v>
      </c>
    </row>
    <row r="385" spans="1:22">
      <c r="A385" s="8" t="s">
        <v>1270</v>
      </c>
      <c r="B385" s="8">
        <f t="shared" si="50"/>
        <v>1</v>
      </c>
      <c r="C385" s="8" t="str">
        <f t="shared" si="51"/>
        <v>Unique</v>
      </c>
      <c r="D385" s="9">
        <v>45836</v>
      </c>
      <c r="E385" s="8">
        <f t="shared" si="52"/>
        <v>-52</v>
      </c>
      <c r="F385" s="10">
        <v>45784</v>
      </c>
      <c r="G385" s="8" t="s">
        <v>1271</v>
      </c>
      <c r="H385" s="8" t="s">
        <v>69</v>
      </c>
      <c r="I385" s="8" t="str">
        <f t="shared" si="59"/>
        <v>Vikram Iyer</v>
      </c>
      <c r="J385" s="8" t="s">
        <v>88</v>
      </c>
      <c r="K385" s="8" t="str">
        <f t="shared" si="53"/>
        <v>Corporate</v>
      </c>
      <c r="L385" s="8" t="s">
        <v>36</v>
      </c>
      <c r="M385" s="8" t="str">
        <f t="shared" si="54"/>
        <v>East</v>
      </c>
      <c r="N385" s="8" t="s">
        <v>97</v>
      </c>
      <c r="O385" s="8" t="str">
        <f t="shared" si="55"/>
        <v>West Bengal</v>
      </c>
      <c r="P385" s="8" t="s">
        <v>98</v>
      </c>
      <c r="Q385" s="8" t="str">
        <f t="shared" si="56"/>
        <v>Kolkata</v>
      </c>
      <c r="R385" s="8" t="s">
        <v>26</v>
      </c>
      <c r="S385" s="8" t="str">
        <f t="shared" si="57"/>
        <v>Office Supplies</v>
      </c>
      <c r="T385" s="8" t="s">
        <v>46</v>
      </c>
      <c r="U385" s="8" t="str">
        <f t="shared" si="58"/>
        <v>Art</v>
      </c>
      <c r="V385" s="8" t="s">
        <v>1272</v>
      </c>
    </row>
    <row r="386" spans="1:22">
      <c r="A386" s="8" t="s">
        <v>1273</v>
      </c>
      <c r="B386" s="8">
        <f t="shared" si="50"/>
        <v>1</v>
      </c>
      <c r="C386" s="8" t="str">
        <f t="shared" si="51"/>
        <v>Unique</v>
      </c>
      <c r="D386" s="9">
        <v>45366</v>
      </c>
      <c r="E386" s="8">
        <f t="shared" si="52"/>
        <v>5</v>
      </c>
      <c r="F386" s="10">
        <v>45371</v>
      </c>
      <c r="G386" s="8" t="s">
        <v>1274</v>
      </c>
      <c r="H386" s="8" t="s">
        <v>139</v>
      </c>
      <c r="I386" s="8" t="str">
        <f t="shared" si="59"/>
        <v>Rohan Mehta</v>
      </c>
      <c r="J386" s="8" t="s">
        <v>22</v>
      </c>
      <c r="K386" s="8" t="str">
        <f t="shared" si="53"/>
        <v>Consumer</v>
      </c>
      <c r="L386" s="8" t="s">
        <v>36</v>
      </c>
      <c r="M386" s="8" t="str">
        <f t="shared" si="54"/>
        <v>East</v>
      </c>
      <c r="N386" s="8" t="s">
        <v>227</v>
      </c>
      <c r="O386" s="8" t="str">
        <f t="shared" si="55"/>
        <v>Jharkhand</v>
      </c>
      <c r="P386" s="8" t="s">
        <v>228</v>
      </c>
      <c r="Q386" s="8" t="str">
        <f t="shared" si="56"/>
        <v>Ranchi</v>
      </c>
      <c r="R386" s="8" t="s">
        <v>72</v>
      </c>
      <c r="S386" s="8" t="str">
        <f t="shared" si="57"/>
        <v>Technology</v>
      </c>
      <c r="T386" s="8" t="s">
        <v>78</v>
      </c>
      <c r="U386" s="8" t="str">
        <f t="shared" si="58"/>
        <v>Copiers</v>
      </c>
      <c r="V386" s="8" t="s">
        <v>1275</v>
      </c>
    </row>
    <row r="387" spans="1:22">
      <c r="A387" s="8" t="s">
        <v>1276</v>
      </c>
      <c r="B387" s="8">
        <f t="shared" ref="B387:B450" si="60">COUNTIF($A:$A,A387)</f>
        <v>1</v>
      </c>
      <c r="C387" s="8" t="str">
        <f t="shared" ref="C387:C450" si="61">IF(B387&gt;1,"Review Duplicate ID","Unique")</f>
        <v>Unique</v>
      </c>
      <c r="D387" s="9">
        <v>45832</v>
      </c>
      <c r="E387" s="8">
        <f t="shared" ref="E387:E450" si="62">F387-D387</f>
        <v>6</v>
      </c>
      <c r="F387" s="10">
        <v>45838</v>
      </c>
      <c r="G387" s="8" t="s">
        <v>1277</v>
      </c>
      <c r="H387" s="8" t="s">
        <v>51</v>
      </c>
      <c r="I387" s="8" t="str">
        <f t="shared" si="59"/>
        <v>Arjun Bose</v>
      </c>
      <c r="J387" s="8" t="s">
        <v>22</v>
      </c>
      <c r="K387" s="8" t="str">
        <f t="shared" ref="K387:K450" si="63">PROPER(TRIM(J387))</f>
        <v>Consumer</v>
      </c>
      <c r="L387" s="8" t="s">
        <v>23</v>
      </c>
      <c r="M387" s="8" t="str">
        <f t="shared" ref="M387:M450" si="64">PROPER(TRIM(L387))</f>
        <v>North</v>
      </c>
      <c r="N387" s="8" t="s">
        <v>235</v>
      </c>
      <c r="O387" s="8" t="str">
        <f t="shared" ref="O387:O450" si="65">PROPER(TRIM(N387))</f>
        <v>Haryana</v>
      </c>
      <c r="P387" s="8" t="s">
        <v>236</v>
      </c>
      <c r="Q387" s="8" t="str">
        <f t="shared" ref="Q387:Q450" si="66">PROPER(TRIM(P387))</f>
        <v>Gurugram</v>
      </c>
      <c r="R387" s="8" t="s">
        <v>26</v>
      </c>
      <c r="S387" s="8" t="str">
        <f t="shared" ref="S387:S450" si="67">PROPER(TRIM(R387))</f>
        <v>Office Supplies</v>
      </c>
      <c r="T387" s="8" t="s">
        <v>89</v>
      </c>
      <c r="U387" s="8" t="str">
        <f t="shared" ref="U387:U450" si="68">PROPER(TRIM(T387))</f>
        <v>Labels</v>
      </c>
      <c r="V387" s="8" t="s">
        <v>1278</v>
      </c>
    </row>
    <row r="388" spans="1:22">
      <c r="A388" s="8" t="s">
        <v>1279</v>
      </c>
      <c r="B388" s="8">
        <f t="shared" si="60"/>
        <v>1</v>
      </c>
      <c r="C388" s="8" t="str">
        <f t="shared" si="61"/>
        <v>Unique</v>
      </c>
      <c r="D388" s="9">
        <v>45700</v>
      </c>
      <c r="E388" s="8">
        <f t="shared" si="62"/>
        <v>2</v>
      </c>
      <c r="F388" s="10">
        <v>45702</v>
      </c>
      <c r="G388" s="8" t="s">
        <v>1280</v>
      </c>
      <c r="H388" s="8" t="s">
        <v>130</v>
      </c>
      <c r="I388" s="8" t="str">
        <f t="shared" ref="I388:I451" si="69">PROPER(TRIM(H388))</f>
        <v>Sneha Kapoor</v>
      </c>
      <c r="J388" s="8" t="s">
        <v>22</v>
      </c>
      <c r="K388" s="8" t="str">
        <f t="shared" si="63"/>
        <v>Consumer</v>
      </c>
      <c r="L388" s="8" t="s">
        <v>61</v>
      </c>
      <c r="M388" s="8" t="str">
        <f t="shared" si="64"/>
        <v>West</v>
      </c>
      <c r="N388" s="8" t="s">
        <v>62</v>
      </c>
      <c r="O388" s="8" t="str">
        <f t="shared" si="65"/>
        <v>Maharashtra</v>
      </c>
      <c r="P388" s="8" t="s">
        <v>63</v>
      </c>
      <c r="Q388" s="8" t="str">
        <f t="shared" si="66"/>
        <v>Mumbai</v>
      </c>
      <c r="R388" s="8" t="s">
        <v>39</v>
      </c>
      <c r="S388" s="8" t="str">
        <f t="shared" si="67"/>
        <v>Furniture</v>
      </c>
      <c r="T388" s="8" t="s">
        <v>55</v>
      </c>
      <c r="U388" s="8" t="str">
        <f t="shared" si="68"/>
        <v>Furnishings</v>
      </c>
      <c r="V388" s="8" t="s">
        <v>1281</v>
      </c>
    </row>
    <row r="389" spans="1:22">
      <c r="A389" s="8" t="s">
        <v>1282</v>
      </c>
      <c r="B389" s="8">
        <f t="shared" si="60"/>
        <v>1</v>
      </c>
      <c r="C389" s="8" t="str">
        <f t="shared" si="61"/>
        <v>Unique</v>
      </c>
      <c r="D389" s="9">
        <v>45938</v>
      </c>
      <c r="E389" s="8">
        <f t="shared" si="62"/>
        <v>-56</v>
      </c>
      <c r="F389" s="10">
        <v>45882</v>
      </c>
      <c r="G389" s="8" t="s">
        <v>1283</v>
      </c>
      <c r="H389" s="8" t="s">
        <v>112</v>
      </c>
      <c r="I389" s="8" t="str">
        <f t="shared" si="69"/>
        <v>Priya Menon</v>
      </c>
      <c r="J389" s="8" t="s">
        <v>35</v>
      </c>
      <c r="K389" s="8" t="str">
        <f t="shared" si="63"/>
        <v>Small Business</v>
      </c>
      <c r="L389" s="8" t="s">
        <v>61</v>
      </c>
      <c r="M389" s="8" t="str">
        <f t="shared" si="64"/>
        <v>West</v>
      </c>
      <c r="N389" s="8" t="s">
        <v>70</v>
      </c>
      <c r="O389" s="8" t="str">
        <f t="shared" si="65"/>
        <v>Madhya Pradesh</v>
      </c>
      <c r="P389" s="8" t="s">
        <v>71</v>
      </c>
      <c r="Q389" s="8" t="str">
        <f t="shared" si="66"/>
        <v>Indore</v>
      </c>
      <c r="R389" s="8" t="s">
        <v>39</v>
      </c>
      <c r="S389" s="8" t="str">
        <f t="shared" si="67"/>
        <v>Furniture</v>
      </c>
      <c r="T389" s="8" t="s">
        <v>64</v>
      </c>
      <c r="U389" s="8" t="str">
        <f t="shared" si="68"/>
        <v>Chairs</v>
      </c>
      <c r="V389" s="8" t="s">
        <v>1284</v>
      </c>
    </row>
    <row r="390" spans="1:22">
      <c r="A390" s="8" t="s">
        <v>1285</v>
      </c>
      <c r="B390" s="8">
        <f t="shared" si="60"/>
        <v>1</v>
      </c>
      <c r="C390" s="8" t="str">
        <f t="shared" si="61"/>
        <v>Unique</v>
      </c>
      <c r="D390" s="9">
        <v>45425</v>
      </c>
      <c r="E390" s="8">
        <f t="shared" si="62"/>
        <v>5</v>
      </c>
      <c r="F390" s="10">
        <v>45430</v>
      </c>
      <c r="G390" s="8" t="s">
        <v>1286</v>
      </c>
      <c r="H390" s="8" t="s">
        <v>45</v>
      </c>
      <c r="I390" s="8" t="str">
        <f t="shared" si="69"/>
        <v>Isha Nair</v>
      </c>
      <c r="J390" s="8" t="s">
        <v>35</v>
      </c>
      <c r="K390" s="8" t="str">
        <f t="shared" si="63"/>
        <v>Small Business</v>
      </c>
      <c r="L390" s="8" t="s">
        <v>61</v>
      </c>
      <c r="M390" s="8" t="str">
        <f t="shared" si="64"/>
        <v>West</v>
      </c>
      <c r="N390" s="8" t="s">
        <v>178</v>
      </c>
      <c r="O390" s="8" t="str">
        <f t="shared" si="65"/>
        <v>Gujarat</v>
      </c>
      <c r="P390" s="8" t="s">
        <v>179</v>
      </c>
      <c r="Q390" s="8" t="str">
        <f t="shared" si="66"/>
        <v>Ahmedabad</v>
      </c>
      <c r="R390" s="8" t="s">
        <v>39</v>
      </c>
      <c r="S390" s="8" t="str">
        <f t="shared" si="67"/>
        <v>Furniture</v>
      </c>
      <c r="T390" s="8" t="s">
        <v>64</v>
      </c>
      <c r="U390" s="8" t="str">
        <f t="shared" si="68"/>
        <v>Chairs</v>
      </c>
      <c r="V390" s="8" t="s">
        <v>1287</v>
      </c>
    </row>
    <row r="391" spans="1:22">
      <c r="A391" s="8" t="s">
        <v>1288</v>
      </c>
      <c r="B391" s="8">
        <f t="shared" si="60"/>
        <v>1</v>
      </c>
      <c r="C391" s="8" t="str">
        <f t="shared" si="61"/>
        <v>Unique</v>
      </c>
      <c r="D391" s="9">
        <v>45416</v>
      </c>
      <c r="E391" s="8">
        <f t="shared" si="62"/>
        <v>-21</v>
      </c>
      <c r="F391" s="10">
        <v>45395</v>
      </c>
      <c r="G391" s="8" t="s">
        <v>1289</v>
      </c>
      <c r="H391" s="8" t="s">
        <v>160</v>
      </c>
      <c r="I391" s="8" t="str">
        <f t="shared" si="69"/>
        <v>Diya Patel</v>
      </c>
      <c r="J391" s="8" t="s">
        <v>88</v>
      </c>
      <c r="K391" s="8" t="str">
        <f t="shared" si="63"/>
        <v>Corporate</v>
      </c>
      <c r="L391" s="8" t="s">
        <v>61</v>
      </c>
      <c r="M391" s="8" t="str">
        <f t="shared" si="64"/>
        <v>West</v>
      </c>
      <c r="N391" s="8" t="s">
        <v>178</v>
      </c>
      <c r="O391" s="8" t="str">
        <f t="shared" si="65"/>
        <v>Gujarat</v>
      </c>
      <c r="P391" s="8" t="s">
        <v>179</v>
      </c>
      <c r="Q391" s="8" t="str">
        <f t="shared" si="66"/>
        <v>Ahmedabad</v>
      </c>
      <c r="R391" s="8" t="s">
        <v>72</v>
      </c>
      <c r="S391" s="8" t="str">
        <f t="shared" si="67"/>
        <v>Technology</v>
      </c>
      <c r="T391" s="8" t="s">
        <v>273</v>
      </c>
      <c r="U391" s="8" t="str">
        <f t="shared" si="68"/>
        <v>Machines</v>
      </c>
      <c r="V391" s="8" t="s">
        <v>1290</v>
      </c>
    </row>
    <row r="392" spans="1:22">
      <c r="A392" s="8" t="s">
        <v>1291</v>
      </c>
      <c r="B392" s="8">
        <f t="shared" si="60"/>
        <v>1</v>
      </c>
      <c r="C392" s="8" t="str">
        <f t="shared" si="61"/>
        <v>Unique</v>
      </c>
      <c r="D392" s="9">
        <v>45454</v>
      </c>
      <c r="E392" s="8">
        <f t="shared" si="62"/>
        <v>153</v>
      </c>
      <c r="F392" s="10">
        <v>45607</v>
      </c>
      <c r="G392" s="8" t="s">
        <v>1292</v>
      </c>
      <c r="H392" s="8" t="s">
        <v>45</v>
      </c>
      <c r="I392" s="8" t="str">
        <f t="shared" si="69"/>
        <v>Isha Nair</v>
      </c>
      <c r="J392" s="8" t="s">
        <v>22</v>
      </c>
      <c r="K392" s="8" t="str">
        <f t="shared" si="63"/>
        <v>Consumer</v>
      </c>
      <c r="L392" s="8" t="s">
        <v>61</v>
      </c>
      <c r="M392" s="8" t="str">
        <f t="shared" si="64"/>
        <v>West</v>
      </c>
      <c r="N392" s="8" t="s">
        <v>178</v>
      </c>
      <c r="O392" s="8" t="str">
        <f t="shared" si="65"/>
        <v>Gujarat</v>
      </c>
      <c r="P392" s="8" t="s">
        <v>179</v>
      </c>
      <c r="Q392" s="8" t="str">
        <f t="shared" si="66"/>
        <v>Ahmedabad</v>
      </c>
      <c r="R392" s="8" t="s">
        <v>39</v>
      </c>
      <c r="S392" s="8" t="str">
        <f t="shared" si="67"/>
        <v>Furniture</v>
      </c>
      <c r="T392" s="8" t="s">
        <v>55</v>
      </c>
      <c r="U392" s="8" t="str">
        <f t="shared" si="68"/>
        <v>Furnishings</v>
      </c>
      <c r="V392" s="8" t="s">
        <v>1293</v>
      </c>
    </row>
    <row r="393" spans="1:22">
      <c r="A393" s="8" t="s">
        <v>1294</v>
      </c>
      <c r="B393" s="8">
        <f t="shared" si="60"/>
        <v>1</v>
      </c>
      <c r="C393" s="8" t="str">
        <f t="shared" si="61"/>
        <v>Unique</v>
      </c>
      <c r="D393" s="9">
        <v>45702</v>
      </c>
      <c r="E393" s="8">
        <f t="shared" si="62"/>
        <v>0</v>
      </c>
      <c r="F393" s="10">
        <v>45702</v>
      </c>
      <c r="G393" s="8" t="s">
        <v>1295</v>
      </c>
      <c r="H393" s="8" t="s">
        <v>160</v>
      </c>
      <c r="I393" s="8" t="str">
        <f t="shared" si="69"/>
        <v>Diya Patel</v>
      </c>
      <c r="J393" s="8" t="s">
        <v>22</v>
      </c>
      <c r="K393" s="8" t="str">
        <f t="shared" si="63"/>
        <v>Consumer</v>
      </c>
      <c r="L393" s="8" t="s">
        <v>52</v>
      </c>
      <c r="M393" s="8" t="str">
        <f t="shared" si="64"/>
        <v>South</v>
      </c>
      <c r="N393" s="8" t="s">
        <v>173</v>
      </c>
      <c r="O393" s="8" t="str">
        <f t="shared" si="65"/>
        <v>Karnataka</v>
      </c>
      <c r="P393" s="8" t="s">
        <v>174</v>
      </c>
      <c r="Q393" s="8" t="str">
        <f t="shared" si="66"/>
        <v>Bengaluru</v>
      </c>
      <c r="R393" s="8" t="s">
        <v>26</v>
      </c>
      <c r="S393" s="8" t="str">
        <f t="shared" si="67"/>
        <v>Office Supplies</v>
      </c>
      <c r="T393" s="8" t="s">
        <v>122</v>
      </c>
      <c r="U393" s="8" t="str">
        <f t="shared" si="68"/>
        <v>Storage</v>
      </c>
      <c r="V393" s="8" t="s">
        <v>1296</v>
      </c>
    </row>
    <row r="394" spans="1:22">
      <c r="A394" s="8" t="s">
        <v>1297</v>
      </c>
      <c r="B394" s="8">
        <f t="shared" si="60"/>
        <v>1</v>
      </c>
      <c r="C394" s="8" t="str">
        <f t="shared" si="61"/>
        <v>Unique</v>
      </c>
      <c r="D394" s="9">
        <v>45341</v>
      </c>
      <c r="E394" s="8">
        <f t="shared" si="62"/>
        <v>3</v>
      </c>
      <c r="F394" s="10">
        <v>45344</v>
      </c>
      <c r="G394" s="8" t="s">
        <v>1298</v>
      </c>
      <c r="H394" s="8" t="s">
        <v>87</v>
      </c>
      <c r="I394" s="8" t="str">
        <f t="shared" si="69"/>
        <v>Aditi Sen</v>
      </c>
      <c r="J394" s="8" t="s">
        <v>35</v>
      </c>
      <c r="K394" s="8" t="str">
        <f t="shared" si="63"/>
        <v>Small Business</v>
      </c>
      <c r="L394" s="8" t="s">
        <v>52</v>
      </c>
      <c r="M394" s="8" t="str">
        <f t="shared" si="64"/>
        <v>South</v>
      </c>
      <c r="N394" s="8" t="s">
        <v>183</v>
      </c>
      <c r="O394" s="8" t="str">
        <f t="shared" si="65"/>
        <v>Kerala</v>
      </c>
      <c r="P394" s="8" t="s">
        <v>184</v>
      </c>
      <c r="Q394" s="8" t="str">
        <f t="shared" si="66"/>
        <v>Kochi</v>
      </c>
      <c r="R394" s="8" t="s">
        <v>39</v>
      </c>
      <c r="S394" s="8" t="str">
        <f t="shared" si="67"/>
        <v>Furniture</v>
      </c>
      <c r="T394" s="8" t="s">
        <v>55</v>
      </c>
      <c r="U394" s="8" t="str">
        <f t="shared" si="68"/>
        <v>Furnishings</v>
      </c>
      <c r="V394" s="8" t="s">
        <v>1299</v>
      </c>
    </row>
    <row r="395" spans="1:22">
      <c r="A395" s="8" t="s">
        <v>1300</v>
      </c>
      <c r="B395" s="8">
        <f t="shared" si="60"/>
        <v>1</v>
      </c>
      <c r="C395" s="8" t="str">
        <f t="shared" si="61"/>
        <v>Unique</v>
      </c>
      <c r="D395" s="9">
        <v>45527</v>
      </c>
      <c r="E395" s="8">
        <f t="shared" si="62"/>
        <v>6</v>
      </c>
      <c r="F395" s="10">
        <v>45533</v>
      </c>
      <c r="G395" s="8" t="s">
        <v>1301</v>
      </c>
      <c r="H395" s="8" t="s">
        <v>34</v>
      </c>
      <c r="I395" s="8" t="str">
        <f t="shared" si="69"/>
        <v>Mira Das</v>
      </c>
      <c r="J395" s="8" t="s">
        <v>88</v>
      </c>
      <c r="K395" s="8" t="str">
        <f t="shared" si="63"/>
        <v>Corporate</v>
      </c>
      <c r="L395" s="8" t="s">
        <v>23</v>
      </c>
      <c r="M395" s="8" t="str">
        <f t="shared" si="64"/>
        <v>North</v>
      </c>
      <c r="N395" s="8" t="s">
        <v>134</v>
      </c>
      <c r="O395" s="8" t="str">
        <f t="shared" si="65"/>
        <v>Uttar Pradesh</v>
      </c>
      <c r="P395" s="8" t="s">
        <v>135</v>
      </c>
      <c r="Q395" s="8" t="str">
        <f t="shared" si="66"/>
        <v>Noida</v>
      </c>
      <c r="R395" s="8" t="s">
        <v>26</v>
      </c>
      <c r="S395" s="8" t="str">
        <f t="shared" si="67"/>
        <v>Office Supplies</v>
      </c>
      <c r="T395" s="8" t="s">
        <v>89</v>
      </c>
      <c r="U395" s="8" t="str">
        <f t="shared" si="68"/>
        <v>Labels</v>
      </c>
      <c r="V395" s="8" t="s">
        <v>1302</v>
      </c>
    </row>
    <row r="396" spans="1:22">
      <c r="A396" s="8" t="s">
        <v>1303</v>
      </c>
      <c r="B396" s="8">
        <f t="shared" si="60"/>
        <v>1</v>
      </c>
      <c r="C396" s="8" t="str">
        <f t="shared" si="61"/>
        <v>Unique</v>
      </c>
      <c r="D396" s="9">
        <v>45355</v>
      </c>
      <c r="E396" s="8">
        <f t="shared" si="62"/>
        <v>31</v>
      </c>
      <c r="F396" s="10">
        <v>45386</v>
      </c>
      <c r="G396" s="8" t="s">
        <v>1304</v>
      </c>
      <c r="H396" s="8" t="s">
        <v>263</v>
      </c>
      <c r="I396" s="8" t="str">
        <f t="shared" si="69"/>
        <v>Kabir Singh</v>
      </c>
      <c r="J396" s="8" t="s">
        <v>22</v>
      </c>
      <c r="K396" s="8" t="str">
        <f t="shared" si="63"/>
        <v>Consumer</v>
      </c>
      <c r="L396" s="8" t="s">
        <v>61</v>
      </c>
      <c r="M396" s="8" t="str">
        <f t="shared" si="64"/>
        <v>West</v>
      </c>
      <c r="N396" s="8" t="s">
        <v>62</v>
      </c>
      <c r="O396" s="8" t="str">
        <f t="shared" si="65"/>
        <v>Maharashtra</v>
      </c>
      <c r="P396" s="8" t="s">
        <v>63</v>
      </c>
      <c r="Q396" s="8" t="str">
        <f t="shared" si="66"/>
        <v>Mumbai</v>
      </c>
      <c r="R396" s="8" t="s">
        <v>39</v>
      </c>
      <c r="S396" s="8" t="str">
        <f t="shared" si="67"/>
        <v>Furniture</v>
      </c>
      <c r="T396" s="8" t="s">
        <v>55</v>
      </c>
      <c r="U396" s="8" t="str">
        <f t="shared" si="68"/>
        <v>Furnishings</v>
      </c>
      <c r="V396" s="8" t="s">
        <v>1305</v>
      </c>
    </row>
    <row r="397" spans="1:22">
      <c r="A397" s="8" t="s">
        <v>1306</v>
      </c>
      <c r="B397" s="8">
        <f t="shared" si="60"/>
        <v>1</v>
      </c>
      <c r="C397" s="8" t="str">
        <f t="shared" si="61"/>
        <v>Unique</v>
      </c>
      <c r="D397" s="9">
        <v>45449</v>
      </c>
      <c r="E397" s="8">
        <f t="shared" si="62"/>
        <v>1</v>
      </c>
      <c r="F397" s="10">
        <v>45450</v>
      </c>
      <c r="G397" s="8" t="s">
        <v>1307</v>
      </c>
      <c r="H397" s="8" t="s">
        <v>116</v>
      </c>
      <c r="I397" s="8" t="str">
        <f t="shared" si="69"/>
        <v>Rahul Verma</v>
      </c>
      <c r="J397" s="8" t="s">
        <v>93</v>
      </c>
      <c r="K397" s="8" t="str">
        <f t="shared" si="63"/>
        <v>Home Office</v>
      </c>
      <c r="L397" s="8" t="s">
        <v>52</v>
      </c>
      <c r="M397" s="8" t="str">
        <f t="shared" si="64"/>
        <v>South</v>
      </c>
      <c r="N397" s="8" t="s">
        <v>246</v>
      </c>
      <c r="O397" s="8" t="str">
        <f t="shared" si="65"/>
        <v>Tamil Nadu</v>
      </c>
      <c r="P397" s="8" t="s">
        <v>247</v>
      </c>
      <c r="Q397" s="8" t="str">
        <f t="shared" si="66"/>
        <v>Chennai</v>
      </c>
      <c r="R397" s="8" t="s">
        <v>39</v>
      </c>
      <c r="S397" s="8" t="str">
        <f t="shared" si="67"/>
        <v>Furniture</v>
      </c>
      <c r="T397" s="8" t="s">
        <v>40</v>
      </c>
      <c r="U397" s="8" t="str">
        <f t="shared" si="68"/>
        <v>Tables</v>
      </c>
      <c r="V397" s="8" t="s">
        <v>1308</v>
      </c>
    </row>
    <row r="398" spans="1:22">
      <c r="A398" s="8" t="s">
        <v>1309</v>
      </c>
      <c r="B398" s="8">
        <f t="shared" si="60"/>
        <v>1</v>
      </c>
      <c r="C398" s="8" t="str">
        <f t="shared" si="61"/>
        <v>Unique</v>
      </c>
      <c r="D398" s="9">
        <v>45761</v>
      </c>
      <c r="E398" s="8">
        <f t="shared" si="62"/>
        <v>8</v>
      </c>
      <c r="F398" s="10">
        <v>45769</v>
      </c>
      <c r="G398" s="8" t="s">
        <v>1310</v>
      </c>
      <c r="H398" s="8" t="s">
        <v>87</v>
      </c>
      <c r="I398" s="8" t="str">
        <f t="shared" si="69"/>
        <v>Aditi Sen</v>
      </c>
      <c r="J398" s="8" t="s">
        <v>35</v>
      </c>
      <c r="K398" s="8" t="str">
        <f t="shared" si="63"/>
        <v>Small Business</v>
      </c>
      <c r="L398" s="8" t="s">
        <v>52</v>
      </c>
      <c r="M398" s="8" t="str">
        <f t="shared" si="64"/>
        <v>South</v>
      </c>
      <c r="N398" s="8" t="s">
        <v>173</v>
      </c>
      <c r="O398" s="8" t="str">
        <f t="shared" si="65"/>
        <v>Karnataka</v>
      </c>
      <c r="P398" s="8" t="s">
        <v>174</v>
      </c>
      <c r="Q398" s="8" t="str">
        <f t="shared" si="66"/>
        <v>Bengaluru</v>
      </c>
      <c r="R398" s="8" t="s">
        <v>72</v>
      </c>
      <c r="S398" s="8" t="str">
        <f t="shared" si="67"/>
        <v>Technology</v>
      </c>
      <c r="T398" s="8" t="s">
        <v>273</v>
      </c>
      <c r="U398" s="8" t="str">
        <f t="shared" si="68"/>
        <v>Machines</v>
      </c>
      <c r="V398" s="8" t="s">
        <v>1311</v>
      </c>
    </row>
    <row r="399" spans="1:22">
      <c r="A399" s="8" t="s">
        <v>1312</v>
      </c>
      <c r="B399" s="8">
        <f t="shared" si="60"/>
        <v>1</v>
      </c>
      <c r="C399" s="8" t="str">
        <f t="shared" si="61"/>
        <v>Unique</v>
      </c>
      <c r="D399" s="9">
        <v>45906</v>
      </c>
      <c r="E399" s="8">
        <f t="shared" si="62"/>
        <v>30</v>
      </c>
      <c r="F399" s="10">
        <v>45936</v>
      </c>
      <c r="G399" s="8" t="s">
        <v>1313</v>
      </c>
      <c r="H399" s="8" t="s">
        <v>130</v>
      </c>
      <c r="I399" s="8" t="str">
        <f t="shared" si="69"/>
        <v>Sneha Kapoor</v>
      </c>
      <c r="J399" s="8" t="s">
        <v>35</v>
      </c>
      <c r="K399" s="8" t="str">
        <f t="shared" si="63"/>
        <v>Small Business</v>
      </c>
      <c r="L399" s="8" t="s">
        <v>23</v>
      </c>
      <c r="M399" s="8" t="str">
        <f t="shared" si="64"/>
        <v>North</v>
      </c>
      <c r="N399" s="8" t="s">
        <v>134</v>
      </c>
      <c r="O399" s="8" t="str">
        <f t="shared" si="65"/>
        <v>Uttar Pradesh</v>
      </c>
      <c r="P399" s="8" t="s">
        <v>135</v>
      </c>
      <c r="Q399" s="8" t="str">
        <f t="shared" si="66"/>
        <v>Noida</v>
      </c>
      <c r="R399" s="8" t="s">
        <v>39</v>
      </c>
      <c r="S399" s="8" t="str">
        <f t="shared" si="67"/>
        <v>Furniture</v>
      </c>
      <c r="T399" s="8" t="s">
        <v>40</v>
      </c>
      <c r="U399" s="8" t="str">
        <f t="shared" si="68"/>
        <v>Tables</v>
      </c>
      <c r="V399" s="8" t="s">
        <v>1314</v>
      </c>
    </row>
    <row r="400" spans="1:22">
      <c r="A400" s="8" t="s">
        <v>1315</v>
      </c>
      <c r="B400" s="8">
        <f t="shared" si="60"/>
        <v>1</v>
      </c>
      <c r="C400" s="8" t="str">
        <f t="shared" si="61"/>
        <v>Unique</v>
      </c>
      <c r="D400" s="9">
        <v>45492</v>
      </c>
      <c r="E400" s="8">
        <f t="shared" si="62"/>
        <v>7</v>
      </c>
      <c r="F400" s="10">
        <v>45499</v>
      </c>
      <c r="G400" s="8" t="s">
        <v>1316</v>
      </c>
      <c r="H400" s="8" t="s">
        <v>69</v>
      </c>
      <c r="I400" s="8" t="str">
        <f t="shared" si="69"/>
        <v>Vikram Iyer</v>
      </c>
      <c r="J400" s="8" t="s">
        <v>88</v>
      </c>
      <c r="K400" s="8" t="str">
        <f t="shared" si="63"/>
        <v>Corporate</v>
      </c>
      <c r="L400" s="8" t="s">
        <v>23</v>
      </c>
      <c r="M400" s="8" t="str">
        <f t="shared" si="64"/>
        <v>North</v>
      </c>
      <c r="N400" s="8" t="s">
        <v>120</v>
      </c>
      <c r="O400" s="8" t="str">
        <f t="shared" si="65"/>
        <v>Punjab</v>
      </c>
      <c r="P400" s="8" t="s">
        <v>121</v>
      </c>
      <c r="Q400" s="8" t="str">
        <f t="shared" si="66"/>
        <v>Ludhiana</v>
      </c>
      <c r="R400" s="8" t="s">
        <v>72</v>
      </c>
      <c r="S400" s="8" t="str">
        <f t="shared" si="67"/>
        <v>Technology</v>
      </c>
      <c r="T400" s="8" t="s">
        <v>273</v>
      </c>
      <c r="U400" s="8" t="str">
        <f t="shared" si="68"/>
        <v>Machines</v>
      </c>
      <c r="V400" s="8" t="s">
        <v>1317</v>
      </c>
    </row>
    <row r="401" spans="1:22">
      <c r="A401" s="8" t="s">
        <v>1318</v>
      </c>
      <c r="B401" s="8">
        <f t="shared" si="60"/>
        <v>2</v>
      </c>
      <c r="C401" s="8" t="str">
        <f t="shared" si="61"/>
        <v>Review Duplicate ID</v>
      </c>
      <c r="D401" s="9">
        <v>45771</v>
      </c>
      <c r="E401" s="8">
        <f t="shared" si="62"/>
        <v>5</v>
      </c>
      <c r="F401" s="10">
        <v>45776</v>
      </c>
      <c r="G401" s="8" t="s">
        <v>1319</v>
      </c>
      <c r="H401" s="8" t="s">
        <v>160</v>
      </c>
      <c r="I401" s="8" t="str">
        <f t="shared" si="69"/>
        <v>Diya Patel</v>
      </c>
      <c r="J401" s="8" t="s">
        <v>35</v>
      </c>
      <c r="K401" s="8" t="str">
        <f t="shared" si="63"/>
        <v>Small Business</v>
      </c>
      <c r="L401" s="8" t="s">
        <v>52</v>
      </c>
      <c r="M401" s="8" t="str">
        <f t="shared" si="64"/>
        <v>South</v>
      </c>
      <c r="N401" s="8" t="s">
        <v>82</v>
      </c>
      <c r="O401" s="8" t="str">
        <f t="shared" si="65"/>
        <v>Andhra Pradesh</v>
      </c>
      <c r="P401" s="8" t="s">
        <v>83</v>
      </c>
      <c r="Q401" s="8" t="str">
        <f t="shared" si="66"/>
        <v>Vijayawada</v>
      </c>
      <c r="R401" s="8" t="s">
        <v>26</v>
      </c>
      <c r="S401" s="8" t="str">
        <f t="shared" si="67"/>
        <v>Office Supplies</v>
      </c>
      <c r="T401" s="8" t="s">
        <v>27</v>
      </c>
      <c r="U401" s="8" t="str">
        <f t="shared" si="68"/>
        <v>Paper</v>
      </c>
      <c r="V401" s="8" t="s">
        <v>1320</v>
      </c>
    </row>
    <row r="402" spans="1:22">
      <c r="A402" s="8" t="s">
        <v>1321</v>
      </c>
      <c r="B402" s="8">
        <f t="shared" si="60"/>
        <v>1</v>
      </c>
      <c r="C402" s="8" t="str">
        <f t="shared" si="61"/>
        <v>Unique</v>
      </c>
      <c r="D402" s="9">
        <v>45814</v>
      </c>
      <c r="E402" s="8">
        <f t="shared" si="62"/>
        <v>153</v>
      </c>
      <c r="F402" s="10">
        <v>45967</v>
      </c>
      <c r="G402" s="8" t="s">
        <v>1322</v>
      </c>
      <c r="H402" s="8" t="s">
        <v>130</v>
      </c>
      <c r="I402" s="8" t="str">
        <f t="shared" si="69"/>
        <v>Sneha Kapoor</v>
      </c>
      <c r="J402" s="8" t="s">
        <v>35</v>
      </c>
      <c r="K402" s="8" t="str">
        <f t="shared" si="63"/>
        <v>Small Business</v>
      </c>
      <c r="L402" s="8" t="s">
        <v>23</v>
      </c>
      <c r="M402" s="8" t="str">
        <f t="shared" si="64"/>
        <v>North</v>
      </c>
      <c r="N402" s="8" t="s">
        <v>134</v>
      </c>
      <c r="O402" s="8" t="str">
        <f t="shared" si="65"/>
        <v>Uttar Pradesh</v>
      </c>
      <c r="P402" s="8" t="s">
        <v>135</v>
      </c>
      <c r="Q402" s="8" t="str">
        <f t="shared" si="66"/>
        <v>Noida</v>
      </c>
      <c r="R402" s="8" t="s">
        <v>26</v>
      </c>
      <c r="S402" s="8" t="str">
        <f t="shared" si="67"/>
        <v>Office Supplies</v>
      </c>
      <c r="T402" s="8" t="s">
        <v>27</v>
      </c>
      <c r="U402" s="8" t="str">
        <f t="shared" si="68"/>
        <v>Paper</v>
      </c>
      <c r="V402" s="8" t="s">
        <v>1323</v>
      </c>
    </row>
    <row r="403" spans="1:22">
      <c r="A403" s="8" t="s">
        <v>1324</v>
      </c>
      <c r="B403" s="8">
        <f t="shared" si="60"/>
        <v>1</v>
      </c>
      <c r="C403" s="8" t="str">
        <f t="shared" si="61"/>
        <v>Unique</v>
      </c>
      <c r="D403" s="9">
        <v>45903</v>
      </c>
      <c r="E403" s="8">
        <f t="shared" si="62"/>
        <v>-171</v>
      </c>
      <c r="F403" s="10">
        <v>45732</v>
      </c>
      <c r="G403" s="8" t="s">
        <v>1325</v>
      </c>
      <c r="H403" s="8" t="s">
        <v>51</v>
      </c>
      <c r="I403" s="8" t="str">
        <f t="shared" si="69"/>
        <v>Arjun Bose</v>
      </c>
      <c r="J403" s="8" t="s">
        <v>35</v>
      </c>
      <c r="K403" s="8" t="str">
        <f t="shared" si="63"/>
        <v>Small Business</v>
      </c>
      <c r="L403" s="8" t="s">
        <v>36</v>
      </c>
      <c r="M403" s="8" t="str">
        <f t="shared" si="64"/>
        <v>East</v>
      </c>
      <c r="N403" s="8" t="s">
        <v>227</v>
      </c>
      <c r="O403" s="8" t="str">
        <f t="shared" si="65"/>
        <v>Jharkhand</v>
      </c>
      <c r="P403" s="8" t="s">
        <v>228</v>
      </c>
      <c r="Q403" s="8" t="str">
        <f t="shared" si="66"/>
        <v>Ranchi</v>
      </c>
      <c r="R403" s="8" t="s">
        <v>39</v>
      </c>
      <c r="S403" s="8" t="str">
        <f t="shared" si="67"/>
        <v>Furniture</v>
      </c>
      <c r="T403" s="8" t="s">
        <v>40</v>
      </c>
      <c r="U403" s="8" t="str">
        <f t="shared" si="68"/>
        <v>Tables</v>
      </c>
      <c r="V403" s="8" t="s">
        <v>1326</v>
      </c>
    </row>
    <row r="404" spans="1:22">
      <c r="A404" s="8" t="s">
        <v>1327</v>
      </c>
      <c r="B404" s="8">
        <f t="shared" si="60"/>
        <v>1</v>
      </c>
      <c r="C404" s="8" t="str">
        <f t="shared" si="61"/>
        <v>Unique</v>
      </c>
      <c r="D404" s="9">
        <v>45373</v>
      </c>
      <c r="E404" s="8">
        <f t="shared" si="62"/>
        <v>0</v>
      </c>
      <c r="F404" s="10">
        <v>45373</v>
      </c>
      <c r="G404" s="8" t="s">
        <v>1328</v>
      </c>
      <c r="H404" s="8" t="s">
        <v>112</v>
      </c>
      <c r="I404" s="8" t="str">
        <f t="shared" si="69"/>
        <v>Priya Menon</v>
      </c>
      <c r="J404" s="8" t="s">
        <v>35</v>
      </c>
      <c r="K404" s="8" t="str">
        <f t="shared" si="63"/>
        <v>Small Business</v>
      </c>
      <c r="L404" s="8" t="s">
        <v>52</v>
      </c>
      <c r="M404" s="8" t="str">
        <f t="shared" si="64"/>
        <v>South</v>
      </c>
      <c r="N404" s="8" t="s">
        <v>173</v>
      </c>
      <c r="O404" s="8" t="str">
        <f t="shared" si="65"/>
        <v>Karnataka</v>
      </c>
      <c r="P404" s="8" t="s">
        <v>174</v>
      </c>
      <c r="Q404" s="8" t="str">
        <f t="shared" si="66"/>
        <v>Bengaluru</v>
      </c>
      <c r="R404" s="8" t="s">
        <v>39</v>
      </c>
      <c r="S404" s="8" t="str">
        <f t="shared" si="67"/>
        <v>Furniture</v>
      </c>
      <c r="T404" s="8" t="s">
        <v>40</v>
      </c>
      <c r="U404" s="8" t="str">
        <f t="shared" si="68"/>
        <v>Tables</v>
      </c>
      <c r="V404" s="8" t="s">
        <v>1329</v>
      </c>
    </row>
    <row r="405" spans="1:22">
      <c r="A405" s="8" t="s">
        <v>1330</v>
      </c>
      <c r="B405" s="8">
        <f t="shared" si="60"/>
        <v>1</v>
      </c>
      <c r="C405" s="8" t="str">
        <f t="shared" si="61"/>
        <v>Unique</v>
      </c>
      <c r="D405" s="9">
        <v>45565</v>
      </c>
      <c r="E405" s="8">
        <f t="shared" si="62"/>
        <v>-173</v>
      </c>
      <c r="F405" s="10">
        <v>45392</v>
      </c>
      <c r="G405" s="8" t="s">
        <v>1331</v>
      </c>
      <c r="H405" s="8" t="s">
        <v>51</v>
      </c>
      <c r="I405" s="8" t="str">
        <f t="shared" si="69"/>
        <v>Arjun Bose</v>
      </c>
      <c r="J405" s="8" t="s">
        <v>35</v>
      </c>
      <c r="K405" s="8" t="str">
        <f t="shared" si="63"/>
        <v>Small Business</v>
      </c>
      <c r="L405" s="8" t="s">
        <v>52</v>
      </c>
      <c r="M405" s="8" t="str">
        <f t="shared" si="64"/>
        <v>South</v>
      </c>
      <c r="N405" s="8" t="s">
        <v>183</v>
      </c>
      <c r="O405" s="8" t="str">
        <f t="shared" si="65"/>
        <v>Kerala</v>
      </c>
      <c r="P405" s="8" t="s">
        <v>184</v>
      </c>
      <c r="Q405" s="8" t="str">
        <f t="shared" si="66"/>
        <v>Kochi</v>
      </c>
      <c r="R405" s="8" t="s">
        <v>26</v>
      </c>
      <c r="S405" s="8" t="str">
        <f t="shared" si="67"/>
        <v>Office Supplies</v>
      </c>
      <c r="T405" s="8" t="s">
        <v>1332</v>
      </c>
      <c r="U405" s="8" t="str">
        <f t="shared" si="68"/>
        <v>Paper</v>
      </c>
      <c r="V405" s="8" t="s">
        <v>1333</v>
      </c>
    </row>
    <row r="406" spans="1:22">
      <c r="A406" s="8" t="s">
        <v>1334</v>
      </c>
      <c r="B406" s="8">
        <f t="shared" si="60"/>
        <v>1</v>
      </c>
      <c r="C406" s="8" t="str">
        <f t="shared" si="61"/>
        <v>Unique</v>
      </c>
      <c r="D406" s="9">
        <v>45318</v>
      </c>
      <c r="E406" s="8">
        <f t="shared" si="62"/>
        <v>7</v>
      </c>
      <c r="F406" s="10">
        <v>45325</v>
      </c>
      <c r="G406" s="8" t="s">
        <v>1335</v>
      </c>
      <c r="H406" s="8" t="s">
        <v>87</v>
      </c>
      <c r="I406" s="8" t="str">
        <f t="shared" si="69"/>
        <v>Aditi Sen</v>
      </c>
      <c r="J406" s="8" t="s">
        <v>88</v>
      </c>
      <c r="K406" s="8" t="str">
        <f t="shared" si="63"/>
        <v>Corporate</v>
      </c>
      <c r="L406" s="8" t="s">
        <v>61</v>
      </c>
      <c r="M406" s="8" t="str">
        <f t="shared" si="64"/>
        <v>West</v>
      </c>
      <c r="N406" s="8" t="s">
        <v>24</v>
      </c>
      <c r="O406" s="8" t="str">
        <f t="shared" si="65"/>
        <v>Rajasthan</v>
      </c>
      <c r="P406" s="8" t="s">
        <v>107</v>
      </c>
      <c r="Q406" s="8" t="str">
        <f t="shared" si="66"/>
        <v>Udaipur</v>
      </c>
      <c r="R406" s="8" t="s">
        <v>39</v>
      </c>
      <c r="S406" s="8" t="str">
        <f t="shared" si="67"/>
        <v>Furniture</v>
      </c>
      <c r="T406" s="8" t="s">
        <v>64</v>
      </c>
      <c r="U406" s="8" t="str">
        <f t="shared" si="68"/>
        <v>Chairs</v>
      </c>
      <c r="V406" s="8" t="s">
        <v>1336</v>
      </c>
    </row>
    <row r="407" spans="1:22">
      <c r="A407" s="8" t="s">
        <v>1337</v>
      </c>
      <c r="B407" s="8">
        <f t="shared" si="60"/>
        <v>1</v>
      </c>
      <c r="C407" s="8" t="str">
        <f t="shared" si="61"/>
        <v>Unique</v>
      </c>
      <c r="D407" s="9">
        <v>45558</v>
      </c>
      <c r="E407" s="8">
        <f t="shared" si="62"/>
        <v>1</v>
      </c>
      <c r="F407" s="10">
        <v>45559</v>
      </c>
      <c r="G407" s="8" t="s">
        <v>1338</v>
      </c>
      <c r="H407" s="8" t="s">
        <v>87</v>
      </c>
      <c r="I407" s="8" t="str">
        <f t="shared" si="69"/>
        <v>Aditi Sen</v>
      </c>
      <c r="J407" s="8" t="s">
        <v>93</v>
      </c>
      <c r="K407" s="8" t="str">
        <f t="shared" si="63"/>
        <v>Home Office</v>
      </c>
      <c r="L407" s="8" t="s">
        <v>61</v>
      </c>
      <c r="M407" s="8" t="str">
        <f t="shared" si="64"/>
        <v>West</v>
      </c>
      <c r="N407" s="8" t="s">
        <v>178</v>
      </c>
      <c r="O407" s="8" t="str">
        <f t="shared" si="65"/>
        <v>Gujarat</v>
      </c>
      <c r="P407" s="8" t="s">
        <v>179</v>
      </c>
      <c r="Q407" s="8" t="str">
        <f t="shared" si="66"/>
        <v>Ahmedabad</v>
      </c>
      <c r="R407" s="8" t="s">
        <v>39</v>
      </c>
      <c r="S407" s="8" t="str">
        <f t="shared" si="67"/>
        <v>Furniture</v>
      </c>
      <c r="T407" s="8" t="s">
        <v>156</v>
      </c>
      <c r="U407" s="8" t="str">
        <f t="shared" si="68"/>
        <v>Bookcases</v>
      </c>
      <c r="V407" s="8" t="s">
        <v>1339</v>
      </c>
    </row>
    <row r="408" spans="1:22">
      <c r="A408" s="8" t="s">
        <v>1340</v>
      </c>
      <c r="B408" s="8">
        <f t="shared" si="60"/>
        <v>1</v>
      </c>
      <c r="C408" s="8" t="str">
        <f t="shared" si="61"/>
        <v>Unique</v>
      </c>
      <c r="D408" s="9">
        <v>45713</v>
      </c>
      <c r="E408" s="8">
        <f t="shared" si="62"/>
        <v>0</v>
      </c>
      <c r="F408" s="10">
        <v>45713</v>
      </c>
      <c r="G408" s="8" t="s">
        <v>1341</v>
      </c>
      <c r="H408" s="8" t="s">
        <v>263</v>
      </c>
      <c r="I408" s="8" t="str">
        <f t="shared" si="69"/>
        <v>Kabir Singh</v>
      </c>
      <c r="J408" s="8" t="s">
        <v>35</v>
      </c>
      <c r="K408" s="8" t="str">
        <f t="shared" si="63"/>
        <v>Small Business</v>
      </c>
      <c r="L408" s="8" t="s">
        <v>61</v>
      </c>
      <c r="M408" s="8" t="str">
        <f t="shared" si="64"/>
        <v>West</v>
      </c>
      <c r="N408" s="8" t="s">
        <v>188</v>
      </c>
      <c r="O408" s="8" t="str">
        <f t="shared" si="65"/>
        <v>Goa</v>
      </c>
      <c r="P408" s="8" t="s">
        <v>189</v>
      </c>
      <c r="Q408" s="8" t="str">
        <f t="shared" si="66"/>
        <v>Panaji</v>
      </c>
      <c r="R408" s="8" t="s">
        <v>39</v>
      </c>
      <c r="S408" s="8" t="str">
        <f t="shared" si="67"/>
        <v>Furniture</v>
      </c>
      <c r="T408" s="8" t="s">
        <v>55</v>
      </c>
      <c r="U408" s="8" t="str">
        <f t="shared" si="68"/>
        <v>Furnishings</v>
      </c>
      <c r="V408" s="8" t="s">
        <v>1342</v>
      </c>
    </row>
    <row r="409" spans="1:22">
      <c r="A409" s="8" t="s">
        <v>1343</v>
      </c>
      <c r="B409" s="8">
        <f t="shared" si="60"/>
        <v>1</v>
      </c>
      <c r="C409" s="8" t="str">
        <f t="shared" si="61"/>
        <v>Unique</v>
      </c>
      <c r="D409" s="9">
        <v>45631</v>
      </c>
      <c r="E409" s="8">
        <f t="shared" si="62"/>
        <v>-206</v>
      </c>
      <c r="F409" s="10">
        <v>45425</v>
      </c>
      <c r="G409" s="8" t="s">
        <v>1344</v>
      </c>
      <c r="H409" s="8" t="s">
        <v>116</v>
      </c>
      <c r="I409" s="8" t="str">
        <f t="shared" si="69"/>
        <v>Rahul Verma</v>
      </c>
      <c r="J409" s="8" t="s">
        <v>88</v>
      </c>
      <c r="K409" s="8" t="str">
        <f t="shared" si="63"/>
        <v>Corporate</v>
      </c>
      <c r="L409" s="8" t="s">
        <v>61</v>
      </c>
      <c r="M409" s="8" t="str">
        <f t="shared" si="64"/>
        <v>West</v>
      </c>
      <c r="N409" s="8" t="s">
        <v>188</v>
      </c>
      <c r="O409" s="8" t="str">
        <f t="shared" si="65"/>
        <v>Goa</v>
      </c>
      <c r="P409" s="8" t="s">
        <v>189</v>
      </c>
      <c r="Q409" s="8" t="str">
        <f t="shared" si="66"/>
        <v>Panaji</v>
      </c>
      <c r="R409" s="8" t="s">
        <v>26</v>
      </c>
      <c r="S409" s="8" t="str">
        <f t="shared" si="67"/>
        <v>Office Supplies</v>
      </c>
      <c r="T409" s="8" t="s">
        <v>89</v>
      </c>
      <c r="U409" s="8" t="str">
        <f t="shared" si="68"/>
        <v>Labels</v>
      </c>
      <c r="V409" s="8" t="s">
        <v>1345</v>
      </c>
    </row>
    <row r="410" spans="1:22">
      <c r="A410" s="8" t="s">
        <v>1346</v>
      </c>
      <c r="B410" s="8">
        <f t="shared" si="60"/>
        <v>1</v>
      </c>
      <c r="C410" s="8" t="str">
        <f t="shared" si="61"/>
        <v>Unique</v>
      </c>
      <c r="D410" s="9">
        <v>45870</v>
      </c>
      <c r="E410" s="8">
        <f t="shared" si="62"/>
        <v>2</v>
      </c>
      <c r="F410" s="10">
        <v>45872</v>
      </c>
      <c r="G410" s="8" t="s">
        <v>1347</v>
      </c>
      <c r="H410" s="8" t="s">
        <v>130</v>
      </c>
      <c r="I410" s="8" t="str">
        <f t="shared" si="69"/>
        <v>Sneha Kapoor</v>
      </c>
      <c r="J410" s="8" t="s">
        <v>22</v>
      </c>
      <c r="K410" s="8" t="str">
        <f t="shared" si="63"/>
        <v>Consumer</v>
      </c>
      <c r="L410" s="8" t="s">
        <v>61</v>
      </c>
      <c r="M410" s="8" t="str">
        <f t="shared" si="64"/>
        <v>West</v>
      </c>
      <c r="N410" s="8" t="s">
        <v>62</v>
      </c>
      <c r="O410" s="8" t="str">
        <f t="shared" si="65"/>
        <v>Maharashtra</v>
      </c>
      <c r="P410" s="8" t="s">
        <v>63</v>
      </c>
      <c r="Q410" s="8" t="str">
        <f t="shared" si="66"/>
        <v>Mumbai</v>
      </c>
      <c r="R410" s="8" t="s">
        <v>39</v>
      </c>
      <c r="S410" s="8" t="str">
        <f t="shared" si="67"/>
        <v>Furniture</v>
      </c>
      <c r="T410" s="8" t="s">
        <v>64</v>
      </c>
      <c r="U410" s="8" t="str">
        <f t="shared" si="68"/>
        <v>Chairs</v>
      </c>
      <c r="V410" s="8" t="s">
        <v>1348</v>
      </c>
    </row>
    <row r="411" spans="1:22">
      <c r="A411" s="8" t="s">
        <v>1349</v>
      </c>
      <c r="B411" s="8">
        <f t="shared" si="60"/>
        <v>1</v>
      </c>
      <c r="C411" s="8" t="str">
        <f t="shared" si="61"/>
        <v>Unique</v>
      </c>
      <c r="D411" s="9">
        <v>45701</v>
      </c>
      <c r="E411" s="8">
        <f t="shared" si="62"/>
        <v>2</v>
      </c>
      <c r="F411" s="10">
        <v>45703</v>
      </c>
      <c r="G411" s="8" t="s">
        <v>1350</v>
      </c>
      <c r="H411" s="8" t="s">
        <v>21</v>
      </c>
      <c r="I411" s="8" t="str">
        <f t="shared" si="69"/>
        <v>Karan Malhotra</v>
      </c>
      <c r="J411" s="8" t="s">
        <v>22</v>
      </c>
      <c r="K411" s="8" t="str">
        <f t="shared" si="63"/>
        <v>Consumer</v>
      </c>
      <c r="L411" s="8" t="s">
        <v>36</v>
      </c>
      <c r="M411" s="8" t="str">
        <f t="shared" si="64"/>
        <v>East</v>
      </c>
      <c r="N411" s="8" t="s">
        <v>164</v>
      </c>
      <c r="O411" s="8" t="str">
        <f t="shared" si="65"/>
        <v>Assam</v>
      </c>
      <c r="P411" s="8" t="s">
        <v>165</v>
      </c>
      <c r="Q411" s="8" t="str">
        <f t="shared" si="66"/>
        <v>Guwahati</v>
      </c>
      <c r="R411" s="8" t="s">
        <v>72</v>
      </c>
      <c r="S411" s="8" t="str">
        <f t="shared" si="67"/>
        <v>Technology</v>
      </c>
      <c r="T411" s="8" t="s">
        <v>73</v>
      </c>
      <c r="U411" s="8" t="str">
        <f t="shared" si="68"/>
        <v>Accessories</v>
      </c>
      <c r="V411" s="8" t="s">
        <v>1351</v>
      </c>
    </row>
    <row r="412" spans="1:22">
      <c r="A412" s="8" t="s">
        <v>1352</v>
      </c>
      <c r="B412" s="8">
        <f t="shared" si="60"/>
        <v>1</v>
      </c>
      <c r="C412" s="8" t="str">
        <f t="shared" si="61"/>
        <v>Unique</v>
      </c>
      <c r="D412" s="9">
        <v>45630</v>
      </c>
      <c r="E412" s="8">
        <f t="shared" si="62"/>
        <v>-228</v>
      </c>
      <c r="F412" s="10">
        <v>45402</v>
      </c>
      <c r="G412" s="8" t="s">
        <v>1353</v>
      </c>
      <c r="H412" s="8" t="s">
        <v>160</v>
      </c>
      <c r="I412" s="8" t="str">
        <f t="shared" si="69"/>
        <v>Diya Patel</v>
      </c>
      <c r="J412" s="8" t="s">
        <v>22</v>
      </c>
      <c r="K412" s="8" t="str">
        <f t="shared" si="63"/>
        <v>Consumer</v>
      </c>
      <c r="L412" s="8" t="s">
        <v>61</v>
      </c>
      <c r="M412" s="8" t="str">
        <f t="shared" si="64"/>
        <v>West</v>
      </c>
      <c r="N412" s="8" t="s">
        <v>188</v>
      </c>
      <c r="O412" s="8" t="str">
        <f t="shared" si="65"/>
        <v>Goa</v>
      </c>
      <c r="P412" s="8" t="s">
        <v>189</v>
      </c>
      <c r="Q412" s="8" t="str">
        <f t="shared" si="66"/>
        <v>Panaji</v>
      </c>
      <c r="R412" s="8" t="s">
        <v>39</v>
      </c>
      <c r="S412" s="8" t="str">
        <f t="shared" si="67"/>
        <v>Furniture</v>
      </c>
      <c r="T412" s="8" t="s">
        <v>40</v>
      </c>
      <c r="U412" s="8" t="str">
        <f t="shared" si="68"/>
        <v>Tables</v>
      </c>
      <c r="V412" s="8" t="s">
        <v>1354</v>
      </c>
    </row>
    <row r="413" spans="1:22">
      <c r="A413" s="8" t="s">
        <v>1355</v>
      </c>
      <c r="B413" s="8">
        <f t="shared" si="60"/>
        <v>1</v>
      </c>
      <c r="C413" s="8" t="str">
        <f t="shared" si="61"/>
        <v>Unique</v>
      </c>
      <c r="D413" s="9">
        <v>45892</v>
      </c>
      <c r="E413" s="8">
        <f t="shared" si="62"/>
        <v>5</v>
      </c>
      <c r="F413" s="10">
        <v>45897</v>
      </c>
      <c r="G413" s="8" t="s">
        <v>1356</v>
      </c>
      <c r="H413" s="8" t="s">
        <v>51</v>
      </c>
      <c r="I413" s="8" t="str">
        <f t="shared" si="69"/>
        <v>Arjun Bose</v>
      </c>
      <c r="J413" s="8" t="s">
        <v>93</v>
      </c>
      <c r="K413" s="8" t="str">
        <f t="shared" si="63"/>
        <v>Home Office</v>
      </c>
      <c r="L413" s="8" t="s">
        <v>61</v>
      </c>
      <c r="M413" s="8" t="str">
        <f t="shared" si="64"/>
        <v>West</v>
      </c>
      <c r="N413" s="8" t="s">
        <v>24</v>
      </c>
      <c r="O413" s="8" t="str">
        <f t="shared" si="65"/>
        <v>Rajasthan</v>
      </c>
      <c r="P413" s="8" t="s">
        <v>107</v>
      </c>
      <c r="Q413" s="8" t="str">
        <f t="shared" si="66"/>
        <v>Udaipur</v>
      </c>
      <c r="R413" s="8" t="s">
        <v>39</v>
      </c>
      <c r="S413" s="8" t="str">
        <f t="shared" si="67"/>
        <v>Furniture</v>
      </c>
      <c r="T413" s="8" t="s">
        <v>40</v>
      </c>
      <c r="U413" s="8" t="str">
        <f t="shared" si="68"/>
        <v>Tables</v>
      </c>
      <c r="V413" s="8" t="s">
        <v>1357</v>
      </c>
    </row>
    <row r="414" spans="1:22">
      <c r="A414" s="8" t="s">
        <v>1358</v>
      </c>
      <c r="B414" s="8">
        <f t="shared" si="60"/>
        <v>1</v>
      </c>
      <c r="C414" s="8" t="str">
        <f t="shared" si="61"/>
        <v>Unique</v>
      </c>
      <c r="D414" s="9">
        <v>45313</v>
      </c>
      <c r="E414" s="8">
        <f t="shared" si="62"/>
        <v>8</v>
      </c>
      <c r="F414" s="10">
        <v>45321</v>
      </c>
      <c r="G414" s="8" t="s">
        <v>1359</v>
      </c>
      <c r="H414" s="8" t="s">
        <v>45</v>
      </c>
      <c r="I414" s="8" t="str">
        <f t="shared" si="69"/>
        <v>Isha Nair</v>
      </c>
      <c r="J414" s="8" t="s">
        <v>88</v>
      </c>
      <c r="K414" s="8" t="str">
        <f t="shared" si="63"/>
        <v>Corporate</v>
      </c>
      <c r="L414" s="8" t="s">
        <v>52</v>
      </c>
      <c r="M414" s="8" t="str">
        <f t="shared" si="64"/>
        <v>South</v>
      </c>
      <c r="N414" s="8" t="s">
        <v>173</v>
      </c>
      <c r="O414" s="8" t="str">
        <f t="shared" si="65"/>
        <v>Karnataka</v>
      </c>
      <c r="P414" s="8" t="s">
        <v>174</v>
      </c>
      <c r="Q414" s="8" t="str">
        <f t="shared" si="66"/>
        <v>Bengaluru</v>
      </c>
      <c r="R414" s="8" t="s">
        <v>39</v>
      </c>
      <c r="S414" s="8" t="str">
        <f t="shared" si="67"/>
        <v>Furniture</v>
      </c>
      <c r="T414" s="8" t="s">
        <v>64</v>
      </c>
      <c r="U414" s="8" t="str">
        <f t="shared" si="68"/>
        <v>Chairs</v>
      </c>
      <c r="V414" s="8" t="s">
        <v>1360</v>
      </c>
    </row>
    <row r="415" spans="1:22">
      <c r="A415" s="8" t="s">
        <v>1361</v>
      </c>
      <c r="B415" s="8">
        <f t="shared" si="60"/>
        <v>1</v>
      </c>
      <c r="C415" s="8" t="str">
        <f t="shared" si="61"/>
        <v>Unique</v>
      </c>
      <c r="D415" s="9">
        <v>45882</v>
      </c>
      <c r="E415" s="8">
        <f t="shared" si="62"/>
        <v>4</v>
      </c>
      <c r="F415" s="10">
        <v>45886</v>
      </c>
      <c r="G415" s="8" t="s">
        <v>1362</v>
      </c>
      <c r="H415" s="8" t="s">
        <v>77</v>
      </c>
      <c r="I415" s="8" t="str">
        <f t="shared" si="69"/>
        <v>Neha Gupta</v>
      </c>
      <c r="J415" s="8" t="s">
        <v>93</v>
      </c>
      <c r="K415" s="8" t="str">
        <f t="shared" si="63"/>
        <v>Home Office</v>
      </c>
      <c r="L415" s="8" t="s">
        <v>61</v>
      </c>
      <c r="M415" s="8" t="str">
        <f t="shared" si="64"/>
        <v>West</v>
      </c>
      <c r="N415" s="8" t="s">
        <v>70</v>
      </c>
      <c r="O415" s="8" t="str">
        <f t="shared" si="65"/>
        <v>Madhya Pradesh</v>
      </c>
      <c r="P415" s="8" t="s">
        <v>71</v>
      </c>
      <c r="Q415" s="8" t="str">
        <f t="shared" si="66"/>
        <v>Indore</v>
      </c>
      <c r="R415" s="8" t="s">
        <v>72</v>
      </c>
      <c r="S415" s="8" t="str">
        <f t="shared" si="67"/>
        <v>Technology</v>
      </c>
      <c r="T415" s="8" t="s">
        <v>73</v>
      </c>
      <c r="U415" s="8" t="str">
        <f t="shared" si="68"/>
        <v>Accessories</v>
      </c>
      <c r="V415" s="8" t="s">
        <v>1363</v>
      </c>
    </row>
    <row r="416" spans="1:22">
      <c r="A416" s="8" t="s">
        <v>1364</v>
      </c>
      <c r="B416" s="8">
        <f t="shared" si="60"/>
        <v>1</v>
      </c>
      <c r="C416" s="8" t="str">
        <f t="shared" si="61"/>
        <v>Unique</v>
      </c>
      <c r="D416" s="9">
        <v>45533</v>
      </c>
      <c r="E416" s="8">
        <f t="shared" si="62"/>
        <v>1</v>
      </c>
      <c r="F416" s="10">
        <v>45534</v>
      </c>
      <c r="G416" s="8" t="s">
        <v>1365</v>
      </c>
      <c r="H416" s="8" t="s">
        <v>51</v>
      </c>
      <c r="I416" s="8" t="str">
        <f t="shared" si="69"/>
        <v>Arjun Bose</v>
      </c>
      <c r="J416" s="8" t="s">
        <v>93</v>
      </c>
      <c r="K416" s="8" t="str">
        <f t="shared" si="63"/>
        <v>Home Office</v>
      </c>
      <c r="L416" s="8" t="s">
        <v>36</v>
      </c>
      <c r="M416" s="8" t="str">
        <f t="shared" si="64"/>
        <v>East</v>
      </c>
      <c r="N416" s="8" t="s">
        <v>164</v>
      </c>
      <c r="O416" s="8" t="str">
        <f t="shared" si="65"/>
        <v>Assam</v>
      </c>
      <c r="P416" s="8" t="s">
        <v>165</v>
      </c>
      <c r="Q416" s="8" t="str">
        <f t="shared" si="66"/>
        <v>Guwahati</v>
      </c>
      <c r="R416" s="8" t="s">
        <v>26</v>
      </c>
      <c r="S416" s="8" t="str">
        <f t="shared" si="67"/>
        <v>Office Supplies</v>
      </c>
      <c r="T416" s="8" t="s">
        <v>122</v>
      </c>
      <c r="U416" s="8" t="str">
        <f t="shared" si="68"/>
        <v>Storage</v>
      </c>
      <c r="V416" s="8" t="s">
        <v>1366</v>
      </c>
    </row>
    <row r="417" spans="1:22">
      <c r="A417" s="8" t="s">
        <v>1367</v>
      </c>
      <c r="B417" s="8">
        <f t="shared" si="60"/>
        <v>1</v>
      </c>
      <c r="C417" s="8" t="str">
        <f t="shared" si="61"/>
        <v>Unique</v>
      </c>
      <c r="D417" s="9">
        <v>45316</v>
      </c>
      <c r="E417" s="8">
        <f t="shared" si="62"/>
        <v>2</v>
      </c>
      <c r="F417" s="10">
        <v>45318</v>
      </c>
      <c r="G417" s="8" t="s">
        <v>1368</v>
      </c>
      <c r="H417" s="8" t="s">
        <v>126</v>
      </c>
      <c r="I417" s="8" t="str">
        <f t="shared" si="69"/>
        <v>Aarav Sharma</v>
      </c>
      <c r="J417" s="8" t="s">
        <v>88</v>
      </c>
      <c r="K417" s="8" t="str">
        <f t="shared" si="63"/>
        <v>Corporate</v>
      </c>
      <c r="L417" s="8" t="s">
        <v>52</v>
      </c>
      <c r="M417" s="8" t="str">
        <f t="shared" si="64"/>
        <v>South</v>
      </c>
      <c r="N417" s="8" t="s">
        <v>173</v>
      </c>
      <c r="O417" s="8" t="str">
        <f t="shared" si="65"/>
        <v>Karnataka</v>
      </c>
      <c r="P417" s="8" t="s">
        <v>174</v>
      </c>
      <c r="Q417" s="8" t="str">
        <f t="shared" si="66"/>
        <v>Bengaluru</v>
      </c>
      <c r="R417" s="8" t="s">
        <v>26</v>
      </c>
      <c r="S417" s="8" t="str">
        <f t="shared" si="67"/>
        <v>Office Supplies</v>
      </c>
      <c r="T417" s="8" t="s">
        <v>122</v>
      </c>
      <c r="U417" s="8" t="str">
        <f t="shared" si="68"/>
        <v>Storage</v>
      </c>
      <c r="V417" s="8" t="s">
        <v>1369</v>
      </c>
    </row>
    <row r="418" spans="1:22">
      <c r="A418" s="8" t="s">
        <v>1370</v>
      </c>
      <c r="B418" s="8">
        <f t="shared" si="60"/>
        <v>1</v>
      </c>
      <c r="C418" s="8" t="str">
        <f t="shared" si="61"/>
        <v>Unique</v>
      </c>
      <c r="D418" s="9">
        <v>45870</v>
      </c>
      <c r="E418" s="8">
        <f t="shared" si="62"/>
        <v>-197</v>
      </c>
      <c r="F418" s="10">
        <v>45673</v>
      </c>
      <c r="G418" s="8" t="s">
        <v>1371</v>
      </c>
      <c r="H418" s="8" t="s">
        <v>77</v>
      </c>
      <c r="I418" s="8" t="str">
        <f t="shared" si="69"/>
        <v>Neha Gupta</v>
      </c>
      <c r="J418" s="8" t="s">
        <v>22</v>
      </c>
      <c r="K418" s="8" t="str">
        <f t="shared" si="63"/>
        <v>Consumer</v>
      </c>
      <c r="L418" s="8" t="s">
        <v>52</v>
      </c>
      <c r="M418" s="8" t="str">
        <f t="shared" si="64"/>
        <v>South</v>
      </c>
      <c r="N418" s="8" t="s">
        <v>53</v>
      </c>
      <c r="O418" s="8" t="str">
        <f t="shared" si="65"/>
        <v>Telangana</v>
      </c>
      <c r="P418" s="8" t="s">
        <v>54</v>
      </c>
      <c r="Q418" s="8" t="str">
        <f t="shared" si="66"/>
        <v>Hyderabad</v>
      </c>
      <c r="R418" s="8" t="s">
        <v>39</v>
      </c>
      <c r="S418" s="8" t="str">
        <f t="shared" si="67"/>
        <v>Furniture</v>
      </c>
      <c r="T418" s="8" t="s">
        <v>55</v>
      </c>
      <c r="U418" s="8" t="str">
        <f t="shared" si="68"/>
        <v>Furnishings</v>
      </c>
      <c r="V418" s="8" t="s">
        <v>1372</v>
      </c>
    </row>
    <row r="419" spans="1:22">
      <c r="A419" s="8" t="s">
        <v>1373</v>
      </c>
      <c r="B419" s="8">
        <f t="shared" si="60"/>
        <v>1</v>
      </c>
      <c r="C419" s="8" t="str">
        <f t="shared" si="61"/>
        <v>Unique</v>
      </c>
      <c r="D419" s="9">
        <v>45686</v>
      </c>
      <c r="E419" s="8">
        <f t="shared" si="62"/>
        <v>7</v>
      </c>
      <c r="F419" s="10">
        <v>45693</v>
      </c>
      <c r="G419" s="8" t="s">
        <v>1374</v>
      </c>
      <c r="H419" s="8" t="s">
        <v>34</v>
      </c>
      <c r="I419" s="8" t="str">
        <f t="shared" si="69"/>
        <v>Mira Das</v>
      </c>
      <c r="J419" s="8" t="s">
        <v>22</v>
      </c>
      <c r="K419" s="8" t="str">
        <f t="shared" si="63"/>
        <v>Consumer</v>
      </c>
      <c r="L419" s="8" t="s">
        <v>61</v>
      </c>
      <c r="M419" s="8" t="str">
        <f t="shared" si="64"/>
        <v>West</v>
      </c>
      <c r="N419" s="8" t="s">
        <v>178</v>
      </c>
      <c r="O419" s="8" t="str">
        <f t="shared" si="65"/>
        <v>Gujarat</v>
      </c>
      <c r="P419" s="8" t="s">
        <v>179</v>
      </c>
      <c r="Q419" s="8" t="str">
        <f t="shared" si="66"/>
        <v>Ahmedabad</v>
      </c>
      <c r="R419" s="8" t="s">
        <v>26</v>
      </c>
      <c r="S419" s="8" t="str">
        <f t="shared" si="67"/>
        <v>Office Supplies</v>
      </c>
      <c r="T419" s="8" t="s">
        <v>46</v>
      </c>
      <c r="U419" s="8" t="str">
        <f t="shared" si="68"/>
        <v>Art</v>
      </c>
      <c r="V419" s="8" t="s">
        <v>1375</v>
      </c>
    </row>
    <row r="420" spans="1:22">
      <c r="A420" s="8" t="s">
        <v>1376</v>
      </c>
      <c r="B420" s="8">
        <f t="shared" si="60"/>
        <v>1</v>
      </c>
      <c r="C420" s="8" t="str">
        <f t="shared" si="61"/>
        <v>Unique</v>
      </c>
      <c r="D420" s="9">
        <v>45605</v>
      </c>
      <c r="E420" s="8">
        <f t="shared" si="62"/>
        <v>8</v>
      </c>
      <c r="F420" s="10">
        <v>45613</v>
      </c>
      <c r="G420" s="8" t="s">
        <v>1377</v>
      </c>
      <c r="H420" s="8" t="s">
        <v>130</v>
      </c>
      <c r="I420" s="8" t="str">
        <f t="shared" si="69"/>
        <v>Sneha Kapoor</v>
      </c>
      <c r="J420" s="8" t="s">
        <v>88</v>
      </c>
      <c r="K420" s="8" t="str">
        <f t="shared" si="63"/>
        <v>Corporate</v>
      </c>
      <c r="L420" s="8" t="s">
        <v>36</v>
      </c>
      <c r="M420" s="8" t="str">
        <f t="shared" si="64"/>
        <v>East</v>
      </c>
      <c r="N420" s="8" t="s">
        <v>37</v>
      </c>
      <c r="O420" s="8" t="str">
        <f t="shared" si="65"/>
        <v>Odisha</v>
      </c>
      <c r="P420" s="8" t="s">
        <v>38</v>
      </c>
      <c r="Q420" s="8" t="str">
        <f t="shared" si="66"/>
        <v>Bhubaneswar</v>
      </c>
      <c r="R420" s="8" t="s">
        <v>72</v>
      </c>
      <c r="S420" s="8" t="str">
        <f t="shared" si="67"/>
        <v>Technology</v>
      </c>
      <c r="T420" s="8" t="s">
        <v>78</v>
      </c>
      <c r="U420" s="8" t="str">
        <f t="shared" si="68"/>
        <v>Copiers</v>
      </c>
      <c r="V420" s="8" t="s">
        <v>1378</v>
      </c>
    </row>
    <row r="421" spans="1:22">
      <c r="A421" s="8" t="s">
        <v>1379</v>
      </c>
      <c r="B421" s="8">
        <f t="shared" si="60"/>
        <v>1</v>
      </c>
      <c r="C421" s="8" t="str">
        <f t="shared" si="61"/>
        <v>Unique</v>
      </c>
      <c r="D421" s="9">
        <v>45926</v>
      </c>
      <c r="E421" s="8">
        <f t="shared" si="62"/>
        <v>4</v>
      </c>
      <c r="F421" s="10">
        <v>45930</v>
      </c>
      <c r="G421" s="8" t="s">
        <v>1380</v>
      </c>
      <c r="H421" s="8" t="s">
        <v>130</v>
      </c>
      <c r="I421" s="8" t="str">
        <f t="shared" si="69"/>
        <v>Sneha Kapoor</v>
      </c>
      <c r="J421" s="8" t="s">
        <v>93</v>
      </c>
      <c r="K421" s="8" t="str">
        <f t="shared" si="63"/>
        <v>Home Office</v>
      </c>
      <c r="L421" s="8" t="s">
        <v>23</v>
      </c>
      <c r="M421" s="8" t="str">
        <f t="shared" si="64"/>
        <v>North</v>
      </c>
      <c r="N421" s="8" t="s">
        <v>235</v>
      </c>
      <c r="O421" s="8" t="str">
        <f t="shared" si="65"/>
        <v>Haryana</v>
      </c>
      <c r="P421" s="8" t="s">
        <v>236</v>
      </c>
      <c r="Q421" s="8" t="str">
        <f t="shared" si="66"/>
        <v>Gurugram</v>
      </c>
      <c r="R421" s="8" t="s">
        <v>72</v>
      </c>
      <c r="S421" s="8" t="str">
        <f t="shared" si="67"/>
        <v>Technology</v>
      </c>
      <c r="T421" s="8" t="s">
        <v>169</v>
      </c>
      <c r="U421" s="8" t="str">
        <f t="shared" si="68"/>
        <v>Phones</v>
      </c>
      <c r="V421" s="8" t="s">
        <v>1381</v>
      </c>
    </row>
    <row r="422" spans="1:22">
      <c r="A422" s="8" t="s">
        <v>1382</v>
      </c>
      <c r="B422" s="8">
        <f t="shared" si="60"/>
        <v>1</v>
      </c>
      <c r="C422" s="8" t="str">
        <f t="shared" si="61"/>
        <v>Unique</v>
      </c>
      <c r="D422" s="9">
        <v>45734</v>
      </c>
      <c r="E422" s="8">
        <f t="shared" si="62"/>
        <v>1</v>
      </c>
      <c r="F422" s="10">
        <v>45735</v>
      </c>
      <c r="G422" s="8" t="s">
        <v>1383</v>
      </c>
      <c r="H422" s="8" t="s">
        <v>45</v>
      </c>
      <c r="I422" s="8" t="str">
        <f t="shared" si="69"/>
        <v>Isha Nair</v>
      </c>
      <c r="J422" s="8" t="s">
        <v>88</v>
      </c>
      <c r="K422" s="8" t="str">
        <f t="shared" si="63"/>
        <v>Corporate</v>
      </c>
      <c r="L422" s="8" t="s">
        <v>52</v>
      </c>
      <c r="M422" s="8" t="str">
        <f t="shared" si="64"/>
        <v>South</v>
      </c>
      <c r="N422" s="8" t="s">
        <v>246</v>
      </c>
      <c r="O422" s="8" t="str">
        <f t="shared" si="65"/>
        <v>Tamil Nadu</v>
      </c>
      <c r="P422" s="8" t="s">
        <v>247</v>
      </c>
      <c r="Q422" s="8" t="str">
        <f t="shared" si="66"/>
        <v>Chennai</v>
      </c>
      <c r="R422" s="8" t="s">
        <v>72</v>
      </c>
      <c r="S422" s="8" t="str">
        <f t="shared" si="67"/>
        <v>Technology</v>
      </c>
      <c r="T422" s="8" t="s">
        <v>273</v>
      </c>
      <c r="U422" s="8" t="str">
        <f t="shared" si="68"/>
        <v>Machines</v>
      </c>
      <c r="V422" s="8" t="s">
        <v>1384</v>
      </c>
    </row>
    <row r="423" spans="1:22">
      <c r="A423" s="8" t="s">
        <v>1385</v>
      </c>
      <c r="B423" s="8">
        <f t="shared" si="60"/>
        <v>1</v>
      </c>
      <c r="C423" s="8" t="str">
        <f t="shared" si="61"/>
        <v>Unique</v>
      </c>
      <c r="D423" s="9">
        <v>45822</v>
      </c>
      <c r="E423" s="8">
        <f t="shared" si="62"/>
        <v>5</v>
      </c>
      <c r="F423" s="10">
        <v>45827</v>
      </c>
      <c r="G423" s="8" t="s">
        <v>1386</v>
      </c>
      <c r="H423" s="8" t="s">
        <v>139</v>
      </c>
      <c r="I423" s="8" t="str">
        <f t="shared" si="69"/>
        <v>Rohan Mehta</v>
      </c>
      <c r="J423" s="8" t="s">
        <v>35</v>
      </c>
      <c r="K423" s="8" t="str">
        <f t="shared" si="63"/>
        <v>Small Business</v>
      </c>
      <c r="L423" s="8" t="s">
        <v>23</v>
      </c>
      <c r="M423" s="8" t="str">
        <f t="shared" si="64"/>
        <v>North</v>
      </c>
      <c r="N423" s="8" t="s">
        <v>349</v>
      </c>
      <c r="O423" s="8" t="str">
        <f t="shared" si="65"/>
        <v>Delhi</v>
      </c>
      <c r="P423" s="8" t="s">
        <v>350</v>
      </c>
      <c r="Q423" s="8" t="str">
        <f t="shared" si="66"/>
        <v>New Delhi</v>
      </c>
      <c r="R423" s="8" t="s">
        <v>26</v>
      </c>
      <c r="S423" s="8" t="str">
        <f t="shared" si="67"/>
        <v>Office Supplies</v>
      </c>
      <c r="T423" s="8" t="s">
        <v>151</v>
      </c>
      <c r="U423" s="8" t="str">
        <f t="shared" si="68"/>
        <v>Binders</v>
      </c>
      <c r="V423" s="8" t="s">
        <v>1387</v>
      </c>
    </row>
    <row r="424" spans="1:22">
      <c r="A424" s="8" t="s">
        <v>1388</v>
      </c>
      <c r="B424" s="8">
        <f t="shared" si="60"/>
        <v>1</v>
      </c>
      <c r="C424" s="8" t="str">
        <f t="shared" si="61"/>
        <v>Unique</v>
      </c>
      <c r="D424" s="9">
        <v>45903</v>
      </c>
      <c r="E424" s="8">
        <f t="shared" si="62"/>
        <v>-86</v>
      </c>
      <c r="F424" s="10">
        <v>45817</v>
      </c>
      <c r="G424" s="8" t="s">
        <v>1389</v>
      </c>
      <c r="H424" s="8" t="s">
        <v>263</v>
      </c>
      <c r="I424" s="8" t="str">
        <f t="shared" si="69"/>
        <v>Kabir Singh</v>
      </c>
      <c r="J424" s="8" t="s">
        <v>22</v>
      </c>
      <c r="K424" s="8" t="str">
        <f t="shared" si="63"/>
        <v>Consumer</v>
      </c>
      <c r="L424" s="8" t="s">
        <v>61</v>
      </c>
      <c r="M424" s="8" t="str">
        <f t="shared" si="64"/>
        <v>West</v>
      </c>
      <c r="N424" s="8" t="s">
        <v>70</v>
      </c>
      <c r="O424" s="8" t="str">
        <f t="shared" si="65"/>
        <v>Madhya Pradesh</v>
      </c>
      <c r="P424" s="8" t="s">
        <v>71</v>
      </c>
      <c r="Q424" s="8" t="str">
        <f t="shared" si="66"/>
        <v>Indore</v>
      </c>
      <c r="R424" s="8" t="s">
        <v>72</v>
      </c>
      <c r="S424" s="8" t="str">
        <f t="shared" si="67"/>
        <v>Technology</v>
      </c>
      <c r="T424" s="8" t="s">
        <v>78</v>
      </c>
      <c r="U424" s="8" t="str">
        <f t="shared" si="68"/>
        <v>Copiers</v>
      </c>
      <c r="V424" s="8" t="s">
        <v>1390</v>
      </c>
    </row>
    <row r="425" spans="1:22">
      <c r="A425" s="8" t="s">
        <v>1391</v>
      </c>
      <c r="B425" s="8">
        <f t="shared" si="60"/>
        <v>2</v>
      </c>
      <c r="C425" s="8" t="str">
        <f t="shared" si="61"/>
        <v>Review Duplicate ID</v>
      </c>
      <c r="D425" s="9">
        <v>45342</v>
      </c>
      <c r="E425" s="8">
        <f t="shared" si="62"/>
        <v>7</v>
      </c>
      <c r="F425" s="10">
        <v>45349</v>
      </c>
      <c r="G425" s="8" t="s">
        <v>1392</v>
      </c>
      <c r="H425" s="8" t="s">
        <v>160</v>
      </c>
      <c r="I425" s="8" t="str">
        <f t="shared" si="69"/>
        <v>Diya Patel</v>
      </c>
      <c r="J425" s="8" t="s">
        <v>22</v>
      </c>
      <c r="K425" s="8" t="str">
        <f t="shared" si="63"/>
        <v>Consumer</v>
      </c>
      <c r="L425" s="8" t="s">
        <v>52</v>
      </c>
      <c r="M425" s="8" t="str">
        <f t="shared" si="64"/>
        <v>South</v>
      </c>
      <c r="N425" s="8" t="s">
        <v>183</v>
      </c>
      <c r="O425" s="8" t="str">
        <f t="shared" si="65"/>
        <v>Kerala</v>
      </c>
      <c r="P425" s="8" t="s">
        <v>184</v>
      </c>
      <c r="Q425" s="8" t="str">
        <f t="shared" si="66"/>
        <v>Kochi</v>
      </c>
      <c r="R425" s="8" t="s">
        <v>72</v>
      </c>
      <c r="S425" s="8" t="str">
        <f t="shared" si="67"/>
        <v>Technology</v>
      </c>
      <c r="T425" s="8" t="s">
        <v>73</v>
      </c>
      <c r="U425" s="8" t="str">
        <f t="shared" si="68"/>
        <v>Accessories</v>
      </c>
      <c r="V425" s="8" t="s">
        <v>1393</v>
      </c>
    </row>
    <row r="426" spans="1:22">
      <c r="A426" s="8" t="s">
        <v>1395</v>
      </c>
      <c r="B426" s="8">
        <f t="shared" si="60"/>
        <v>1</v>
      </c>
      <c r="C426" s="8" t="str">
        <f t="shared" si="61"/>
        <v>Unique</v>
      </c>
      <c r="D426" s="9">
        <v>45469</v>
      </c>
      <c r="E426" s="8">
        <f t="shared" si="62"/>
        <v>3</v>
      </c>
      <c r="F426" s="10">
        <v>45472</v>
      </c>
      <c r="G426" s="8" t="s">
        <v>1396</v>
      </c>
      <c r="H426" s="8" t="s">
        <v>77</v>
      </c>
      <c r="I426" s="8" t="str">
        <f t="shared" si="69"/>
        <v>Neha Gupta</v>
      </c>
      <c r="J426" s="8" t="s">
        <v>88</v>
      </c>
      <c r="K426" s="8" t="str">
        <f t="shared" si="63"/>
        <v>Corporate</v>
      </c>
      <c r="L426" s="8" t="s">
        <v>23</v>
      </c>
      <c r="M426" s="8" t="str">
        <f t="shared" si="64"/>
        <v>North</v>
      </c>
      <c r="N426" s="8" t="s">
        <v>120</v>
      </c>
      <c r="O426" s="8" t="str">
        <f t="shared" si="65"/>
        <v>Punjab</v>
      </c>
      <c r="P426" s="8" t="s">
        <v>121</v>
      </c>
      <c r="Q426" s="8" t="str">
        <f t="shared" si="66"/>
        <v>Ludhiana</v>
      </c>
      <c r="R426" s="8" t="s">
        <v>72</v>
      </c>
      <c r="S426" s="8" t="str">
        <f t="shared" si="67"/>
        <v>Technology</v>
      </c>
      <c r="T426" s="8" t="s">
        <v>169</v>
      </c>
      <c r="U426" s="8" t="str">
        <f t="shared" si="68"/>
        <v>Phones</v>
      </c>
      <c r="V426" s="8" t="s">
        <v>1397</v>
      </c>
    </row>
    <row r="427" spans="1:22">
      <c r="A427" s="8" t="s">
        <v>1398</v>
      </c>
      <c r="B427" s="8">
        <f t="shared" si="60"/>
        <v>1</v>
      </c>
      <c r="C427" s="8" t="str">
        <f t="shared" si="61"/>
        <v>Unique</v>
      </c>
      <c r="D427" s="9">
        <v>45561</v>
      </c>
      <c r="E427" s="8">
        <f t="shared" si="62"/>
        <v>1</v>
      </c>
      <c r="F427" s="10">
        <v>45562</v>
      </c>
      <c r="G427" s="8" t="s">
        <v>1399</v>
      </c>
      <c r="H427" s="8" t="s">
        <v>45</v>
      </c>
      <c r="I427" s="8" t="str">
        <f t="shared" si="69"/>
        <v>Isha Nair</v>
      </c>
      <c r="J427" s="8" t="s">
        <v>93</v>
      </c>
      <c r="K427" s="8" t="str">
        <f t="shared" si="63"/>
        <v>Home Office</v>
      </c>
      <c r="L427" s="8" t="s">
        <v>23</v>
      </c>
      <c r="M427" s="8" t="str">
        <f t="shared" si="64"/>
        <v>North</v>
      </c>
      <c r="N427" s="8" t="s">
        <v>349</v>
      </c>
      <c r="O427" s="8" t="str">
        <f t="shared" si="65"/>
        <v>Delhi</v>
      </c>
      <c r="P427" s="8" t="s">
        <v>350</v>
      </c>
      <c r="Q427" s="8" t="str">
        <f t="shared" si="66"/>
        <v>New Delhi</v>
      </c>
      <c r="R427" s="8" t="s">
        <v>26</v>
      </c>
      <c r="S427" s="8" t="str">
        <f t="shared" si="67"/>
        <v>Office Supplies</v>
      </c>
      <c r="T427" s="8" t="s">
        <v>89</v>
      </c>
      <c r="U427" s="8" t="str">
        <f t="shared" si="68"/>
        <v>Labels</v>
      </c>
      <c r="V427" s="8" t="s">
        <v>1400</v>
      </c>
    </row>
    <row r="428" spans="1:22">
      <c r="A428" s="8" t="s">
        <v>1401</v>
      </c>
      <c r="B428" s="8">
        <f t="shared" si="60"/>
        <v>1</v>
      </c>
      <c r="C428" s="8" t="str">
        <f t="shared" si="61"/>
        <v>Unique</v>
      </c>
      <c r="D428" s="9">
        <v>45473</v>
      </c>
      <c r="E428" s="8">
        <f t="shared" si="62"/>
        <v>-175</v>
      </c>
      <c r="F428" s="10">
        <v>45298</v>
      </c>
      <c r="G428" s="8" t="s">
        <v>1402</v>
      </c>
      <c r="H428" s="8" t="s">
        <v>87</v>
      </c>
      <c r="I428" s="8" t="str">
        <f t="shared" si="69"/>
        <v>Aditi Sen</v>
      </c>
      <c r="J428" s="8" t="s">
        <v>22</v>
      </c>
      <c r="K428" s="8" t="str">
        <f t="shared" si="63"/>
        <v>Consumer</v>
      </c>
      <c r="L428" s="8" t="s">
        <v>23</v>
      </c>
      <c r="M428" s="8" t="str">
        <f t="shared" si="64"/>
        <v>North</v>
      </c>
      <c r="N428" s="8" t="s">
        <v>235</v>
      </c>
      <c r="O428" s="8" t="str">
        <f t="shared" si="65"/>
        <v>Haryana</v>
      </c>
      <c r="P428" s="8" t="s">
        <v>236</v>
      </c>
      <c r="Q428" s="8" t="str">
        <f t="shared" si="66"/>
        <v>Gurugram</v>
      </c>
      <c r="R428" s="8" t="s">
        <v>72</v>
      </c>
      <c r="S428" s="8" t="str">
        <f t="shared" si="67"/>
        <v>Technology</v>
      </c>
      <c r="T428" s="8" t="s">
        <v>78</v>
      </c>
      <c r="U428" s="8" t="str">
        <f t="shared" si="68"/>
        <v>Copiers</v>
      </c>
      <c r="V428" s="8" t="s">
        <v>1403</v>
      </c>
    </row>
    <row r="429" spans="1:22">
      <c r="A429" s="8" t="s">
        <v>1404</v>
      </c>
      <c r="B429" s="8">
        <f t="shared" si="60"/>
        <v>1</v>
      </c>
      <c r="C429" s="8" t="str">
        <f t="shared" si="61"/>
        <v>Unique</v>
      </c>
      <c r="D429" s="9">
        <v>45769</v>
      </c>
      <c r="E429" s="8">
        <f t="shared" si="62"/>
        <v>2</v>
      </c>
      <c r="F429" s="10">
        <v>45771</v>
      </c>
      <c r="G429" s="8" t="s">
        <v>1405</v>
      </c>
      <c r="H429" s="8" t="s">
        <v>45</v>
      </c>
      <c r="I429" s="8" t="str">
        <f t="shared" si="69"/>
        <v>Isha Nair</v>
      </c>
      <c r="J429" s="8" t="s">
        <v>88</v>
      </c>
      <c r="K429" s="8" t="str">
        <f t="shared" si="63"/>
        <v>Corporate</v>
      </c>
      <c r="M429" s="8" t="str">
        <f t="shared" si="64"/>
        <v/>
      </c>
      <c r="N429" s="8" t="s">
        <v>227</v>
      </c>
      <c r="O429" s="8" t="str">
        <f t="shared" si="65"/>
        <v>Jharkhand</v>
      </c>
      <c r="P429" s="8" t="s">
        <v>228</v>
      </c>
      <c r="Q429" s="8" t="str">
        <f t="shared" si="66"/>
        <v>Ranchi</v>
      </c>
      <c r="R429" s="8" t="s">
        <v>72</v>
      </c>
      <c r="S429" s="8" t="str">
        <f t="shared" si="67"/>
        <v>Technology</v>
      </c>
      <c r="T429" s="8" t="s">
        <v>73</v>
      </c>
      <c r="U429" s="8" t="str">
        <f t="shared" si="68"/>
        <v>Accessories</v>
      </c>
      <c r="V429" s="8" t="s">
        <v>1406</v>
      </c>
    </row>
    <row r="430" spans="1:22">
      <c r="A430" s="8" t="s">
        <v>1407</v>
      </c>
      <c r="B430" s="8">
        <f t="shared" si="60"/>
        <v>1</v>
      </c>
      <c r="C430" s="8" t="str">
        <f t="shared" si="61"/>
        <v>Unique</v>
      </c>
      <c r="D430" s="9">
        <v>45731</v>
      </c>
      <c r="E430" s="8">
        <f t="shared" si="62"/>
        <v>7</v>
      </c>
      <c r="F430" s="10">
        <v>45738</v>
      </c>
      <c r="G430" s="8" t="s">
        <v>1408</v>
      </c>
      <c r="H430" s="8" t="s">
        <v>21</v>
      </c>
      <c r="I430" s="8" t="str">
        <f t="shared" si="69"/>
        <v>Karan Malhotra</v>
      </c>
      <c r="J430" s="8" t="s">
        <v>35</v>
      </c>
      <c r="K430" s="8" t="str">
        <f t="shared" si="63"/>
        <v>Small Business</v>
      </c>
      <c r="L430" s="8" t="s">
        <v>36</v>
      </c>
      <c r="M430" s="8" t="str">
        <f t="shared" si="64"/>
        <v>East</v>
      </c>
      <c r="N430" s="8" t="s">
        <v>97</v>
      </c>
      <c r="O430" s="8" t="str">
        <f t="shared" si="65"/>
        <v>West Bengal</v>
      </c>
      <c r="P430" s="8" t="s">
        <v>98</v>
      </c>
      <c r="Q430" s="8" t="str">
        <f t="shared" si="66"/>
        <v>Kolkata</v>
      </c>
      <c r="R430" s="8" t="s">
        <v>72</v>
      </c>
      <c r="S430" s="8" t="str">
        <f t="shared" si="67"/>
        <v>Technology</v>
      </c>
      <c r="T430" s="8" t="s">
        <v>169</v>
      </c>
      <c r="U430" s="8" t="str">
        <f t="shared" si="68"/>
        <v>Phones</v>
      </c>
      <c r="V430" s="8" t="s">
        <v>1409</v>
      </c>
    </row>
    <row r="431" spans="1:22">
      <c r="A431" s="8" t="s">
        <v>1410</v>
      </c>
      <c r="B431" s="8">
        <f t="shared" si="60"/>
        <v>1</v>
      </c>
      <c r="C431" s="8" t="str">
        <f t="shared" si="61"/>
        <v>Unique</v>
      </c>
      <c r="D431" s="9">
        <v>45660</v>
      </c>
      <c r="E431" s="8">
        <f t="shared" si="62"/>
        <v>212</v>
      </c>
      <c r="F431" s="10">
        <v>45872</v>
      </c>
      <c r="G431" s="8" t="s">
        <v>1411</v>
      </c>
      <c r="H431" s="8" t="s">
        <v>77</v>
      </c>
      <c r="I431" s="8" t="str">
        <f t="shared" si="69"/>
        <v>Neha Gupta</v>
      </c>
      <c r="J431" s="8" t="s">
        <v>93</v>
      </c>
      <c r="K431" s="8" t="str">
        <f t="shared" si="63"/>
        <v>Home Office</v>
      </c>
      <c r="L431" s="8" t="s">
        <v>23</v>
      </c>
      <c r="M431" s="8" t="str">
        <f t="shared" si="64"/>
        <v>North</v>
      </c>
      <c r="N431" s="8" t="s">
        <v>24</v>
      </c>
      <c r="O431" s="8" t="str">
        <f t="shared" si="65"/>
        <v>Rajasthan</v>
      </c>
      <c r="P431" s="8" t="s">
        <v>25</v>
      </c>
      <c r="Q431" s="8" t="str">
        <f t="shared" si="66"/>
        <v>Jaipur</v>
      </c>
      <c r="R431" s="8" t="s">
        <v>72</v>
      </c>
      <c r="S431" s="8" t="str">
        <f t="shared" si="67"/>
        <v>Technology</v>
      </c>
      <c r="T431" s="8" t="s">
        <v>78</v>
      </c>
      <c r="U431" s="8" t="str">
        <f t="shared" si="68"/>
        <v>Copiers</v>
      </c>
      <c r="V431" s="8" t="s">
        <v>1412</v>
      </c>
    </row>
    <row r="432" spans="1:22">
      <c r="A432" s="8" t="s">
        <v>1413</v>
      </c>
      <c r="B432" s="8">
        <f t="shared" si="60"/>
        <v>1</v>
      </c>
      <c r="C432" s="8" t="str">
        <f t="shared" si="61"/>
        <v>Unique</v>
      </c>
      <c r="D432" s="9">
        <v>45534</v>
      </c>
      <c r="E432" s="8">
        <f t="shared" si="62"/>
        <v>-203</v>
      </c>
      <c r="F432" s="10">
        <v>45331</v>
      </c>
      <c r="G432" s="8" t="s">
        <v>1414</v>
      </c>
      <c r="H432" s="8" t="s">
        <v>77</v>
      </c>
      <c r="I432" s="8" t="str">
        <f t="shared" si="69"/>
        <v>Neha Gupta</v>
      </c>
      <c r="J432" s="8" t="s">
        <v>35</v>
      </c>
      <c r="K432" s="8" t="str">
        <f t="shared" si="63"/>
        <v>Small Business</v>
      </c>
      <c r="L432" s="8" t="s">
        <v>23</v>
      </c>
      <c r="M432" s="8" t="str">
        <f t="shared" si="64"/>
        <v>North</v>
      </c>
      <c r="N432" s="8" t="s">
        <v>235</v>
      </c>
      <c r="O432" s="8" t="str">
        <f t="shared" si="65"/>
        <v>Haryana</v>
      </c>
      <c r="P432" s="8" t="s">
        <v>236</v>
      </c>
      <c r="Q432" s="8" t="str">
        <f t="shared" si="66"/>
        <v>Gurugram</v>
      </c>
      <c r="R432" s="8" t="s">
        <v>26</v>
      </c>
      <c r="S432" s="8" t="str">
        <f t="shared" si="67"/>
        <v>Office Supplies</v>
      </c>
      <c r="T432" s="8" t="s">
        <v>27</v>
      </c>
      <c r="U432" s="8" t="str">
        <f t="shared" si="68"/>
        <v>Paper</v>
      </c>
      <c r="V432" s="8" t="s">
        <v>1415</v>
      </c>
    </row>
    <row r="433" spans="1:22">
      <c r="A433" s="8" t="s">
        <v>1416</v>
      </c>
      <c r="B433" s="8">
        <f t="shared" si="60"/>
        <v>1</v>
      </c>
      <c r="C433" s="8" t="str">
        <f t="shared" si="61"/>
        <v>Unique</v>
      </c>
      <c r="D433" s="9">
        <v>45567</v>
      </c>
      <c r="E433" s="8">
        <f t="shared" si="62"/>
        <v>-232</v>
      </c>
      <c r="F433" s="10">
        <v>45335</v>
      </c>
      <c r="G433" s="8" t="s">
        <v>1417</v>
      </c>
      <c r="H433" s="8" t="s">
        <v>21</v>
      </c>
      <c r="I433" s="8" t="str">
        <f t="shared" si="69"/>
        <v>Karan Malhotra</v>
      </c>
      <c r="J433" s="8" t="s">
        <v>93</v>
      </c>
      <c r="K433" s="8" t="str">
        <f t="shared" si="63"/>
        <v>Home Office</v>
      </c>
      <c r="L433" s="8" t="s">
        <v>61</v>
      </c>
      <c r="M433" s="8" t="str">
        <f t="shared" si="64"/>
        <v>West</v>
      </c>
      <c r="N433" s="8" t="s">
        <v>188</v>
      </c>
      <c r="O433" s="8" t="str">
        <f t="shared" si="65"/>
        <v>Goa</v>
      </c>
      <c r="P433" s="8" t="s">
        <v>189</v>
      </c>
      <c r="Q433" s="8" t="str">
        <f t="shared" si="66"/>
        <v>Panaji</v>
      </c>
      <c r="R433" s="8" t="s">
        <v>72</v>
      </c>
      <c r="S433" s="8" t="str">
        <f t="shared" si="67"/>
        <v>Technology</v>
      </c>
      <c r="T433" s="8" t="s">
        <v>273</v>
      </c>
      <c r="U433" s="8" t="str">
        <f t="shared" si="68"/>
        <v>Machines</v>
      </c>
      <c r="V433" s="8" t="s">
        <v>1418</v>
      </c>
    </row>
    <row r="434" spans="1:22">
      <c r="A434" s="8" t="s">
        <v>1419</v>
      </c>
      <c r="B434" s="8">
        <f t="shared" si="60"/>
        <v>1</v>
      </c>
      <c r="C434" s="8" t="str">
        <f t="shared" si="61"/>
        <v>Unique</v>
      </c>
      <c r="D434" s="9">
        <v>45533</v>
      </c>
      <c r="E434" s="8">
        <f t="shared" si="62"/>
        <v>-202</v>
      </c>
      <c r="F434" s="10">
        <v>45331</v>
      </c>
      <c r="G434" s="8" t="s">
        <v>1420</v>
      </c>
      <c r="H434" s="8" t="s">
        <v>112</v>
      </c>
      <c r="I434" s="8" t="str">
        <f t="shared" si="69"/>
        <v>Priya Menon</v>
      </c>
      <c r="J434" s="8" t="s">
        <v>35</v>
      </c>
      <c r="K434" s="8" t="str">
        <f t="shared" si="63"/>
        <v>Small Business</v>
      </c>
      <c r="L434" s="8" t="s">
        <v>61</v>
      </c>
      <c r="M434" s="8" t="str">
        <f t="shared" si="64"/>
        <v>West</v>
      </c>
      <c r="N434" s="8" t="s">
        <v>62</v>
      </c>
      <c r="O434" s="8" t="str">
        <f t="shared" si="65"/>
        <v>Maharashtra</v>
      </c>
      <c r="P434" s="8" t="s">
        <v>63</v>
      </c>
      <c r="Q434" s="8" t="str">
        <f t="shared" si="66"/>
        <v>Mumbai</v>
      </c>
      <c r="R434" s="8" t="s">
        <v>39</v>
      </c>
      <c r="S434" s="8" t="str">
        <f t="shared" si="67"/>
        <v>Furniture</v>
      </c>
      <c r="T434" s="8" t="s">
        <v>156</v>
      </c>
      <c r="U434" s="8" t="str">
        <f t="shared" si="68"/>
        <v>Bookcases</v>
      </c>
      <c r="V434" s="8" t="s">
        <v>1421</v>
      </c>
    </row>
    <row r="435" spans="1:22">
      <c r="A435" s="8" t="s">
        <v>1422</v>
      </c>
      <c r="B435" s="8">
        <f t="shared" si="60"/>
        <v>1</v>
      </c>
      <c r="C435" s="8" t="str">
        <f t="shared" si="61"/>
        <v>Unique</v>
      </c>
      <c r="D435" s="9">
        <v>45401</v>
      </c>
      <c r="E435" s="8">
        <f t="shared" si="62"/>
        <v>1</v>
      </c>
      <c r="F435" s="10">
        <v>45402</v>
      </c>
      <c r="G435" s="8" t="s">
        <v>1423</v>
      </c>
      <c r="H435" s="8" t="s">
        <v>112</v>
      </c>
      <c r="I435" s="8" t="str">
        <f t="shared" si="69"/>
        <v>Priya Menon</v>
      </c>
      <c r="J435" s="8" t="s">
        <v>88</v>
      </c>
      <c r="K435" s="8" t="str">
        <f t="shared" si="63"/>
        <v>Corporate</v>
      </c>
      <c r="L435" s="8" t="s">
        <v>52</v>
      </c>
      <c r="M435" s="8" t="str">
        <f t="shared" si="64"/>
        <v>South</v>
      </c>
      <c r="N435" s="8" t="s">
        <v>183</v>
      </c>
      <c r="O435" s="8" t="str">
        <f t="shared" si="65"/>
        <v>Kerala</v>
      </c>
      <c r="P435" s="8" t="s">
        <v>184</v>
      </c>
      <c r="Q435" s="8" t="str">
        <f t="shared" si="66"/>
        <v>Kochi</v>
      </c>
      <c r="R435" s="8" t="s">
        <v>26</v>
      </c>
      <c r="S435" s="8" t="str">
        <f t="shared" si="67"/>
        <v>Office Supplies</v>
      </c>
      <c r="T435" s="8" t="s">
        <v>46</v>
      </c>
      <c r="U435" s="8" t="str">
        <f t="shared" si="68"/>
        <v>Art</v>
      </c>
      <c r="V435" s="8" t="s">
        <v>1424</v>
      </c>
    </row>
    <row r="436" spans="1:22">
      <c r="A436" s="8" t="s">
        <v>1425</v>
      </c>
      <c r="B436" s="8">
        <f t="shared" si="60"/>
        <v>1</v>
      </c>
      <c r="C436" s="8" t="str">
        <f t="shared" si="61"/>
        <v>Unique</v>
      </c>
      <c r="D436" s="9">
        <v>45758</v>
      </c>
      <c r="E436" s="8">
        <f t="shared" si="62"/>
        <v>4</v>
      </c>
      <c r="F436" s="10">
        <v>45762</v>
      </c>
      <c r="G436" s="8" t="s">
        <v>1426</v>
      </c>
      <c r="H436" s="8" t="s">
        <v>34</v>
      </c>
      <c r="I436" s="8" t="str">
        <f t="shared" si="69"/>
        <v>Mira Das</v>
      </c>
      <c r="J436" s="8" t="s">
        <v>93</v>
      </c>
      <c r="K436" s="8" t="str">
        <f t="shared" si="63"/>
        <v>Home Office</v>
      </c>
      <c r="L436" s="8" t="s">
        <v>23</v>
      </c>
      <c r="M436" s="8" t="str">
        <f t="shared" si="64"/>
        <v>North</v>
      </c>
      <c r="N436" s="8" t="s">
        <v>134</v>
      </c>
      <c r="O436" s="8" t="str">
        <f t="shared" si="65"/>
        <v>Uttar Pradesh</v>
      </c>
      <c r="P436" s="8" t="s">
        <v>135</v>
      </c>
      <c r="Q436" s="8" t="str">
        <f t="shared" si="66"/>
        <v>Noida</v>
      </c>
      <c r="R436" s="8" t="s">
        <v>72</v>
      </c>
      <c r="S436" s="8" t="str">
        <f t="shared" si="67"/>
        <v>Technology</v>
      </c>
      <c r="T436" s="8" t="s">
        <v>73</v>
      </c>
      <c r="U436" s="8" t="str">
        <f t="shared" si="68"/>
        <v>Accessories</v>
      </c>
      <c r="V436" s="8" t="s">
        <v>1427</v>
      </c>
    </row>
    <row r="437" spans="1:22">
      <c r="A437" s="8" t="s">
        <v>1428</v>
      </c>
      <c r="B437" s="8">
        <f t="shared" si="60"/>
        <v>1</v>
      </c>
      <c r="C437" s="8" t="str">
        <f t="shared" si="61"/>
        <v>Unique</v>
      </c>
      <c r="D437" s="9">
        <v>45995</v>
      </c>
      <c r="E437" s="8">
        <f t="shared" si="62"/>
        <v>-228</v>
      </c>
      <c r="F437" s="10">
        <v>45767</v>
      </c>
      <c r="G437" s="8" t="s">
        <v>1429</v>
      </c>
      <c r="H437" s="8" t="s">
        <v>263</v>
      </c>
      <c r="I437" s="8" t="str">
        <f t="shared" si="69"/>
        <v>Kabir Singh</v>
      </c>
      <c r="J437" s="8" t="s">
        <v>93</v>
      </c>
      <c r="K437" s="8" t="str">
        <f t="shared" si="63"/>
        <v>Home Office</v>
      </c>
      <c r="L437" s="8" t="s">
        <v>23</v>
      </c>
      <c r="M437" s="8" t="str">
        <f t="shared" si="64"/>
        <v>North</v>
      </c>
      <c r="N437" s="8" t="s">
        <v>349</v>
      </c>
      <c r="O437" s="8" t="str">
        <f t="shared" si="65"/>
        <v>Delhi</v>
      </c>
      <c r="P437" s="8" t="s">
        <v>350</v>
      </c>
      <c r="Q437" s="8" t="str">
        <f t="shared" si="66"/>
        <v>New Delhi</v>
      </c>
      <c r="R437" s="8" t="s">
        <v>72</v>
      </c>
      <c r="S437" s="8" t="str">
        <f t="shared" si="67"/>
        <v>Technology</v>
      </c>
      <c r="T437" s="8" t="s">
        <v>273</v>
      </c>
      <c r="U437" s="8" t="str">
        <f t="shared" si="68"/>
        <v>Machines</v>
      </c>
      <c r="V437" s="8" t="s">
        <v>1430</v>
      </c>
    </row>
    <row r="438" spans="1:22">
      <c r="A438" s="8" t="s">
        <v>1431</v>
      </c>
      <c r="B438" s="8">
        <f t="shared" si="60"/>
        <v>1</v>
      </c>
      <c r="C438" s="8" t="str">
        <f t="shared" si="61"/>
        <v>Unique</v>
      </c>
      <c r="D438" s="9">
        <v>45459</v>
      </c>
      <c r="E438" s="8">
        <f t="shared" si="62"/>
        <v>5</v>
      </c>
      <c r="F438" s="10">
        <v>45464</v>
      </c>
      <c r="G438" s="8" t="s">
        <v>1432</v>
      </c>
      <c r="H438" s="8" t="s">
        <v>77</v>
      </c>
      <c r="I438" s="8" t="str">
        <f t="shared" si="69"/>
        <v>Neha Gupta</v>
      </c>
      <c r="J438" s="8" t="s">
        <v>22</v>
      </c>
      <c r="K438" s="8" t="str">
        <f t="shared" si="63"/>
        <v>Consumer</v>
      </c>
      <c r="L438" s="8" t="s">
        <v>52</v>
      </c>
      <c r="M438" s="8" t="str">
        <f t="shared" si="64"/>
        <v>South</v>
      </c>
      <c r="N438" s="8" t="s">
        <v>183</v>
      </c>
      <c r="O438" s="8" t="str">
        <f t="shared" si="65"/>
        <v>Kerala</v>
      </c>
      <c r="P438" s="8" t="s">
        <v>184</v>
      </c>
      <c r="Q438" s="8" t="str">
        <f t="shared" si="66"/>
        <v>Kochi</v>
      </c>
      <c r="R438" s="8" t="s">
        <v>39</v>
      </c>
      <c r="S438" s="8" t="str">
        <f t="shared" si="67"/>
        <v>Furniture</v>
      </c>
      <c r="T438" s="8" t="s">
        <v>55</v>
      </c>
      <c r="U438" s="8" t="str">
        <f t="shared" si="68"/>
        <v>Furnishings</v>
      </c>
      <c r="V438" s="8" t="s">
        <v>1433</v>
      </c>
    </row>
    <row r="439" spans="1:22">
      <c r="A439" s="8" t="s">
        <v>1434</v>
      </c>
      <c r="B439" s="8">
        <f t="shared" si="60"/>
        <v>1</v>
      </c>
      <c r="C439" s="8" t="str">
        <f t="shared" si="61"/>
        <v>Unique</v>
      </c>
      <c r="D439" s="9">
        <v>45337</v>
      </c>
      <c r="E439" s="8">
        <f t="shared" si="62"/>
        <v>3</v>
      </c>
      <c r="F439" s="10">
        <v>45340</v>
      </c>
      <c r="G439" s="8" t="s">
        <v>1435</v>
      </c>
      <c r="H439" s="8" t="s">
        <v>87</v>
      </c>
      <c r="I439" s="8" t="str">
        <f t="shared" si="69"/>
        <v>Aditi Sen</v>
      </c>
      <c r="J439" s="8" t="s">
        <v>35</v>
      </c>
      <c r="K439" s="8" t="str">
        <f t="shared" si="63"/>
        <v>Small Business</v>
      </c>
      <c r="L439" s="8" t="s">
        <v>52</v>
      </c>
      <c r="M439" s="8" t="str">
        <f t="shared" si="64"/>
        <v>South</v>
      </c>
      <c r="N439" s="8" t="s">
        <v>183</v>
      </c>
      <c r="O439" s="8" t="str">
        <f t="shared" si="65"/>
        <v>Kerala</v>
      </c>
      <c r="P439" s="8" t="s">
        <v>184</v>
      </c>
      <c r="Q439" s="8" t="str">
        <f t="shared" si="66"/>
        <v>Kochi</v>
      </c>
      <c r="R439" s="8" t="s">
        <v>72</v>
      </c>
      <c r="S439" s="8" t="str">
        <f t="shared" si="67"/>
        <v>Technology</v>
      </c>
      <c r="T439" s="8" t="s">
        <v>73</v>
      </c>
      <c r="U439" s="8" t="str">
        <f t="shared" si="68"/>
        <v>Accessories</v>
      </c>
      <c r="V439" s="8" t="s">
        <v>1436</v>
      </c>
    </row>
    <row r="440" spans="1:22">
      <c r="A440" s="8" t="s">
        <v>1437</v>
      </c>
      <c r="B440" s="8">
        <f t="shared" si="60"/>
        <v>1</v>
      </c>
      <c r="C440" s="8" t="str">
        <f t="shared" si="61"/>
        <v>Unique</v>
      </c>
      <c r="D440" s="9">
        <v>45843</v>
      </c>
      <c r="E440" s="8">
        <f t="shared" si="62"/>
        <v>-61</v>
      </c>
      <c r="F440" s="10">
        <v>45782</v>
      </c>
      <c r="G440" s="8" t="s">
        <v>1438</v>
      </c>
      <c r="H440" s="8" t="s">
        <v>77</v>
      </c>
      <c r="I440" s="8" t="str">
        <f t="shared" si="69"/>
        <v>Neha Gupta</v>
      </c>
      <c r="J440" s="8" t="s">
        <v>88</v>
      </c>
      <c r="K440" s="8" t="str">
        <f t="shared" si="63"/>
        <v>Corporate</v>
      </c>
      <c r="L440" s="8" t="s">
        <v>36</v>
      </c>
      <c r="M440" s="8" t="str">
        <f t="shared" si="64"/>
        <v>East</v>
      </c>
      <c r="N440" s="8" t="s">
        <v>227</v>
      </c>
      <c r="O440" s="8" t="str">
        <f t="shared" si="65"/>
        <v>Jharkhand</v>
      </c>
      <c r="P440" s="8" t="s">
        <v>228</v>
      </c>
      <c r="Q440" s="8" t="str">
        <f t="shared" si="66"/>
        <v>Ranchi</v>
      </c>
      <c r="R440" s="8" t="s">
        <v>72</v>
      </c>
      <c r="S440" s="8" t="str">
        <f t="shared" si="67"/>
        <v>Technology</v>
      </c>
      <c r="T440" s="8" t="s">
        <v>169</v>
      </c>
      <c r="U440" s="8" t="str">
        <f t="shared" si="68"/>
        <v>Phones</v>
      </c>
      <c r="V440" s="8" t="s">
        <v>1439</v>
      </c>
    </row>
    <row r="441" spans="1:22">
      <c r="A441" s="8" t="s">
        <v>1440</v>
      </c>
      <c r="B441" s="8">
        <f t="shared" si="60"/>
        <v>1</v>
      </c>
      <c r="C441" s="8" t="str">
        <f t="shared" si="61"/>
        <v>Unique</v>
      </c>
      <c r="D441" s="9">
        <v>45838</v>
      </c>
      <c r="E441" s="8">
        <f t="shared" si="62"/>
        <v>-115</v>
      </c>
      <c r="F441" s="10">
        <v>45723</v>
      </c>
      <c r="G441" s="8" t="s">
        <v>1441</v>
      </c>
      <c r="H441" s="8" t="s">
        <v>126</v>
      </c>
      <c r="I441" s="8" t="str">
        <f t="shared" si="69"/>
        <v>Aarav Sharma</v>
      </c>
      <c r="J441" s="8" t="s">
        <v>93</v>
      </c>
      <c r="K441" s="8" t="str">
        <f t="shared" si="63"/>
        <v>Home Office</v>
      </c>
      <c r="L441" s="8" t="s">
        <v>61</v>
      </c>
      <c r="M441" s="8" t="str">
        <f t="shared" si="64"/>
        <v>West</v>
      </c>
      <c r="N441" s="8" t="s">
        <v>188</v>
      </c>
      <c r="O441" s="8" t="str">
        <f t="shared" si="65"/>
        <v>Goa</v>
      </c>
      <c r="P441" s="8" t="s">
        <v>189</v>
      </c>
      <c r="Q441" s="8" t="str">
        <f t="shared" si="66"/>
        <v>Panaji</v>
      </c>
      <c r="R441" s="8" t="s">
        <v>26</v>
      </c>
      <c r="S441" s="8" t="str">
        <f t="shared" si="67"/>
        <v>Office Supplies</v>
      </c>
      <c r="T441" s="8" t="s">
        <v>122</v>
      </c>
      <c r="U441" s="8" t="str">
        <f t="shared" si="68"/>
        <v>Storage</v>
      </c>
      <c r="V441" s="8" t="s">
        <v>1442</v>
      </c>
    </row>
    <row r="442" spans="1:22">
      <c r="A442" s="8" t="s">
        <v>1443</v>
      </c>
      <c r="B442" s="8">
        <f t="shared" si="60"/>
        <v>1</v>
      </c>
      <c r="C442" s="8" t="str">
        <f t="shared" si="61"/>
        <v>Unique</v>
      </c>
      <c r="D442" s="9">
        <v>45384</v>
      </c>
      <c r="E442" s="8">
        <f t="shared" si="62"/>
        <v>6</v>
      </c>
      <c r="F442" s="10">
        <v>45390</v>
      </c>
      <c r="G442" s="8" t="s">
        <v>269</v>
      </c>
      <c r="H442" s="8" t="s">
        <v>69</v>
      </c>
      <c r="I442" s="8" t="str">
        <f t="shared" si="69"/>
        <v>Vikram Iyer</v>
      </c>
      <c r="J442" s="8" t="s">
        <v>88</v>
      </c>
      <c r="K442" s="8" t="str">
        <f t="shared" si="63"/>
        <v>Corporate</v>
      </c>
      <c r="L442" s="8" t="s">
        <v>36</v>
      </c>
      <c r="M442" s="8" t="str">
        <f t="shared" si="64"/>
        <v>East</v>
      </c>
      <c r="N442" s="8" t="s">
        <v>37</v>
      </c>
      <c r="O442" s="8" t="str">
        <f t="shared" si="65"/>
        <v>Odisha</v>
      </c>
      <c r="P442" s="8" t="s">
        <v>38</v>
      </c>
      <c r="Q442" s="8" t="str">
        <f t="shared" si="66"/>
        <v>Bhubaneswar</v>
      </c>
      <c r="R442" s="8" t="s">
        <v>72</v>
      </c>
      <c r="S442" s="8" t="str">
        <f t="shared" si="67"/>
        <v>Technology</v>
      </c>
      <c r="T442" s="8" t="s">
        <v>273</v>
      </c>
      <c r="U442" s="8" t="str">
        <f t="shared" si="68"/>
        <v>Machines</v>
      </c>
      <c r="V442" s="8" t="s">
        <v>1444</v>
      </c>
    </row>
    <row r="443" spans="1:22">
      <c r="A443" s="8" t="s">
        <v>1445</v>
      </c>
      <c r="B443" s="8">
        <f t="shared" si="60"/>
        <v>1</v>
      </c>
      <c r="C443" s="8" t="str">
        <f t="shared" si="61"/>
        <v>Unique</v>
      </c>
      <c r="D443" s="9">
        <v>45361</v>
      </c>
      <c r="E443" s="8">
        <f t="shared" si="62"/>
        <v>0</v>
      </c>
      <c r="F443" s="10">
        <v>45361</v>
      </c>
      <c r="G443" s="8" t="s">
        <v>1446</v>
      </c>
      <c r="H443" s="8" t="s">
        <v>21</v>
      </c>
      <c r="I443" s="8" t="str">
        <f t="shared" si="69"/>
        <v>Karan Malhotra</v>
      </c>
      <c r="J443" s="8" t="s">
        <v>22</v>
      </c>
      <c r="K443" s="8" t="str">
        <f t="shared" si="63"/>
        <v>Consumer</v>
      </c>
      <c r="L443" s="8" t="s">
        <v>36</v>
      </c>
      <c r="M443" s="8" t="str">
        <f t="shared" si="64"/>
        <v>East</v>
      </c>
      <c r="N443" s="8" t="s">
        <v>143</v>
      </c>
      <c r="O443" s="8" t="str">
        <f t="shared" si="65"/>
        <v>Bihar</v>
      </c>
      <c r="P443" s="8" t="s">
        <v>144</v>
      </c>
      <c r="Q443" s="8" t="str">
        <f t="shared" si="66"/>
        <v>Patna</v>
      </c>
      <c r="R443" s="8" t="s">
        <v>39</v>
      </c>
      <c r="S443" s="8" t="str">
        <f t="shared" si="67"/>
        <v>Furniture</v>
      </c>
      <c r="T443" s="8" t="s">
        <v>156</v>
      </c>
      <c r="U443" s="8" t="str">
        <f t="shared" si="68"/>
        <v>Bookcases</v>
      </c>
      <c r="V443" s="8" t="s">
        <v>1447</v>
      </c>
    </row>
    <row r="444" spans="1:22">
      <c r="A444" s="8" t="s">
        <v>1448</v>
      </c>
      <c r="B444" s="8">
        <f t="shared" si="60"/>
        <v>1</v>
      </c>
      <c r="C444" s="8" t="str">
        <f t="shared" si="61"/>
        <v>Unique</v>
      </c>
      <c r="D444" s="9">
        <v>45992</v>
      </c>
      <c r="E444" s="8">
        <f t="shared" si="62"/>
        <v>-316</v>
      </c>
      <c r="F444" s="10">
        <v>45676</v>
      </c>
      <c r="G444" s="8" t="s">
        <v>1449</v>
      </c>
      <c r="H444" s="8" t="s">
        <v>126</v>
      </c>
      <c r="I444" s="8" t="str">
        <f t="shared" si="69"/>
        <v>Aarav Sharma</v>
      </c>
      <c r="J444" s="8" t="s">
        <v>22</v>
      </c>
      <c r="K444" s="8" t="str">
        <f t="shared" si="63"/>
        <v>Consumer</v>
      </c>
      <c r="L444" s="8" t="s">
        <v>36</v>
      </c>
      <c r="M444" s="8" t="str">
        <f t="shared" si="64"/>
        <v>East</v>
      </c>
      <c r="N444" s="8" t="s">
        <v>227</v>
      </c>
      <c r="O444" s="8" t="str">
        <f t="shared" si="65"/>
        <v>Jharkhand</v>
      </c>
      <c r="P444" s="8" t="s">
        <v>228</v>
      </c>
      <c r="Q444" s="8" t="str">
        <f t="shared" si="66"/>
        <v>Ranchi</v>
      </c>
      <c r="R444" s="8" t="s">
        <v>39</v>
      </c>
      <c r="S444" s="8" t="str">
        <f t="shared" si="67"/>
        <v>Furniture</v>
      </c>
      <c r="T444" s="8" t="s">
        <v>40</v>
      </c>
      <c r="U444" s="8" t="str">
        <f t="shared" si="68"/>
        <v>Tables</v>
      </c>
      <c r="V444" s="8" t="s">
        <v>1450</v>
      </c>
    </row>
    <row r="445" spans="1:22">
      <c r="A445" s="8" t="s">
        <v>1451</v>
      </c>
      <c r="B445" s="8">
        <f t="shared" si="60"/>
        <v>1</v>
      </c>
      <c r="C445" s="8" t="str">
        <f t="shared" si="61"/>
        <v>Unique</v>
      </c>
      <c r="D445" s="9">
        <v>45386</v>
      </c>
      <c r="E445" s="8">
        <f t="shared" si="62"/>
        <v>91</v>
      </c>
      <c r="F445" s="10">
        <v>45477</v>
      </c>
      <c r="G445" s="8" t="s">
        <v>1452</v>
      </c>
      <c r="H445" s="8" t="s">
        <v>139</v>
      </c>
      <c r="I445" s="8" t="str">
        <f t="shared" si="69"/>
        <v>Rohan Mehta</v>
      </c>
      <c r="J445" s="8" t="s">
        <v>93</v>
      </c>
      <c r="K445" s="8" t="str">
        <f t="shared" si="63"/>
        <v>Home Office</v>
      </c>
      <c r="L445" s="8" t="s">
        <v>36</v>
      </c>
      <c r="M445" s="8" t="str">
        <f t="shared" si="64"/>
        <v>East</v>
      </c>
      <c r="N445" s="8" t="s">
        <v>37</v>
      </c>
      <c r="O445" s="8" t="str">
        <f t="shared" si="65"/>
        <v>Odisha</v>
      </c>
      <c r="P445" s="8" t="s">
        <v>38</v>
      </c>
      <c r="Q445" s="8" t="str">
        <f t="shared" si="66"/>
        <v>Bhubaneswar</v>
      </c>
      <c r="R445" s="8" t="s">
        <v>39</v>
      </c>
      <c r="S445" s="8" t="str">
        <f t="shared" si="67"/>
        <v>Furniture</v>
      </c>
      <c r="T445" s="8" t="s">
        <v>55</v>
      </c>
      <c r="U445" s="8" t="str">
        <f t="shared" si="68"/>
        <v>Furnishings</v>
      </c>
      <c r="V445" s="8" t="s">
        <v>1453</v>
      </c>
    </row>
    <row r="446" spans="1:22">
      <c r="A446" s="8" t="s">
        <v>1454</v>
      </c>
      <c r="B446" s="8">
        <f t="shared" si="60"/>
        <v>1</v>
      </c>
      <c r="C446" s="8" t="str">
        <f t="shared" si="61"/>
        <v>Unique</v>
      </c>
      <c r="D446" s="9">
        <v>45999</v>
      </c>
      <c r="E446" s="8">
        <f t="shared" si="62"/>
        <v>-114</v>
      </c>
      <c r="F446" s="10">
        <v>45885</v>
      </c>
      <c r="G446" s="8" t="s">
        <v>1455</v>
      </c>
      <c r="H446" s="8" t="s">
        <v>60</v>
      </c>
      <c r="I446" s="8" t="str">
        <f t="shared" si="69"/>
        <v>Ananya Rao</v>
      </c>
      <c r="J446" s="8" t="s">
        <v>22</v>
      </c>
      <c r="K446" s="8" t="str">
        <f t="shared" si="63"/>
        <v>Consumer</v>
      </c>
      <c r="L446" s="8" t="s">
        <v>36</v>
      </c>
      <c r="M446" s="8" t="str">
        <f t="shared" si="64"/>
        <v>East</v>
      </c>
      <c r="N446" s="8" t="s">
        <v>164</v>
      </c>
      <c r="O446" s="8" t="str">
        <f t="shared" si="65"/>
        <v>Assam</v>
      </c>
      <c r="P446" s="8" t="s">
        <v>165</v>
      </c>
      <c r="Q446" s="8" t="str">
        <f t="shared" si="66"/>
        <v>Guwahati</v>
      </c>
      <c r="R446" s="8" t="s">
        <v>72</v>
      </c>
      <c r="S446" s="8" t="str">
        <f t="shared" si="67"/>
        <v>Technology</v>
      </c>
      <c r="T446" s="8" t="s">
        <v>73</v>
      </c>
      <c r="U446" s="8" t="str">
        <f t="shared" si="68"/>
        <v>Accessories</v>
      </c>
      <c r="V446" s="8" t="s">
        <v>1456</v>
      </c>
    </row>
    <row r="447" spans="1:22">
      <c r="A447" s="8" t="s">
        <v>1457</v>
      </c>
      <c r="B447" s="8">
        <f t="shared" si="60"/>
        <v>1</v>
      </c>
      <c r="C447" s="8" t="str">
        <f t="shared" si="61"/>
        <v>Unique</v>
      </c>
      <c r="D447" s="9">
        <v>45421</v>
      </c>
      <c r="E447" s="8">
        <f t="shared" si="62"/>
        <v>-4</v>
      </c>
      <c r="F447" s="10">
        <v>45417</v>
      </c>
      <c r="G447" s="8" t="s">
        <v>1458</v>
      </c>
      <c r="H447" s="8" t="s">
        <v>51</v>
      </c>
      <c r="I447" s="8" t="str">
        <f t="shared" si="69"/>
        <v>Arjun Bose</v>
      </c>
      <c r="J447" s="8" t="s">
        <v>22</v>
      </c>
      <c r="K447" s="8" t="str">
        <f t="shared" si="63"/>
        <v>Consumer</v>
      </c>
      <c r="L447" s="8" t="s">
        <v>36</v>
      </c>
      <c r="M447" s="8" t="str">
        <f t="shared" si="64"/>
        <v>East</v>
      </c>
      <c r="N447" s="8" t="s">
        <v>164</v>
      </c>
      <c r="O447" s="8" t="str">
        <f t="shared" si="65"/>
        <v>Assam</v>
      </c>
      <c r="P447" s="8" t="s">
        <v>165</v>
      </c>
      <c r="Q447" s="8" t="str">
        <f t="shared" si="66"/>
        <v>Guwahati</v>
      </c>
      <c r="R447" s="8" t="s">
        <v>39</v>
      </c>
      <c r="S447" s="8" t="str">
        <f t="shared" si="67"/>
        <v>Furniture</v>
      </c>
      <c r="T447" s="8" t="s">
        <v>156</v>
      </c>
      <c r="U447" s="8" t="str">
        <f t="shared" si="68"/>
        <v>Bookcases</v>
      </c>
      <c r="V447" s="8" t="s">
        <v>1459</v>
      </c>
    </row>
    <row r="448" spans="1:22">
      <c r="A448" s="8" t="s">
        <v>1460</v>
      </c>
      <c r="B448" s="8">
        <f t="shared" si="60"/>
        <v>1</v>
      </c>
      <c r="C448" s="8" t="str">
        <f t="shared" si="61"/>
        <v>Unique</v>
      </c>
      <c r="D448" s="9">
        <v>45918</v>
      </c>
      <c r="E448" s="8">
        <f t="shared" si="62"/>
        <v>1</v>
      </c>
      <c r="F448" s="10">
        <v>45919</v>
      </c>
      <c r="G448" s="8" t="s">
        <v>1461</v>
      </c>
      <c r="H448" s="8" t="s">
        <v>130</v>
      </c>
      <c r="I448" s="8" t="str">
        <f t="shared" si="69"/>
        <v>Sneha Kapoor</v>
      </c>
      <c r="J448" s="8" t="s">
        <v>93</v>
      </c>
      <c r="K448" s="8" t="str">
        <f t="shared" si="63"/>
        <v>Home Office</v>
      </c>
      <c r="L448" s="8" t="s">
        <v>52</v>
      </c>
      <c r="M448" s="8" t="str">
        <f t="shared" si="64"/>
        <v>South</v>
      </c>
      <c r="N448" s="8" t="s">
        <v>82</v>
      </c>
      <c r="O448" s="8" t="str">
        <f t="shared" si="65"/>
        <v>Andhra Pradesh</v>
      </c>
      <c r="P448" s="8" t="s">
        <v>83</v>
      </c>
      <c r="Q448" s="8" t="str">
        <f t="shared" si="66"/>
        <v>Vijayawada</v>
      </c>
      <c r="R448" s="8" t="s">
        <v>26</v>
      </c>
      <c r="S448" s="8" t="str">
        <f t="shared" si="67"/>
        <v>Office Supplies</v>
      </c>
      <c r="T448" s="8" t="s">
        <v>122</v>
      </c>
      <c r="U448" s="8" t="str">
        <f t="shared" si="68"/>
        <v>Storage</v>
      </c>
      <c r="V448" s="8" t="s">
        <v>1462</v>
      </c>
    </row>
    <row r="449" spans="1:22">
      <c r="A449" s="8" t="s">
        <v>1463</v>
      </c>
      <c r="B449" s="8">
        <f t="shared" si="60"/>
        <v>1</v>
      </c>
      <c r="C449" s="8" t="str">
        <f t="shared" si="61"/>
        <v>Unique</v>
      </c>
      <c r="D449" s="9">
        <v>45938</v>
      </c>
      <c r="E449" s="8">
        <f t="shared" si="62"/>
        <v>0</v>
      </c>
      <c r="F449" s="10">
        <v>45938</v>
      </c>
      <c r="G449" s="8" t="s">
        <v>1464</v>
      </c>
      <c r="H449" s="8" t="s">
        <v>139</v>
      </c>
      <c r="I449" s="8" t="str">
        <f t="shared" si="69"/>
        <v>Rohan Mehta</v>
      </c>
      <c r="J449" s="8" t="s">
        <v>93</v>
      </c>
      <c r="K449" s="8" t="str">
        <f t="shared" si="63"/>
        <v>Home Office</v>
      </c>
      <c r="L449" s="8" t="s">
        <v>52</v>
      </c>
      <c r="M449" s="8" t="str">
        <f t="shared" si="64"/>
        <v>South</v>
      </c>
      <c r="N449" s="8" t="s">
        <v>53</v>
      </c>
      <c r="O449" s="8" t="str">
        <f t="shared" si="65"/>
        <v>Telangana</v>
      </c>
      <c r="P449" s="8" t="s">
        <v>54</v>
      </c>
      <c r="Q449" s="8" t="str">
        <f t="shared" si="66"/>
        <v>Hyderabad</v>
      </c>
      <c r="R449" s="8" t="s">
        <v>39</v>
      </c>
      <c r="S449" s="8" t="str">
        <f t="shared" si="67"/>
        <v>Furniture</v>
      </c>
      <c r="T449" s="8" t="s">
        <v>156</v>
      </c>
      <c r="U449" s="8" t="str">
        <f t="shared" si="68"/>
        <v>Bookcases</v>
      </c>
      <c r="V449" s="8" t="s">
        <v>1465</v>
      </c>
    </row>
    <row r="450" spans="1:22">
      <c r="A450" s="8" t="s">
        <v>1466</v>
      </c>
      <c r="B450" s="8">
        <f t="shared" si="60"/>
        <v>1</v>
      </c>
      <c r="C450" s="8" t="str">
        <f t="shared" si="61"/>
        <v>Unique</v>
      </c>
      <c r="D450" s="9">
        <v>45306</v>
      </c>
      <c r="E450" s="8">
        <f t="shared" si="62"/>
        <v>3</v>
      </c>
      <c r="F450" s="10">
        <v>45309</v>
      </c>
      <c r="G450" s="8" t="s">
        <v>1467</v>
      </c>
      <c r="H450" s="8" t="s">
        <v>34</v>
      </c>
      <c r="I450" s="8" t="str">
        <f t="shared" si="69"/>
        <v>Mira Das</v>
      </c>
      <c r="J450" s="8" t="s">
        <v>35</v>
      </c>
      <c r="K450" s="8" t="str">
        <f t="shared" si="63"/>
        <v>Small Business</v>
      </c>
      <c r="L450" s="8" t="s">
        <v>52</v>
      </c>
      <c r="M450" s="8" t="str">
        <f t="shared" si="64"/>
        <v>South</v>
      </c>
      <c r="N450" s="8" t="s">
        <v>82</v>
      </c>
      <c r="O450" s="8" t="str">
        <f t="shared" si="65"/>
        <v>Andhra Pradesh</v>
      </c>
      <c r="P450" s="8" t="s">
        <v>83</v>
      </c>
      <c r="Q450" s="8" t="str">
        <f t="shared" si="66"/>
        <v>Vijayawada</v>
      </c>
      <c r="R450" s="8" t="s">
        <v>39</v>
      </c>
      <c r="S450" s="8" t="str">
        <f t="shared" si="67"/>
        <v>Furniture</v>
      </c>
      <c r="T450" s="8" t="s">
        <v>64</v>
      </c>
      <c r="U450" s="8" t="str">
        <f t="shared" si="68"/>
        <v>Chairs</v>
      </c>
      <c r="V450" s="8" t="s">
        <v>1468</v>
      </c>
    </row>
    <row r="451" spans="1:22">
      <c r="A451" s="8" t="s">
        <v>1469</v>
      </c>
      <c r="B451" s="8">
        <f t="shared" ref="B451:B514" si="70">COUNTIF($A:$A,A451)</f>
        <v>1</v>
      </c>
      <c r="C451" s="8" t="str">
        <f t="shared" ref="C451:C514" si="71">IF(B451&gt;1,"Review Duplicate ID","Unique")</f>
        <v>Unique</v>
      </c>
      <c r="D451" s="9">
        <v>45449</v>
      </c>
      <c r="E451" s="8">
        <f t="shared" ref="E451:E514" si="72">F451-D451</f>
        <v>7</v>
      </c>
      <c r="F451" s="10">
        <v>45456</v>
      </c>
      <c r="G451" s="8" t="s">
        <v>1362</v>
      </c>
      <c r="H451" s="8" t="s">
        <v>87</v>
      </c>
      <c r="I451" s="8" t="str">
        <f t="shared" si="69"/>
        <v>Aditi Sen</v>
      </c>
      <c r="J451" s="8" t="s">
        <v>88</v>
      </c>
      <c r="K451" s="8" t="str">
        <f t="shared" ref="K451:K514" si="73">PROPER(TRIM(J451))</f>
        <v>Corporate</v>
      </c>
      <c r="L451" s="8" t="s">
        <v>36</v>
      </c>
      <c r="M451" s="8" t="str">
        <f t="shared" ref="M451:M514" si="74">PROPER(TRIM(L451))</f>
        <v>East</v>
      </c>
      <c r="N451" s="8" t="s">
        <v>164</v>
      </c>
      <c r="O451" s="8" t="str">
        <f t="shared" ref="O451:O514" si="75">PROPER(TRIM(N451))</f>
        <v>Assam</v>
      </c>
      <c r="P451" s="8" t="s">
        <v>165</v>
      </c>
      <c r="Q451" s="8" t="str">
        <f t="shared" ref="Q451:Q514" si="76">PROPER(TRIM(P451))</f>
        <v>Guwahati</v>
      </c>
      <c r="R451" s="8" t="s">
        <v>72</v>
      </c>
      <c r="S451" s="8" t="str">
        <f t="shared" ref="S451:S514" si="77">PROPER(TRIM(R451))</f>
        <v>Technology</v>
      </c>
      <c r="T451" s="8" t="s">
        <v>273</v>
      </c>
      <c r="U451" s="8" t="str">
        <f t="shared" ref="U451:U514" si="78">PROPER(TRIM(T451))</f>
        <v>Machines</v>
      </c>
      <c r="V451" s="8" t="s">
        <v>1470</v>
      </c>
    </row>
    <row r="452" spans="1:22">
      <c r="A452" s="8" t="s">
        <v>1471</v>
      </c>
      <c r="B452" s="8">
        <f t="shared" si="70"/>
        <v>1</v>
      </c>
      <c r="C452" s="8" t="str">
        <f t="shared" si="71"/>
        <v>Unique</v>
      </c>
      <c r="D452" s="9">
        <v>45820</v>
      </c>
      <c r="E452" s="8">
        <f t="shared" si="72"/>
        <v>7</v>
      </c>
      <c r="F452" s="10">
        <v>45827</v>
      </c>
      <c r="G452" s="8" t="s">
        <v>1472</v>
      </c>
      <c r="H452" s="8" t="s">
        <v>60</v>
      </c>
      <c r="I452" s="8" t="str">
        <f t="shared" ref="I452:I515" si="79">PROPER(TRIM(H452))</f>
        <v>Ananya Rao</v>
      </c>
      <c r="J452" s="8" t="s">
        <v>88</v>
      </c>
      <c r="K452" s="8" t="str">
        <f t="shared" si="73"/>
        <v>Corporate</v>
      </c>
      <c r="L452" s="8" t="s">
        <v>23</v>
      </c>
      <c r="M452" s="8" t="str">
        <f t="shared" si="74"/>
        <v>North</v>
      </c>
      <c r="N452" s="8" t="s">
        <v>349</v>
      </c>
      <c r="O452" s="8" t="str">
        <f t="shared" si="75"/>
        <v>Delhi</v>
      </c>
      <c r="P452" s="8" t="s">
        <v>350</v>
      </c>
      <c r="Q452" s="8" t="str">
        <f t="shared" si="76"/>
        <v>New Delhi</v>
      </c>
      <c r="R452" s="8" t="s">
        <v>39</v>
      </c>
      <c r="S452" s="8" t="str">
        <f t="shared" si="77"/>
        <v>Furniture</v>
      </c>
      <c r="T452" s="8" t="s">
        <v>64</v>
      </c>
      <c r="U452" s="8" t="str">
        <f t="shared" si="78"/>
        <v>Chairs</v>
      </c>
      <c r="V452" s="8" t="s">
        <v>1473</v>
      </c>
    </row>
    <row r="453" spans="1:22">
      <c r="A453" s="8" t="s">
        <v>1474</v>
      </c>
      <c r="B453" s="8">
        <f t="shared" si="70"/>
        <v>1</v>
      </c>
      <c r="C453" s="8" t="str">
        <f t="shared" si="71"/>
        <v>Unique</v>
      </c>
      <c r="D453" s="9">
        <v>45375</v>
      </c>
      <c r="E453" s="8">
        <f t="shared" si="72"/>
        <v>2</v>
      </c>
      <c r="F453" s="10">
        <v>45377</v>
      </c>
      <c r="G453" s="8" t="s">
        <v>1475</v>
      </c>
      <c r="H453" s="8" t="s">
        <v>139</v>
      </c>
      <c r="I453" s="8" t="str">
        <f t="shared" si="79"/>
        <v>Rohan Mehta</v>
      </c>
      <c r="J453" s="8" t="s">
        <v>35</v>
      </c>
      <c r="K453" s="8" t="str">
        <f t="shared" si="73"/>
        <v>Small Business</v>
      </c>
      <c r="L453" s="8" t="s">
        <v>23</v>
      </c>
      <c r="M453" s="8" t="str">
        <f t="shared" si="74"/>
        <v>North</v>
      </c>
      <c r="N453" s="8" t="s">
        <v>235</v>
      </c>
      <c r="O453" s="8" t="str">
        <f t="shared" si="75"/>
        <v>Haryana</v>
      </c>
      <c r="P453" s="8" t="s">
        <v>236</v>
      </c>
      <c r="Q453" s="8" t="str">
        <f t="shared" si="76"/>
        <v>Gurugram</v>
      </c>
      <c r="R453" s="8" t="s">
        <v>26</v>
      </c>
      <c r="S453" s="8" t="str">
        <f t="shared" si="77"/>
        <v>Office Supplies</v>
      </c>
      <c r="T453" s="8" t="s">
        <v>27</v>
      </c>
      <c r="U453" s="8" t="str">
        <f t="shared" si="78"/>
        <v>Paper</v>
      </c>
      <c r="V453" s="8" t="s">
        <v>1476</v>
      </c>
    </row>
    <row r="454" spans="1:22">
      <c r="A454" s="8" t="s">
        <v>1477</v>
      </c>
      <c r="B454" s="8">
        <f t="shared" si="70"/>
        <v>1</v>
      </c>
      <c r="C454" s="8" t="str">
        <f t="shared" si="71"/>
        <v>Unique</v>
      </c>
      <c r="D454" s="9">
        <v>45570</v>
      </c>
      <c r="E454" s="8">
        <f t="shared" si="72"/>
        <v>-142</v>
      </c>
      <c r="F454" s="10">
        <v>45428</v>
      </c>
      <c r="G454" s="8" t="s">
        <v>1478</v>
      </c>
      <c r="H454" s="8" t="s">
        <v>160</v>
      </c>
      <c r="I454" s="8" t="str">
        <f t="shared" si="79"/>
        <v>Diya Patel</v>
      </c>
      <c r="J454" s="8" t="s">
        <v>93</v>
      </c>
      <c r="K454" s="8" t="str">
        <f t="shared" si="73"/>
        <v>Home Office</v>
      </c>
      <c r="L454" s="8" t="s">
        <v>36</v>
      </c>
      <c r="M454" s="8" t="str">
        <f t="shared" si="74"/>
        <v>East</v>
      </c>
      <c r="N454" s="8" t="s">
        <v>227</v>
      </c>
      <c r="O454" s="8" t="str">
        <f t="shared" si="75"/>
        <v>Jharkhand</v>
      </c>
      <c r="P454" s="8" t="s">
        <v>228</v>
      </c>
      <c r="Q454" s="8" t="str">
        <f t="shared" si="76"/>
        <v>Ranchi</v>
      </c>
      <c r="R454" s="8" t="s">
        <v>72</v>
      </c>
      <c r="S454" s="8" t="str">
        <f t="shared" si="77"/>
        <v>Technology</v>
      </c>
      <c r="T454" s="8" t="s">
        <v>73</v>
      </c>
      <c r="U454" s="8" t="str">
        <f t="shared" si="78"/>
        <v>Accessories</v>
      </c>
      <c r="V454" s="8" t="s">
        <v>1479</v>
      </c>
    </row>
    <row r="455" spans="1:22">
      <c r="A455" s="8" t="s">
        <v>1480</v>
      </c>
      <c r="B455" s="8">
        <f t="shared" si="70"/>
        <v>1</v>
      </c>
      <c r="C455" s="8" t="str">
        <f t="shared" si="71"/>
        <v>Unique</v>
      </c>
      <c r="D455" s="9">
        <v>45780</v>
      </c>
      <c r="E455" s="8">
        <f t="shared" si="72"/>
        <v>186</v>
      </c>
      <c r="F455" s="10">
        <v>45966</v>
      </c>
      <c r="G455" s="8" t="s">
        <v>1481</v>
      </c>
      <c r="H455" s="8" t="s">
        <v>139</v>
      </c>
      <c r="I455" s="8" t="str">
        <f t="shared" si="79"/>
        <v>Rohan Mehta</v>
      </c>
      <c r="J455" s="8" t="s">
        <v>35</v>
      </c>
      <c r="K455" s="8" t="str">
        <f t="shared" si="73"/>
        <v>Small Business</v>
      </c>
      <c r="L455" s="8" t="s">
        <v>61</v>
      </c>
      <c r="M455" s="8" t="str">
        <f t="shared" si="74"/>
        <v>West</v>
      </c>
      <c r="N455" s="8" t="s">
        <v>70</v>
      </c>
      <c r="O455" s="8" t="str">
        <f t="shared" si="75"/>
        <v>Madhya Pradesh</v>
      </c>
      <c r="P455" s="8" t="s">
        <v>71</v>
      </c>
      <c r="Q455" s="8" t="str">
        <f t="shared" si="76"/>
        <v>Indore</v>
      </c>
      <c r="R455" s="8" t="s">
        <v>26</v>
      </c>
      <c r="S455" s="8" t="str">
        <f t="shared" si="77"/>
        <v>Office Supplies</v>
      </c>
      <c r="T455" s="8" t="s">
        <v>89</v>
      </c>
      <c r="U455" s="8" t="str">
        <f t="shared" si="78"/>
        <v>Labels</v>
      </c>
      <c r="V455" s="8" t="s">
        <v>1482</v>
      </c>
    </row>
    <row r="456" spans="1:22">
      <c r="A456" s="8" t="s">
        <v>1483</v>
      </c>
      <c r="B456" s="8">
        <f t="shared" si="70"/>
        <v>1</v>
      </c>
      <c r="C456" s="8" t="str">
        <f t="shared" si="71"/>
        <v>Unique</v>
      </c>
      <c r="D456" s="9">
        <v>45739</v>
      </c>
      <c r="E456" s="8">
        <f t="shared" si="72"/>
        <v>5</v>
      </c>
      <c r="F456" s="10">
        <v>45744</v>
      </c>
      <c r="G456" s="8" t="s">
        <v>1484</v>
      </c>
      <c r="H456" s="8" t="s">
        <v>69</v>
      </c>
      <c r="I456" s="8" t="str">
        <f t="shared" si="79"/>
        <v>Vikram Iyer</v>
      </c>
      <c r="J456" s="8" t="s">
        <v>35</v>
      </c>
      <c r="K456" s="8" t="str">
        <f t="shared" si="73"/>
        <v>Small Business</v>
      </c>
      <c r="L456" s="8" t="s">
        <v>23</v>
      </c>
      <c r="M456" s="8" t="str">
        <f t="shared" si="74"/>
        <v>North</v>
      </c>
      <c r="N456" s="8" t="s">
        <v>24</v>
      </c>
      <c r="O456" s="8" t="str">
        <f t="shared" si="75"/>
        <v>Rajasthan</v>
      </c>
      <c r="P456" s="8" t="s">
        <v>25</v>
      </c>
      <c r="Q456" s="8" t="str">
        <f t="shared" si="76"/>
        <v>Jaipur</v>
      </c>
      <c r="R456" s="8" t="s">
        <v>39</v>
      </c>
      <c r="S456" s="8" t="str">
        <f t="shared" si="77"/>
        <v>Furniture</v>
      </c>
      <c r="T456" s="8" t="s">
        <v>55</v>
      </c>
      <c r="U456" s="8" t="str">
        <f t="shared" si="78"/>
        <v>Furnishings</v>
      </c>
      <c r="V456" s="8" t="s">
        <v>1485</v>
      </c>
    </row>
    <row r="457" spans="1:22">
      <c r="A457" s="8" t="s">
        <v>1486</v>
      </c>
      <c r="B457" s="8">
        <f t="shared" si="70"/>
        <v>1</v>
      </c>
      <c r="C457" s="8" t="str">
        <f t="shared" si="71"/>
        <v>Unique</v>
      </c>
      <c r="D457" s="9">
        <v>45491</v>
      </c>
      <c r="E457" s="8">
        <f t="shared" si="72"/>
        <v>4</v>
      </c>
      <c r="F457" s="10">
        <v>45495</v>
      </c>
      <c r="G457" s="8" t="s">
        <v>1487</v>
      </c>
      <c r="H457" s="8" t="s">
        <v>77</v>
      </c>
      <c r="I457" s="8" t="str">
        <f t="shared" si="79"/>
        <v>Neha Gupta</v>
      </c>
      <c r="J457" s="8" t="s">
        <v>35</v>
      </c>
      <c r="K457" s="8" t="str">
        <f t="shared" si="73"/>
        <v>Small Business</v>
      </c>
      <c r="L457" s="8" t="s">
        <v>52</v>
      </c>
      <c r="M457" s="8" t="str">
        <f t="shared" si="74"/>
        <v>South</v>
      </c>
      <c r="N457" s="8" t="s">
        <v>53</v>
      </c>
      <c r="O457" s="8" t="str">
        <f t="shared" si="75"/>
        <v>Telangana</v>
      </c>
      <c r="P457" s="8" t="s">
        <v>54</v>
      </c>
      <c r="Q457" s="8" t="str">
        <f t="shared" si="76"/>
        <v>Hyderabad</v>
      </c>
      <c r="R457" s="8" t="s">
        <v>26</v>
      </c>
      <c r="S457" s="8" t="str">
        <f t="shared" si="77"/>
        <v>Office Supplies</v>
      </c>
      <c r="T457" s="8" t="s">
        <v>46</v>
      </c>
      <c r="U457" s="8" t="str">
        <f t="shared" si="78"/>
        <v>Art</v>
      </c>
      <c r="V457" s="8" t="s">
        <v>1488</v>
      </c>
    </row>
    <row r="458" spans="1:22">
      <c r="A458" s="8" t="s">
        <v>1489</v>
      </c>
      <c r="B458" s="8">
        <f t="shared" si="70"/>
        <v>1</v>
      </c>
      <c r="C458" s="8" t="str">
        <f t="shared" si="71"/>
        <v>Unique</v>
      </c>
      <c r="D458" s="9">
        <v>45342</v>
      </c>
      <c r="E458" s="8">
        <f t="shared" si="72"/>
        <v>0</v>
      </c>
      <c r="F458" s="10">
        <v>45342</v>
      </c>
      <c r="G458" s="8" t="s">
        <v>1490</v>
      </c>
      <c r="H458" s="8" t="s">
        <v>77</v>
      </c>
      <c r="I458" s="8" t="str">
        <f t="shared" si="79"/>
        <v>Neha Gupta</v>
      </c>
      <c r="J458" s="8" t="s">
        <v>88</v>
      </c>
      <c r="K458" s="8" t="str">
        <f t="shared" si="73"/>
        <v>Corporate</v>
      </c>
      <c r="L458" s="8" t="s">
        <v>23</v>
      </c>
      <c r="M458" s="8" t="str">
        <f t="shared" si="74"/>
        <v>North</v>
      </c>
      <c r="N458" s="8" t="s">
        <v>134</v>
      </c>
      <c r="O458" s="8" t="str">
        <f t="shared" si="75"/>
        <v>Uttar Pradesh</v>
      </c>
      <c r="P458" s="8" t="s">
        <v>135</v>
      </c>
      <c r="Q458" s="8" t="str">
        <f t="shared" si="76"/>
        <v>Noida</v>
      </c>
      <c r="R458" s="8" t="s">
        <v>72</v>
      </c>
      <c r="S458" s="8" t="str">
        <f t="shared" si="77"/>
        <v>Technology</v>
      </c>
      <c r="T458" s="8" t="s">
        <v>73</v>
      </c>
      <c r="U458" s="8" t="str">
        <f t="shared" si="78"/>
        <v>Accessories</v>
      </c>
      <c r="V458" s="8" t="s">
        <v>1491</v>
      </c>
    </row>
    <row r="459" spans="1:22">
      <c r="A459" s="8" t="s">
        <v>1492</v>
      </c>
      <c r="B459" s="8">
        <f t="shared" si="70"/>
        <v>1</v>
      </c>
      <c r="C459" s="8" t="str">
        <f t="shared" si="71"/>
        <v>Unique</v>
      </c>
      <c r="D459" s="9">
        <v>45416</v>
      </c>
      <c r="E459" s="8">
        <f t="shared" si="72"/>
        <v>-29</v>
      </c>
      <c r="F459" s="10">
        <v>45387</v>
      </c>
      <c r="G459" s="8" t="s">
        <v>1493</v>
      </c>
      <c r="H459" s="8" t="s">
        <v>34</v>
      </c>
      <c r="I459" s="8" t="str">
        <f t="shared" si="79"/>
        <v>Mira Das</v>
      </c>
      <c r="J459" s="8" t="s">
        <v>35</v>
      </c>
      <c r="K459" s="8" t="str">
        <f t="shared" si="73"/>
        <v>Small Business</v>
      </c>
      <c r="L459" s="8" t="s">
        <v>61</v>
      </c>
      <c r="M459" s="8" t="str">
        <f t="shared" si="74"/>
        <v>West</v>
      </c>
      <c r="N459" s="8" t="s">
        <v>188</v>
      </c>
      <c r="O459" s="8" t="str">
        <f t="shared" si="75"/>
        <v>Goa</v>
      </c>
      <c r="P459" s="8" t="s">
        <v>189</v>
      </c>
      <c r="Q459" s="8" t="str">
        <f t="shared" si="76"/>
        <v>Panaji</v>
      </c>
      <c r="R459" s="8" t="s">
        <v>39</v>
      </c>
      <c r="S459" s="8" t="str">
        <f t="shared" si="77"/>
        <v>Furniture</v>
      </c>
      <c r="T459" s="8" t="s">
        <v>40</v>
      </c>
      <c r="U459" s="8" t="str">
        <f t="shared" si="78"/>
        <v>Tables</v>
      </c>
      <c r="V459" s="8" t="s">
        <v>1494</v>
      </c>
    </row>
    <row r="460" spans="1:22">
      <c r="A460" s="8" t="s">
        <v>1495</v>
      </c>
      <c r="B460" s="8">
        <f t="shared" si="70"/>
        <v>1</v>
      </c>
      <c r="C460" s="8" t="str">
        <f t="shared" si="71"/>
        <v>Unique</v>
      </c>
      <c r="D460" s="9">
        <v>45567</v>
      </c>
      <c r="E460" s="8">
        <f t="shared" si="72"/>
        <v>-234</v>
      </c>
      <c r="F460" s="10">
        <v>45333</v>
      </c>
      <c r="G460" s="8" t="s">
        <v>1496</v>
      </c>
      <c r="H460" s="8" t="s">
        <v>21</v>
      </c>
      <c r="I460" s="8" t="str">
        <f t="shared" si="79"/>
        <v>Karan Malhotra</v>
      </c>
      <c r="J460" s="8" t="s">
        <v>88</v>
      </c>
      <c r="K460" s="8" t="str">
        <f t="shared" si="73"/>
        <v>Corporate</v>
      </c>
      <c r="L460" s="8" t="s">
        <v>23</v>
      </c>
      <c r="M460" s="8" t="str">
        <f t="shared" si="74"/>
        <v>North</v>
      </c>
      <c r="N460" s="8" t="s">
        <v>24</v>
      </c>
      <c r="O460" s="8" t="str">
        <f t="shared" si="75"/>
        <v>Rajasthan</v>
      </c>
      <c r="P460" s="8" t="s">
        <v>25</v>
      </c>
      <c r="Q460" s="8" t="str">
        <f t="shared" si="76"/>
        <v>Jaipur</v>
      </c>
      <c r="R460" s="8" t="s">
        <v>72</v>
      </c>
      <c r="S460" s="8" t="str">
        <f t="shared" si="77"/>
        <v>Technology</v>
      </c>
      <c r="T460" s="8" t="s">
        <v>169</v>
      </c>
      <c r="U460" s="8" t="str">
        <f t="shared" si="78"/>
        <v>Phones</v>
      </c>
      <c r="V460" s="8" t="s">
        <v>1497</v>
      </c>
    </row>
    <row r="461" spans="1:22">
      <c r="A461" s="8" t="s">
        <v>1498</v>
      </c>
      <c r="B461" s="8">
        <f t="shared" si="70"/>
        <v>1</v>
      </c>
      <c r="C461" s="8" t="str">
        <f t="shared" si="71"/>
        <v>Unique</v>
      </c>
      <c r="D461" s="9">
        <v>45379</v>
      </c>
      <c r="E461" s="8">
        <f t="shared" si="72"/>
        <v>7</v>
      </c>
      <c r="F461" s="10">
        <v>45386</v>
      </c>
      <c r="G461" s="8" t="s">
        <v>1499</v>
      </c>
      <c r="H461" s="8" t="s">
        <v>60</v>
      </c>
      <c r="I461" s="8" t="str">
        <f t="shared" si="79"/>
        <v>Ananya Rao</v>
      </c>
      <c r="J461" s="8" t="s">
        <v>93</v>
      </c>
      <c r="K461" s="8" t="str">
        <f t="shared" si="73"/>
        <v>Home Office</v>
      </c>
      <c r="L461" s="8" t="s">
        <v>61</v>
      </c>
      <c r="M461" s="8" t="str">
        <f t="shared" si="74"/>
        <v>West</v>
      </c>
      <c r="N461" s="8" t="s">
        <v>188</v>
      </c>
      <c r="O461" s="8" t="str">
        <f t="shared" si="75"/>
        <v>Goa</v>
      </c>
      <c r="P461" s="8" t="s">
        <v>189</v>
      </c>
      <c r="Q461" s="8" t="str">
        <f t="shared" si="76"/>
        <v>Panaji</v>
      </c>
      <c r="R461" s="8" t="s">
        <v>26</v>
      </c>
      <c r="S461" s="8" t="str">
        <f t="shared" si="77"/>
        <v>Office Supplies</v>
      </c>
      <c r="T461" s="8" t="s">
        <v>27</v>
      </c>
      <c r="U461" s="8" t="str">
        <f t="shared" si="78"/>
        <v>Paper</v>
      </c>
      <c r="V461" s="8" t="s">
        <v>1500</v>
      </c>
    </row>
    <row r="462" spans="1:22">
      <c r="A462" s="8" t="s">
        <v>1501</v>
      </c>
      <c r="B462" s="8">
        <f t="shared" si="70"/>
        <v>1</v>
      </c>
      <c r="C462" s="8" t="str">
        <f t="shared" si="71"/>
        <v>Unique</v>
      </c>
      <c r="D462" s="9">
        <v>45930</v>
      </c>
      <c r="E462" s="8">
        <f t="shared" si="72"/>
        <v>-112</v>
      </c>
      <c r="F462" s="10">
        <v>45818</v>
      </c>
      <c r="G462" s="8" t="s">
        <v>1502</v>
      </c>
      <c r="H462" s="8" t="s">
        <v>126</v>
      </c>
      <c r="I462" s="8" t="str">
        <f t="shared" si="79"/>
        <v>Aarav Sharma</v>
      </c>
      <c r="J462" s="8" t="s">
        <v>88</v>
      </c>
      <c r="K462" s="8" t="str">
        <f t="shared" si="73"/>
        <v>Corporate</v>
      </c>
      <c r="M462" s="8" t="str">
        <f t="shared" si="74"/>
        <v/>
      </c>
      <c r="N462" s="8" t="s">
        <v>24</v>
      </c>
      <c r="O462" s="8" t="str">
        <f t="shared" si="75"/>
        <v>Rajasthan</v>
      </c>
      <c r="P462" s="8" t="s">
        <v>25</v>
      </c>
      <c r="Q462" s="8" t="str">
        <f t="shared" si="76"/>
        <v>Jaipur</v>
      </c>
      <c r="R462" s="8" t="s">
        <v>72</v>
      </c>
      <c r="S462" s="8" t="str">
        <f t="shared" si="77"/>
        <v>Technology</v>
      </c>
      <c r="T462" s="8" t="s">
        <v>78</v>
      </c>
      <c r="U462" s="8" t="str">
        <f t="shared" si="78"/>
        <v>Copiers</v>
      </c>
      <c r="V462" s="8" t="s">
        <v>1503</v>
      </c>
    </row>
    <row r="463" spans="1:22">
      <c r="A463" s="8" t="s">
        <v>1504</v>
      </c>
      <c r="B463" s="8">
        <f t="shared" si="70"/>
        <v>1</v>
      </c>
      <c r="C463" s="8" t="str">
        <f t="shared" si="71"/>
        <v>Unique</v>
      </c>
      <c r="D463" s="9">
        <v>45802</v>
      </c>
      <c r="E463" s="8">
        <f t="shared" si="72"/>
        <v>1</v>
      </c>
      <c r="F463" s="10">
        <v>45803</v>
      </c>
      <c r="G463" s="8" t="s">
        <v>1505</v>
      </c>
      <c r="H463" s="8" t="s">
        <v>77</v>
      </c>
      <c r="I463" s="8" t="str">
        <f t="shared" si="79"/>
        <v>Neha Gupta</v>
      </c>
      <c r="J463" s="8" t="s">
        <v>88</v>
      </c>
      <c r="K463" s="8" t="str">
        <f t="shared" si="73"/>
        <v>Corporate</v>
      </c>
      <c r="L463" s="8" t="s">
        <v>52</v>
      </c>
      <c r="M463" s="8" t="str">
        <f t="shared" si="74"/>
        <v>South</v>
      </c>
      <c r="N463" s="8" t="s">
        <v>82</v>
      </c>
      <c r="O463" s="8" t="str">
        <f t="shared" si="75"/>
        <v>Andhra Pradesh</v>
      </c>
      <c r="P463" s="8" t="s">
        <v>83</v>
      </c>
      <c r="Q463" s="8" t="str">
        <f t="shared" si="76"/>
        <v>Vijayawada</v>
      </c>
      <c r="R463" s="8" t="s">
        <v>26</v>
      </c>
      <c r="S463" s="8" t="str">
        <f t="shared" si="77"/>
        <v>Office Supplies</v>
      </c>
      <c r="T463" s="8" t="s">
        <v>27</v>
      </c>
      <c r="U463" s="8" t="str">
        <f t="shared" si="78"/>
        <v>Paper</v>
      </c>
      <c r="V463" s="8" t="s">
        <v>1506</v>
      </c>
    </row>
    <row r="464" spans="1:22">
      <c r="A464" s="8" t="s">
        <v>1507</v>
      </c>
      <c r="B464" s="8">
        <f t="shared" si="70"/>
        <v>1</v>
      </c>
      <c r="C464" s="8" t="str">
        <f t="shared" si="71"/>
        <v>Unique</v>
      </c>
      <c r="D464" s="9">
        <v>45558</v>
      </c>
      <c r="E464" s="8">
        <f t="shared" si="72"/>
        <v>2</v>
      </c>
      <c r="F464" s="10">
        <v>45560</v>
      </c>
      <c r="G464" s="8" t="s">
        <v>1508</v>
      </c>
      <c r="H464" s="8" t="s">
        <v>126</v>
      </c>
      <c r="I464" s="8" t="str">
        <f t="shared" si="79"/>
        <v>Aarav Sharma</v>
      </c>
      <c r="J464" s="8" t="s">
        <v>93</v>
      </c>
      <c r="K464" s="8" t="str">
        <f t="shared" si="73"/>
        <v>Home Office</v>
      </c>
      <c r="L464" s="8" t="s">
        <v>23</v>
      </c>
      <c r="M464" s="8" t="str">
        <f t="shared" si="74"/>
        <v>North</v>
      </c>
      <c r="N464" s="8" t="s">
        <v>349</v>
      </c>
      <c r="O464" s="8" t="str">
        <f t="shared" si="75"/>
        <v>Delhi</v>
      </c>
      <c r="P464" s="8" t="s">
        <v>350</v>
      </c>
      <c r="Q464" s="8" t="str">
        <f t="shared" si="76"/>
        <v>New Delhi</v>
      </c>
      <c r="R464" s="8" t="s">
        <v>26</v>
      </c>
      <c r="S464" s="8" t="str">
        <f t="shared" si="77"/>
        <v>Office Supplies</v>
      </c>
      <c r="T464" s="8" t="s">
        <v>151</v>
      </c>
      <c r="U464" s="8" t="str">
        <f t="shared" si="78"/>
        <v>Binders</v>
      </c>
      <c r="V464" s="8" t="s">
        <v>1509</v>
      </c>
    </row>
    <row r="465" spans="1:22">
      <c r="A465" s="8" t="s">
        <v>1510</v>
      </c>
      <c r="B465" s="8">
        <f t="shared" si="70"/>
        <v>1</v>
      </c>
      <c r="C465" s="8" t="str">
        <f t="shared" si="71"/>
        <v>Unique</v>
      </c>
      <c r="D465" s="9">
        <v>45840</v>
      </c>
      <c r="E465" s="8">
        <f t="shared" si="72"/>
        <v>31</v>
      </c>
      <c r="F465" s="10">
        <v>45871</v>
      </c>
      <c r="G465" s="8" t="s">
        <v>1511</v>
      </c>
      <c r="H465" s="8" t="s">
        <v>51</v>
      </c>
      <c r="I465" s="8" t="str">
        <f t="shared" si="79"/>
        <v>Arjun Bose</v>
      </c>
      <c r="J465" s="8" t="s">
        <v>88</v>
      </c>
      <c r="K465" s="8" t="str">
        <f t="shared" si="73"/>
        <v>Corporate</v>
      </c>
      <c r="L465" s="8" t="s">
        <v>61</v>
      </c>
      <c r="M465" s="8" t="str">
        <f t="shared" si="74"/>
        <v>West</v>
      </c>
      <c r="N465" s="8" t="s">
        <v>70</v>
      </c>
      <c r="O465" s="8" t="str">
        <f t="shared" si="75"/>
        <v>Madhya Pradesh</v>
      </c>
      <c r="P465" s="8" t="s">
        <v>71</v>
      </c>
      <c r="Q465" s="8" t="str">
        <f t="shared" si="76"/>
        <v>Indore</v>
      </c>
      <c r="R465" s="8" t="s">
        <v>72</v>
      </c>
      <c r="S465" s="8" t="str">
        <f t="shared" si="77"/>
        <v>Technology</v>
      </c>
      <c r="T465" s="8" t="s">
        <v>169</v>
      </c>
      <c r="U465" s="8" t="str">
        <f t="shared" si="78"/>
        <v>Phones</v>
      </c>
      <c r="V465" s="8" t="s">
        <v>1512</v>
      </c>
    </row>
    <row r="466" spans="1:22">
      <c r="A466" s="8" t="s">
        <v>1513</v>
      </c>
      <c r="B466" s="8">
        <f t="shared" si="70"/>
        <v>1</v>
      </c>
      <c r="C466" s="8" t="str">
        <f t="shared" si="71"/>
        <v>Unique</v>
      </c>
      <c r="D466" s="9">
        <v>45964</v>
      </c>
      <c r="E466" s="8">
        <f t="shared" si="72"/>
        <v>-233</v>
      </c>
      <c r="F466" s="10">
        <v>45731</v>
      </c>
      <c r="G466" s="8" t="s">
        <v>1514</v>
      </c>
      <c r="H466" s="8" t="s">
        <v>51</v>
      </c>
      <c r="I466" s="8" t="str">
        <f t="shared" si="79"/>
        <v>Arjun Bose</v>
      </c>
      <c r="J466" s="8" t="s">
        <v>88</v>
      </c>
      <c r="K466" s="8" t="str">
        <f t="shared" si="73"/>
        <v>Corporate</v>
      </c>
      <c r="L466" s="8" t="s">
        <v>36</v>
      </c>
      <c r="M466" s="8" t="str">
        <f t="shared" si="74"/>
        <v>East</v>
      </c>
      <c r="N466" s="8" t="s">
        <v>143</v>
      </c>
      <c r="O466" s="8" t="str">
        <f t="shared" si="75"/>
        <v>Bihar</v>
      </c>
      <c r="P466" s="8" t="s">
        <v>144</v>
      </c>
      <c r="Q466" s="8" t="str">
        <f t="shared" si="76"/>
        <v>Patna</v>
      </c>
      <c r="R466" s="8" t="s">
        <v>26</v>
      </c>
      <c r="S466" s="8" t="str">
        <f t="shared" si="77"/>
        <v>Office Supplies</v>
      </c>
      <c r="T466" s="8" t="s">
        <v>27</v>
      </c>
      <c r="U466" s="8" t="str">
        <f t="shared" si="78"/>
        <v>Paper</v>
      </c>
      <c r="V466" s="8" t="s">
        <v>1515</v>
      </c>
    </row>
    <row r="467" spans="1:22">
      <c r="A467" s="8" t="s">
        <v>1516</v>
      </c>
      <c r="B467" s="8">
        <f t="shared" si="70"/>
        <v>1</v>
      </c>
      <c r="C467" s="8" t="str">
        <f t="shared" si="71"/>
        <v>Unique</v>
      </c>
      <c r="D467" s="9">
        <v>45320</v>
      </c>
      <c r="E467" s="8">
        <f t="shared" si="72"/>
        <v>125</v>
      </c>
      <c r="F467" s="10">
        <v>45445</v>
      </c>
      <c r="G467" s="8" t="s">
        <v>1517</v>
      </c>
      <c r="H467" s="8" t="s">
        <v>126</v>
      </c>
      <c r="I467" s="8" t="str">
        <f t="shared" si="79"/>
        <v>Aarav Sharma</v>
      </c>
      <c r="J467" s="8" t="s">
        <v>35</v>
      </c>
      <c r="K467" s="8" t="str">
        <f t="shared" si="73"/>
        <v>Small Business</v>
      </c>
      <c r="L467" s="8" t="s">
        <v>61</v>
      </c>
      <c r="M467" s="8" t="str">
        <f t="shared" si="74"/>
        <v>West</v>
      </c>
      <c r="N467" s="8" t="s">
        <v>70</v>
      </c>
      <c r="O467" s="8" t="str">
        <f t="shared" si="75"/>
        <v>Madhya Pradesh</v>
      </c>
      <c r="P467" s="8" t="s">
        <v>71</v>
      </c>
      <c r="Q467" s="8" t="str">
        <f t="shared" si="76"/>
        <v>Indore</v>
      </c>
      <c r="R467" s="8" t="s">
        <v>26</v>
      </c>
      <c r="S467" s="8" t="str">
        <f t="shared" si="77"/>
        <v>Office Supplies</v>
      </c>
      <c r="T467" s="8" t="s">
        <v>89</v>
      </c>
      <c r="U467" s="8" t="str">
        <f t="shared" si="78"/>
        <v>Labels</v>
      </c>
      <c r="V467" s="8" t="s">
        <v>1518</v>
      </c>
    </row>
    <row r="468" spans="1:22">
      <c r="A468" s="8" t="s">
        <v>1519</v>
      </c>
      <c r="B468" s="8">
        <f t="shared" si="70"/>
        <v>1</v>
      </c>
      <c r="C468" s="8" t="str">
        <f t="shared" si="71"/>
        <v>Unique</v>
      </c>
      <c r="D468" s="9">
        <v>45383</v>
      </c>
      <c r="E468" s="8">
        <f t="shared" si="72"/>
        <v>-84</v>
      </c>
      <c r="F468" s="10">
        <v>45299</v>
      </c>
      <c r="G468" s="8" t="s">
        <v>1520</v>
      </c>
      <c r="H468" s="8" t="s">
        <v>34</v>
      </c>
      <c r="I468" s="8" t="str">
        <f t="shared" si="79"/>
        <v>Mira Das</v>
      </c>
      <c r="J468" s="8" t="s">
        <v>35</v>
      </c>
      <c r="K468" s="8" t="str">
        <f t="shared" si="73"/>
        <v>Small Business</v>
      </c>
      <c r="L468" s="8" t="s">
        <v>36</v>
      </c>
      <c r="M468" s="8" t="str">
        <f t="shared" si="74"/>
        <v>East</v>
      </c>
      <c r="N468" s="8" t="s">
        <v>143</v>
      </c>
      <c r="O468" s="8" t="str">
        <f t="shared" si="75"/>
        <v>Bihar</v>
      </c>
      <c r="P468" s="8" t="s">
        <v>144</v>
      </c>
      <c r="Q468" s="8" t="str">
        <f t="shared" si="76"/>
        <v>Patna</v>
      </c>
      <c r="R468" s="8" t="s">
        <v>72</v>
      </c>
      <c r="S468" s="8" t="str">
        <f t="shared" si="77"/>
        <v>Technology</v>
      </c>
      <c r="T468" s="8" t="s">
        <v>73</v>
      </c>
      <c r="U468" s="8" t="str">
        <f t="shared" si="78"/>
        <v>Accessories</v>
      </c>
      <c r="V468" s="8" t="s">
        <v>1521</v>
      </c>
    </row>
    <row r="469" spans="1:22">
      <c r="A469" s="8" t="s">
        <v>1522</v>
      </c>
      <c r="B469" s="8">
        <f t="shared" si="70"/>
        <v>1</v>
      </c>
      <c r="C469" s="8" t="str">
        <f t="shared" si="71"/>
        <v>Unique</v>
      </c>
      <c r="D469" s="9">
        <v>45524</v>
      </c>
      <c r="E469" s="8">
        <f t="shared" si="72"/>
        <v>1</v>
      </c>
      <c r="F469" s="10">
        <v>45525</v>
      </c>
      <c r="G469" s="8" t="s">
        <v>1523</v>
      </c>
      <c r="H469" s="8" t="s">
        <v>87</v>
      </c>
      <c r="I469" s="8" t="str">
        <f t="shared" si="79"/>
        <v>Aditi Sen</v>
      </c>
      <c r="J469" s="8" t="s">
        <v>88</v>
      </c>
      <c r="K469" s="8" t="str">
        <f t="shared" si="73"/>
        <v>Corporate</v>
      </c>
      <c r="L469" s="8" t="s">
        <v>36</v>
      </c>
      <c r="M469" s="8" t="str">
        <f t="shared" si="74"/>
        <v>East</v>
      </c>
      <c r="N469" s="8" t="s">
        <v>37</v>
      </c>
      <c r="O469" s="8" t="str">
        <f t="shared" si="75"/>
        <v>Odisha</v>
      </c>
      <c r="P469" s="8" t="s">
        <v>38</v>
      </c>
      <c r="Q469" s="8" t="str">
        <f t="shared" si="76"/>
        <v>Bhubaneswar</v>
      </c>
      <c r="R469" s="8" t="s">
        <v>72</v>
      </c>
      <c r="S469" s="8" t="str">
        <f t="shared" si="77"/>
        <v>Technology</v>
      </c>
      <c r="T469" s="8" t="s">
        <v>78</v>
      </c>
      <c r="U469" s="8" t="str">
        <f t="shared" si="78"/>
        <v>Copiers</v>
      </c>
      <c r="V469" s="8" t="s">
        <v>1524</v>
      </c>
    </row>
    <row r="470" spans="1:22">
      <c r="A470" s="8" t="s">
        <v>1525</v>
      </c>
      <c r="B470" s="8">
        <f t="shared" si="70"/>
        <v>1</v>
      </c>
      <c r="C470" s="8" t="str">
        <f t="shared" si="71"/>
        <v>Unique</v>
      </c>
      <c r="D470" s="9">
        <v>45901</v>
      </c>
      <c r="E470" s="8">
        <f t="shared" si="72"/>
        <v>-62</v>
      </c>
      <c r="F470" s="10">
        <v>45839</v>
      </c>
      <c r="G470" s="8" t="s">
        <v>1526</v>
      </c>
      <c r="H470" s="8" t="s">
        <v>126</v>
      </c>
      <c r="I470" s="8" t="str">
        <f t="shared" si="79"/>
        <v>Aarav Sharma</v>
      </c>
      <c r="J470" s="8" t="s">
        <v>93</v>
      </c>
      <c r="K470" s="8" t="str">
        <f t="shared" si="73"/>
        <v>Home Office</v>
      </c>
      <c r="L470" s="8" t="s">
        <v>36</v>
      </c>
      <c r="M470" s="8" t="str">
        <f t="shared" si="74"/>
        <v>East</v>
      </c>
      <c r="N470" s="8" t="s">
        <v>97</v>
      </c>
      <c r="O470" s="8" t="str">
        <f t="shared" si="75"/>
        <v>West Bengal</v>
      </c>
      <c r="P470" s="8" t="s">
        <v>98</v>
      </c>
      <c r="Q470" s="8" t="str">
        <f t="shared" si="76"/>
        <v>Kolkata</v>
      </c>
      <c r="R470" s="8" t="s">
        <v>26</v>
      </c>
      <c r="S470" s="8" t="str">
        <f t="shared" si="77"/>
        <v>Office Supplies</v>
      </c>
      <c r="T470" s="8" t="s">
        <v>151</v>
      </c>
      <c r="U470" s="8" t="str">
        <f t="shared" si="78"/>
        <v>Binders</v>
      </c>
      <c r="V470" s="8" t="s">
        <v>1527</v>
      </c>
    </row>
    <row r="471" spans="1:22">
      <c r="A471" s="8" t="s">
        <v>1528</v>
      </c>
      <c r="B471" s="8">
        <f t="shared" si="70"/>
        <v>1</v>
      </c>
      <c r="C471" s="8" t="str">
        <f t="shared" si="71"/>
        <v>Unique</v>
      </c>
      <c r="D471" s="9">
        <v>45310</v>
      </c>
      <c r="E471" s="8">
        <f t="shared" si="72"/>
        <v>6</v>
      </c>
      <c r="F471" s="10">
        <v>45316</v>
      </c>
      <c r="G471" s="8" t="s">
        <v>1529</v>
      </c>
      <c r="H471" s="8" t="s">
        <v>87</v>
      </c>
      <c r="I471" s="8" t="str">
        <f t="shared" si="79"/>
        <v>Aditi Sen</v>
      </c>
      <c r="J471" s="8" t="s">
        <v>88</v>
      </c>
      <c r="K471" s="8" t="str">
        <f t="shared" si="73"/>
        <v>Corporate</v>
      </c>
      <c r="L471" s="8" t="s">
        <v>61</v>
      </c>
      <c r="M471" s="8" t="str">
        <f t="shared" si="74"/>
        <v>West</v>
      </c>
      <c r="N471" s="8" t="s">
        <v>188</v>
      </c>
      <c r="O471" s="8" t="str">
        <f t="shared" si="75"/>
        <v>Goa</v>
      </c>
      <c r="P471" s="8" t="s">
        <v>189</v>
      </c>
      <c r="Q471" s="8" t="str">
        <f t="shared" si="76"/>
        <v>Panaji</v>
      </c>
      <c r="R471" s="8" t="s">
        <v>72</v>
      </c>
      <c r="S471" s="8" t="str">
        <f t="shared" si="77"/>
        <v>Technology</v>
      </c>
      <c r="T471" s="8" t="s">
        <v>78</v>
      </c>
      <c r="U471" s="8" t="str">
        <f t="shared" si="78"/>
        <v>Copiers</v>
      </c>
      <c r="V471" s="8" t="s">
        <v>1530</v>
      </c>
    </row>
    <row r="472" spans="1:22">
      <c r="A472" s="8" t="s">
        <v>1531</v>
      </c>
      <c r="B472" s="8">
        <f t="shared" si="70"/>
        <v>1</v>
      </c>
      <c r="C472" s="8" t="str">
        <f t="shared" si="71"/>
        <v>Unique</v>
      </c>
      <c r="D472" s="9">
        <v>45501</v>
      </c>
      <c r="E472" s="8">
        <f t="shared" si="72"/>
        <v>3</v>
      </c>
      <c r="F472" s="10">
        <v>45504</v>
      </c>
      <c r="G472" s="8" t="s">
        <v>1532</v>
      </c>
      <c r="H472" s="8" t="s">
        <v>87</v>
      </c>
      <c r="I472" s="8" t="str">
        <f t="shared" si="79"/>
        <v>Aditi Sen</v>
      </c>
      <c r="J472" s="8" t="s">
        <v>22</v>
      </c>
      <c r="K472" s="8" t="str">
        <f t="shared" si="73"/>
        <v>Consumer</v>
      </c>
      <c r="L472" s="8" t="s">
        <v>23</v>
      </c>
      <c r="M472" s="8" t="str">
        <f t="shared" si="74"/>
        <v>North</v>
      </c>
      <c r="N472" s="8" t="s">
        <v>24</v>
      </c>
      <c r="O472" s="8" t="str">
        <f t="shared" si="75"/>
        <v>Rajasthan</v>
      </c>
      <c r="P472" s="8" t="s">
        <v>25</v>
      </c>
      <c r="Q472" s="8" t="str">
        <f t="shared" si="76"/>
        <v>Jaipur</v>
      </c>
      <c r="R472" s="8" t="s">
        <v>39</v>
      </c>
      <c r="S472" s="8" t="str">
        <f t="shared" si="77"/>
        <v>Furniture</v>
      </c>
      <c r="T472" s="8" t="s">
        <v>40</v>
      </c>
      <c r="U472" s="8" t="str">
        <f t="shared" si="78"/>
        <v>Tables</v>
      </c>
      <c r="V472" s="8" t="s">
        <v>1533</v>
      </c>
    </row>
    <row r="473" spans="1:22">
      <c r="A473" s="8" t="s">
        <v>1534</v>
      </c>
      <c r="B473" s="8">
        <f t="shared" si="70"/>
        <v>1</v>
      </c>
      <c r="C473" s="8" t="str">
        <f t="shared" si="71"/>
        <v>Unique</v>
      </c>
      <c r="D473" s="9">
        <v>45598</v>
      </c>
      <c r="E473" s="8">
        <f t="shared" si="72"/>
        <v>-261</v>
      </c>
      <c r="F473" s="10">
        <v>45337</v>
      </c>
      <c r="G473" s="8" t="s">
        <v>1535</v>
      </c>
      <c r="H473" s="8" t="s">
        <v>263</v>
      </c>
      <c r="I473" s="8" t="str">
        <f t="shared" si="79"/>
        <v>Kabir Singh</v>
      </c>
      <c r="J473" s="8" t="s">
        <v>22</v>
      </c>
      <c r="K473" s="8" t="str">
        <f t="shared" si="73"/>
        <v>Consumer</v>
      </c>
      <c r="L473" s="8" t="s">
        <v>52</v>
      </c>
      <c r="M473" s="8" t="str">
        <f t="shared" si="74"/>
        <v>South</v>
      </c>
      <c r="N473" s="8" t="s">
        <v>53</v>
      </c>
      <c r="O473" s="8" t="str">
        <f t="shared" si="75"/>
        <v>Telangana</v>
      </c>
      <c r="P473" s="8" t="s">
        <v>54</v>
      </c>
      <c r="Q473" s="8" t="str">
        <f t="shared" si="76"/>
        <v>Hyderabad</v>
      </c>
      <c r="R473" s="8" t="s">
        <v>26</v>
      </c>
      <c r="S473" s="8" t="str">
        <f t="shared" si="77"/>
        <v>Office Supplies</v>
      </c>
      <c r="T473" s="8" t="s">
        <v>151</v>
      </c>
      <c r="U473" s="8" t="str">
        <f t="shared" si="78"/>
        <v>Binders</v>
      </c>
      <c r="V473" s="8" t="s">
        <v>1536</v>
      </c>
    </row>
    <row r="474" spans="1:22">
      <c r="A474" s="8" t="s">
        <v>1537</v>
      </c>
      <c r="B474" s="8">
        <f t="shared" si="70"/>
        <v>1</v>
      </c>
      <c r="C474" s="8" t="str">
        <f t="shared" si="71"/>
        <v>Unique</v>
      </c>
      <c r="D474" s="9">
        <v>45325</v>
      </c>
      <c r="E474" s="8">
        <f t="shared" si="72"/>
        <v>33</v>
      </c>
      <c r="F474" s="10">
        <v>45358</v>
      </c>
      <c r="G474" s="8" t="s">
        <v>1538</v>
      </c>
      <c r="H474" s="8" t="s">
        <v>139</v>
      </c>
      <c r="I474" s="8" t="str">
        <f t="shared" si="79"/>
        <v>Rohan Mehta</v>
      </c>
      <c r="J474" s="8" t="s">
        <v>88</v>
      </c>
      <c r="K474" s="8" t="str">
        <f t="shared" si="73"/>
        <v>Corporate</v>
      </c>
      <c r="L474" s="8" t="s">
        <v>36</v>
      </c>
      <c r="M474" s="8" t="str">
        <f t="shared" si="74"/>
        <v>East</v>
      </c>
      <c r="N474" s="8" t="s">
        <v>37</v>
      </c>
      <c r="O474" s="8" t="str">
        <f t="shared" si="75"/>
        <v>Odisha</v>
      </c>
      <c r="P474" s="8" t="s">
        <v>38</v>
      </c>
      <c r="Q474" s="8" t="str">
        <f t="shared" si="76"/>
        <v>Bhubaneswar</v>
      </c>
      <c r="R474" s="8" t="s">
        <v>26</v>
      </c>
      <c r="S474" s="8" t="str">
        <f t="shared" si="77"/>
        <v>Office Supplies</v>
      </c>
      <c r="T474" s="8" t="s">
        <v>122</v>
      </c>
      <c r="U474" s="8" t="str">
        <f t="shared" si="78"/>
        <v>Storage</v>
      </c>
      <c r="V474" s="8" t="s">
        <v>1539</v>
      </c>
    </row>
    <row r="475" spans="1:22">
      <c r="A475" s="8" t="s">
        <v>1540</v>
      </c>
      <c r="B475" s="8">
        <f t="shared" si="70"/>
        <v>1</v>
      </c>
      <c r="C475" s="8" t="str">
        <f t="shared" si="71"/>
        <v>Unique</v>
      </c>
      <c r="D475" s="9">
        <v>45609</v>
      </c>
      <c r="E475" s="8">
        <f t="shared" si="72"/>
        <v>0</v>
      </c>
      <c r="F475" s="10">
        <v>45609</v>
      </c>
      <c r="G475" s="8" t="s">
        <v>1541</v>
      </c>
      <c r="H475" s="8" t="s">
        <v>112</v>
      </c>
      <c r="I475" s="8" t="str">
        <f t="shared" si="79"/>
        <v>Priya Menon</v>
      </c>
      <c r="J475" s="8" t="s">
        <v>22</v>
      </c>
      <c r="K475" s="8" t="str">
        <f t="shared" si="73"/>
        <v>Consumer</v>
      </c>
      <c r="L475" s="8" t="s">
        <v>61</v>
      </c>
      <c r="M475" s="8" t="str">
        <f t="shared" si="74"/>
        <v>West</v>
      </c>
      <c r="N475" s="8" t="s">
        <v>188</v>
      </c>
      <c r="O475" s="8" t="str">
        <f t="shared" si="75"/>
        <v>Goa</v>
      </c>
      <c r="P475" s="8" t="s">
        <v>189</v>
      </c>
      <c r="Q475" s="8" t="str">
        <f t="shared" si="76"/>
        <v>Panaji</v>
      </c>
      <c r="R475" s="8" t="s">
        <v>72</v>
      </c>
      <c r="S475" s="8" t="str">
        <f t="shared" si="77"/>
        <v>Technology</v>
      </c>
      <c r="T475" s="8" t="s">
        <v>78</v>
      </c>
      <c r="U475" s="8" t="str">
        <f t="shared" si="78"/>
        <v>Copiers</v>
      </c>
      <c r="V475" s="8" t="s">
        <v>1542</v>
      </c>
    </row>
    <row r="476" spans="1:22">
      <c r="A476" s="8" t="s">
        <v>1543</v>
      </c>
      <c r="B476" s="8">
        <f t="shared" si="70"/>
        <v>1</v>
      </c>
      <c r="C476" s="8" t="str">
        <f t="shared" si="71"/>
        <v>Unique</v>
      </c>
      <c r="D476" s="9">
        <v>45357</v>
      </c>
      <c r="E476" s="8">
        <f t="shared" si="72"/>
        <v>214</v>
      </c>
      <c r="F476" s="10">
        <v>45571</v>
      </c>
      <c r="G476" s="8" t="s">
        <v>1544</v>
      </c>
      <c r="H476" s="8" t="s">
        <v>160</v>
      </c>
      <c r="I476" s="8" t="str">
        <f t="shared" si="79"/>
        <v>Diya Patel</v>
      </c>
      <c r="J476" s="8" t="s">
        <v>88</v>
      </c>
      <c r="K476" s="8" t="str">
        <f t="shared" si="73"/>
        <v>Corporate</v>
      </c>
      <c r="L476" s="8" t="s">
        <v>23</v>
      </c>
      <c r="M476" s="8" t="str">
        <f t="shared" si="74"/>
        <v>North</v>
      </c>
      <c r="N476" s="8" t="s">
        <v>120</v>
      </c>
      <c r="O476" s="8" t="str">
        <f t="shared" si="75"/>
        <v>Punjab</v>
      </c>
      <c r="P476" s="8" t="s">
        <v>121</v>
      </c>
      <c r="Q476" s="8" t="str">
        <f t="shared" si="76"/>
        <v>Ludhiana</v>
      </c>
      <c r="R476" s="8" t="s">
        <v>39</v>
      </c>
      <c r="S476" s="8" t="str">
        <f t="shared" si="77"/>
        <v>Furniture</v>
      </c>
      <c r="T476" s="8" t="s">
        <v>55</v>
      </c>
      <c r="U476" s="8" t="str">
        <f t="shared" si="78"/>
        <v>Furnishings</v>
      </c>
      <c r="V476" s="8" t="s">
        <v>1545</v>
      </c>
    </row>
    <row r="477" spans="1:22">
      <c r="A477" s="8" t="s">
        <v>1546</v>
      </c>
      <c r="B477" s="8">
        <f t="shared" si="70"/>
        <v>1</v>
      </c>
      <c r="C477" s="8" t="str">
        <f t="shared" si="71"/>
        <v>Unique</v>
      </c>
      <c r="D477" s="9">
        <v>45717</v>
      </c>
      <c r="E477" s="8">
        <f t="shared" si="72"/>
        <v>155</v>
      </c>
      <c r="F477" s="10">
        <v>45872</v>
      </c>
      <c r="G477" s="8" t="s">
        <v>1547</v>
      </c>
      <c r="H477" s="8" t="s">
        <v>69</v>
      </c>
      <c r="I477" s="8" t="str">
        <f t="shared" si="79"/>
        <v>Vikram Iyer</v>
      </c>
      <c r="J477" s="8" t="s">
        <v>22</v>
      </c>
      <c r="K477" s="8" t="str">
        <f t="shared" si="73"/>
        <v>Consumer</v>
      </c>
      <c r="L477" s="8" t="s">
        <v>36</v>
      </c>
      <c r="M477" s="8" t="str">
        <f t="shared" si="74"/>
        <v>East</v>
      </c>
      <c r="N477" s="8" t="s">
        <v>97</v>
      </c>
      <c r="O477" s="8" t="str">
        <f t="shared" si="75"/>
        <v>West Bengal</v>
      </c>
      <c r="P477" s="8" t="s">
        <v>98</v>
      </c>
      <c r="Q477" s="8" t="str">
        <f t="shared" si="76"/>
        <v>Kolkata</v>
      </c>
      <c r="R477" s="8" t="s">
        <v>39</v>
      </c>
      <c r="S477" s="8" t="str">
        <f t="shared" si="77"/>
        <v>Furniture</v>
      </c>
      <c r="T477" s="8" t="s">
        <v>64</v>
      </c>
      <c r="U477" s="8" t="str">
        <f t="shared" si="78"/>
        <v>Chairs</v>
      </c>
      <c r="V477" s="8" t="s">
        <v>1548</v>
      </c>
    </row>
    <row r="478" spans="1:22">
      <c r="A478" s="8" t="s">
        <v>1549</v>
      </c>
      <c r="B478" s="8">
        <f t="shared" si="70"/>
        <v>1</v>
      </c>
      <c r="C478" s="8" t="str">
        <f t="shared" si="71"/>
        <v>Unique</v>
      </c>
      <c r="D478" s="9">
        <v>45419</v>
      </c>
      <c r="E478" s="8">
        <f t="shared" si="72"/>
        <v>7</v>
      </c>
      <c r="F478" s="10">
        <v>45426</v>
      </c>
      <c r="G478" s="8" t="s">
        <v>1550</v>
      </c>
      <c r="H478" s="8" t="s">
        <v>130</v>
      </c>
      <c r="I478" s="8" t="str">
        <f t="shared" si="79"/>
        <v>Sneha Kapoor</v>
      </c>
      <c r="J478" s="8" t="s">
        <v>35</v>
      </c>
      <c r="K478" s="8" t="str">
        <f t="shared" si="73"/>
        <v>Small Business</v>
      </c>
      <c r="L478" s="8" t="s">
        <v>23</v>
      </c>
      <c r="M478" s="8" t="str">
        <f t="shared" si="74"/>
        <v>North</v>
      </c>
      <c r="N478" s="8" t="s">
        <v>24</v>
      </c>
      <c r="O478" s="8" t="str">
        <f t="shared" si="75"/>
        <v>Rajasthan</v>
      </c>
      <c r="P478" s="8" t="s">
        <v>25</v>
      </c>
      <c r="Q478" s="8" t="str">
        <f t="shared" si="76"/>
        <v>Jaipur</v>
      </c>
      <c r="R478" s="8" t="s">
        <v>26</v>
      </c>
      <c r="S478" s="8" t="str">
        <f t="shared" si="77"/>
        <v>Office Supplies</v>
      </c>
      <c r="T478" s="8" t="s">
        <v>122</v>
      </c>
      <c r="U478" s="8" t="str">
        <f t="shared" si="78"/>
        <v>Storage</v>
      </c>
      <c r="V478" s="8" t="s">
        <v>1551</v>
      </c>
    </row>
    <row r="479" spans="1:22">
      <c r="A479" s="8" t="s">
        <v>1552</v>
      </c>
      <c r="B479" s="8">
        <f t="shared" si="70"/>
        <v>1</v>
      </c>
      <c r="C479" s="8" t="str">
        <f t="shared" si="71"/>
        <v>Unique</v>
      </c>
      <c r="D479" s="9">
        <v>45892</v>
      </c>
      <c r="E479" s="8">
        <f t="shared" si="72"/>
        <v>5</v>
      </c>
      <c r="F479" s="10">
        <v>45897</v>
      </c>
      <c r="G479" s="8" t="s">
        <v>1553</v>
      </c>
      <c r="H479" s="8" t="s">
        <v>69</v>
      </c>
      <c r="I479" s="8" t="str">
        <f t="shared" si="79"/>
        <v>Vikram Iyer</v>
      </c>
      <c r="J479" s="8" t="s">
        <v>88</v>
      </c>
      <c r="K479" s="8" t="str">
        <f t="shared" si="73"/>
        <v>Corporate</v>
      </c>
      <c r="L479" s="8" t="s">
        <v>61</v>
      </c>
      <c r="M479" s="8" t="str">
        <f t="shared" si="74"/>
        <v>West</v>
      </c>
      <c r="N479" s="8" t="s">
        <v>178</v>
      </c>
      <c r="O479" s="8" t="str">
        <f t="shared" si="75"/>
        <v>Gujarat</v>
      </c>
      <c r="P479" s="8" t="s">
        <v>179</v>
      </c>
      <c r="Q479" s="8" t="str">
        <f t="shared" si="76"/>
        <v>Ahmedabad</v>
      </c>
      <c r="R479" s="8" t="s">
        <v>39</v>
      </c>
      <c r="S479" s="8" t="str">
        <f t="shared" si="77"/>
        <v>Furniture</v>
      </c>
      <c r="T479" s="8" t="s">
        <v>64</v>
      </c>
      <c r="U479" s="8" t="str">
        <f t="shared" si="78"/>
        <v>Chairs</v>
      </c>
      <c r="V479" s="8" t="s">
        <v>1554</v>
      </c>
    </row>
    <row r="480" spans="1:22">
      <c r="A480" s="8" t="s">
        <v>1555</v>
      </c>
      <c r="B480" s="8">
        <f t="shared" si="70"/>
        <v>1</v>
      </c>
      <c r="C480" s="8" t="str">
        <f t="shared" si="71"/>
        <v>Unique</v>
      </c>
      <c r="D480" s="9">
        <v>45452</v>
      </c>
      <c r="E480" s="8">
        <f t="shared" si="72"/>
        <v>4</v>
      </c>
      <c r="F480" s="10">
        <v>45456</v>
      </c>
      <c r="G480" s="8" t="s">
        <v>1556</v>
      </c>
      <c r="H480" s="8" t="s">
        <v>34</v>
      </c>
      <c r="I480" s="8" t="str">
        <f t="shared" si="79"/>
        <v>Mira Das</v>
      </c>
      <c r="J480" s="8" t="s">
        <v>93</v>
      </c>
      <c r="K480" s="8" t="str">
        <f t="shared" si="73"/>
        <v>Home Office</v>
      </c>
      <c r="M480" s="8" t="str">
        <f t="shared" si="74"/>
        <v/>
      </c>
      <c r="N480" s="8" t="s">
        <v>134</v>
      </c>
      <c r="O480" s="8" t="str">
        <f t="shared" si="75"/>
        <v>Uttar Pradesh</v>
      </c>
      <c r="P480" s="8" t="s">
        <v>135</v>
      </c>
      <c r="Q480" s="8" t="str">
        <f t="shared" si="76"/>
        <v>Noida</v>
      </c>
      <c r="R480" s="8" t="s">
        <v>72</v>
      </c>
      <c r="S480" s="8" t="str">
        <f t="shared" si="77"/>
        <v>Technology</v>
      </c>
      <c r="T480" s="8" t="s">
        <v>273</v>
      </c>
      <c r="U480" s="8" t="str">
        <f t="shared" si="78"/>
        <v>Machines</v>
      </c>
      <c r="V480" s="8" t="s">
        <v>1557</v>
      </c>
    </row>
    <row r="481" spans="1:22">
      <c r="A481" s="8" t="s">
        <v>1558</v>
      </c>
      <c r="B481" s="8">
        <f t="shared" si="70"/>
        <v>1</v>
      </c>
      <c r="C481" s="8" t="str">
        <f t="shared" si="71"/>
        <v>Unique</v>
      </c>
      <c r="D481" s="9">
        <v>45345</v>
      </c>
      <c r="E481" s="8">
        <f t="shared" si="72"/>
        <v>-3</v>
      </c>
      <c r="F481" s="10">
        <v>45342</v>
      </c>
      <c r="G481" s="8" t="s">
        <v>1559</v>
      </c>
      <c r="H481" s="8" t="s">
        <v>51</v>
      </c>
      <c r="I481" s="8" t="str">
        <f t="shared" si="79"/>
        <v>Arjun Bose</v>
      </c>
      <c r="J481" s="8" t="s">
        <v>88</v>
      </c>
      <c r="K481" s="8" t="str">
        <f t="shared" si="73"/>
        <v>Corporate</v>
      </c>
      <c r="L481" s="8" t="s">
        <v>36</v>
      </c>
      <c r="M481" s="8" t="str">
        <f t="shared" si="74"/>
        <v>East</v>
      </c>
      <c r="N481" s="8" t="s">
        <v>37</v>
      </c>
      <c r="O481" s="8" t="str">
        <f t="shared" si="75"/>
        <v>Odisha</v>
      </c>
      <c r="P481" s="8" t="s">
        <v>38</v>
      </c>
      <c r="Q481" s="8" t="str">
        <f t="shared" si="76"/>
        <v>Bhubaneswar</v>
      </c>
      <c r="R481" s="8" t="s">
        <v>39</v>
      </c>
      <c r="S481" s="8" t="str">
        <f t="shared" si="77"/>
        <v>Furniture</v>
      </c>
      <c r="T481" s="8" t="s">
        <v>64</v>
      </c>
      <c r="U481" s="8" t="str">
        <f t="shared" si="78"/>
        <v>Chairs</v>
      </c>
      <c r="V481" s="8" t="s">
        <v>1560</v>
      </c>
    </row>
    <row r="482" spans="1:22">
      <c r="A482" s="8" t="s">
        <v>1561</v>
      </c>
      <c r="B482" s="8">
        <f t="shared" si="70"/>
        <v>1</v>
      </c>
      <c r="C482" s="8" t="str">
        <f t="shared" si="71"/>
        <v>Unique</v>
      </c>
      <c r="D482" s="9">
        <v>45778</v>
      </c>
      <c r="E482" s="8">
        <f t="shared" si="72"/>
        <v>123</v>
      </c>
      <c r="F482" s="10">
        <v>45901</v>
      </c>
      <c r="G482" s="8" t="s">
        <v>1562</v>
      </c>
      <c r="H482" s="8" t="s">
        <v>77</v>
      </c>
      <c r="I482" s="8" t="str">
        <f t="shared" si="79"/>
        <v>Neha Gupta</v>
      </c>
      <c r="J482" s="8" t="s">
        <v>35</v>
      </c>
      <c r="K482" s="8" t="str">
        <f t="shared" si="73"/>
        <v>Small Business</v>
      </c>
      <c r="L482" s="8" t="s">
        <v>52</v>
      </c>
      <c r="M482" s="8" t="str">
        <f t="shared" si="74"/>
        <v>South</v>
      </c>
      <c r="N482" s="8" t="s">
        <v>246</v>
      </c>
      <c r="O482" s="8" t="str">
        <f t="shared" si="75"/>
        <v>Tamil Nadu</v>
      </c>
      <c r="P482" s="8" t="s">
        <v>247</v>
      </c>
      <c r="Q482" s="8" t="str">
        <f t="shared" si="76"/>
        <v>Chennai</v>
      </c>
      <c r="R482" s="8" t="s">
        <v>26</v>
      </c>
      <c r="S482" s="8" t="str">
        <f t="shared" si="77"/>
        <v>Office Supplies</v>
      </c>
      <c r="T482" s="8" t="s">
        <v>122</v>
      </c>
      <c r="U482" s="8" t="str">
        <f t="shared" si="78"/>
        <v>Storage</v>
      </c>
      <c r="V482" s="8" t="s">
        <v>1563</v>
      </c>
    </row>
    <row r="483" spans="1:22">
      <c r="A483" s="8" t="s">
        <v>1564</v>
      </c>
      <c r="B483" s="8">
        <f t="shared" si="70"/>
        <v>1</v>
      </c>
      <c r="C483" s="8" t="str">
        <f t="shared" si="71"/>
        <v>Unique</v>
      </c>
      <c r="D483" s="9">
        <v>45783</v>
      </c>
      <c r="E483" s="8">
        <f t="shared" si="72"/>
        <v>38</v>
      </c>
      <c r="F483" s="10">
        <v>45821</v>
      </c>
      <c r="G483" s="8" t="s">
        <v>1565</v>
      </c>
      <c r="H483" s="8" t="s">
        <v>45</v>
      </c>
      <c r="I483" s="8" t="str">
        <f t="shared" si="79"/>
        <v>Isha Nair</v>
      </c>
      <c r="J483" s="8" t="s">
        <v>22</v>
      </c>
      <c r="K483" s="8" t="str">
        <f t="shared" si="73"/>
        <v>Consumer</v>
      </c>
      <c r="L483" s="8" t="s">
        <v>23</v>
      </c>
      <c r="M483" s="8" t="str">
        <f t="shared" si="74"/>
        <v>North</v>
      </c>
      <c r="N483" s="8" t="s">
        <v>134</v>
      </c>
      <c r="O483" s="8" t="str">
        <f t="shared" si="75"/>
        <v>Uttar Pradesh</v>
      </c>
      <c r="P483" s="8" t="s">
        <v>135</v>
      </c>
      <c r="Q483" s="8" t="str">
        <f t="shared" si="76"/>
        <v>Noida</v>
      </c>
      <c r="R483" s="8" t="s">
        <v>72</v>
      </c>
      <c r="S483" s="8" t="str">
        <f t="shared" si="77"/>
        <v>Technology</v>
      </c>
      <c r="T483" s="8" t="s">
        <v>273</v>
      </c>
      <c r="U483" s="8" t="str">
        <f t="shared" si="78"/>
        <v>Machines</v>
      </c>
      <c r="V483" s="8" t="s">
        <v>1566</v>
      </c>
    </row>
    <row r="484" spans="1:22">
      <c r="A484" s="8" t="s">
        <v>1567</v>
      </c>
      <c r="B484" s="8">
        <f t="shared" si="70"/>
        <v>1</v>
      </c>
      <c r="C484" s="8" t="str">
        <f t="shared" si="71"/>
        <v>Unique</v>
      </c>
      <c r="D484" s="9">
        <v>45495</v>
      </c>
      <c r="E484" s="8">
        <f t="shared" si="72"/>
        <v>0</v>
      </c>
      <c r="F484" s="10">
        <v>45495</v>
      </c>
      <c r="G484" s="8" t="s">
        <v>1568</v>
      </c>
      <c r="H484" s="8" t="s">
        <v>112</v>
      </c>
      <c r="I484" s="8" t="str">
        <f t="shared" si="79"/>
        <v>Priya Menon</v>
      </c>
      <c r="J484" s="8" t="s">
        <v>22</v>
      </c>
      <c r="K484" s="8" t="str">
        <f t="shared" si="73"/>
        <v>Consumer</v>
      </c>
      <c r="L484" s="8" t="s">
        <v>52</v>
      </c>
      <c r="M484" s="8" t="str">
        <f t="shared" si="74"/>
        <v>South</v>
      </c>
      <c r="N484" s="8" t="s">
        <v>173</v>
      </c>
      <c r="O484" s="8" t="str">
        <f t="shared" si="75"/>
        <v>Karnataka</v>
      </c>
      <c r="P484" s="8" t="s">
        <v>174</v>
      </c>
      <c r="Q484" s="8" t="str">
        <f t="shared" si="76"/>
        <v>Bengaluru</v>
      </c>
      <c r="R484" s="8" t="s">
        <v>72</v>
      </c>
      <c r="S484" s="8" t="str">
        <f t="shared" si="77"/>
        <v>Technology</v>
      </c>
      <c r="T484" s="8" t="s">
        <v>73</v>
      </c>
      <c r="U484" s="8" t="str">
        <f t="shared" si="78"/>
        <v>Accessories</v>
      </c>
      <c r="V484" s="8" t="s">
        <v>1569</v>
      </c>
    </row>
    <row r="485" spans="1:22">
      <c r="A485" s="8" t="s">
        <v>1570</v>
      </c>
      <c r="B485" s="8">
        <f t="shared" si="70"/>
        <v>1</v>
      </c>
      <c r="C485" s="8" t="str">
        <f t="shared" si="71"/>
        <v>Unique</v>
      </c>
      <c r="D485" s="9">
        <v>45651</v>
      </c>
      <c r="E485" s="8">
        <f t="shared" si="72"/>
        <v>0</v>
      </c>
      <c r="F485" s="10">
        <v>45651</v>
      </c>
      <c r="G485" s="8" t="s">
        <v>1571</v>
      </c>
      <c r="H485" s="8" t="s">
        <v>34</v>
      </c>
      <c r="I485" s="8" t="str">
        <f t="shared" si="79"/>
        <v>Mira Das</v>
      </c>
      <c r="J485" s="8" t="s">
        <v>88</v>
      </c>
      <c r="K485" s="8" t="str">
        <f t="shared" si="73"/>
        <v>Corporate</v>
      </c>
      <c r="L485" s="8" t="s">
        <v>36</v>
      </c>
      <c r="M485" s="8" t="str">
        <f t="shared" si="74"/>
        <v>East</v>
      </c>
      <c r="N485" s="8" t="s">
        <v>143</v>
      </c>
      <c r="O485" s="8" t="str">
        <f t="shared" si="75"/>
        <v>Bihar</v>
      </c>
      <c r="P485" s="8" t="s">
        <v>144</v>
      </c>
      <c r="Q485" s="8" t="str">
        <f t="shared" si="76"/>
        <v>Patna</v>
      </c>
      <c r="R485" s="8" t="s">
        <v>72</v>
      </c>
      <c r="S485" s="8" t="str">
        <f t="shared" si="77"/>
        <v>Technology</v>
      </c>
      <c r="T485" s="8" t="s">
        <v>78</v>
      </c>
      <c r="U485" s="8" t="str">
        <f t="shared" si="78"/>
        <v>Copiers</v>
      </c>
      <c r="V485" s="8" t="s">
        <v>1572</v>
      </c>
    </row>
    <row r="486" spans="1:22">
      <c r="A486" s="8" t="s">
        <v>1573</v>
      </c>
      <c r="B486" s="8">
        <f t="shared" si="70"/>
        <v>1</v>
      </c>
      <c r="C486" s="8" t="str">
        <f t="shared" si="71"/>
        <v>Unique</v>
      </c>
      <c r="D486" s="9">
        <v>45654</v>
      </c>
      <c r="E486" s="8">
        <f t="shared" si="72"/>
        <v>3</v>
      </c>
      <c r="F486" s="10">
        <v>45657</v>
      </c>
      <c r="G486" s="8" t="s">
        <v>1574</v>
      </c>
      <c r="H486" s="8" t="s">
        <v>34</v>
      </c>
      <c r="I486" s="8" t="str">
        <f t="shared" si="79"/>
        <v>Mira Das</v>
      </c>
      <c r="J486" s="8" t="s">
        <v>35</v>
      </c>
      <c r="K486" s="8" t="str">
        <f t="shared" si="73"/>
        <v>Small Business</v>
      </c>
      <c r="L486" s="8" t="s">
        <v>52</v>
      </c>
      <c r="M486" s="8" t="str">
        <f t="shared" si="74"/>
        <v>South</v>
      </c>
      <c r="N486" s="8" t="s">
        <v>82</v>
      </c>
      <c r="O486" s="8" t="str">
        <f t="shared" si="75"/>
        <v>Andhra Pradesh</v>
      </c>
      <c r="P486" s="8" t="s">
        <v>83</v>
      </c>
      <c r="Q486" s="8" t="str">
        <f t="shared" si="76"/>
        <v>Vijayawada</v>
      </c>
      <c r="R486" s="8" t="s">
        <v>39</v>
      </c>
      <c r="S486" s="8" t="str">
        <f t="shared" si="77"/>
        <v>Furniture</v>
      </c>
      <c r="T486" s="8" t="s">
        <v>55</v>
      </c>
      <c r="U486" s="8" t="str">
        <f t="shared" si="78"/>
        <v>Furnishings</v>
      </c>
      <c r="V486" s="8" t="s">
        <v>1575</v>
      </c>
    </row>
    <row r="487" spans="1:22">
      <c r="A487" s="8" t="s">
        <v>1576</v>
      </c>
      <c r="B487" s="8">
        <f t="shared" si="70"/>
        <v>1</v>
      </c>
      <c r="C487" s="8" t="str">
        <f t="shared" si="71"/>
        <v>Unique</v>
      </c>
      <c r="D487" s="9">
        <v>45679</v>
      </c>
      <c r="E487" s="8">
        <f t="shared" si="72"/>
        <v>1</v>
      </c>
      <c r="F487" s="10">
        <v>45680</v>
      </c>
      <c r="G487" s="8" t="s">
        <v>1577</v>
      </c>
      <c r="H487" s="8" t="s">
        <v>116</v>
      </c>
      <c r="I487" s="8" t="str">
        <f t="shared" si="79"/>
        <v>Rahul Verma</v>
      </c>
      <c r="J487" s="8" t="s">
        <v>88</v>
      </c>
      <c r="K487" s="8" t="str">
        <f t="shared" si="73"/>
        <v>Corporate</v>
      </c>
      <c r="L487" s="8" t="s">
        <v>61</v>
      </c>
      <c r="M487" s="8" t="str">
        <f t="shared" si="74"/>
        <v>West</v>
      </c>
      <c r="N487" s="8" t="s">
        <v>188</v>
      </c>
      <c r="O487" s="8" t="str">
        <f t="shared" si="75"/>
        <v>Goa</v>
      </c>
      <c r="P487" s="8" t="s">
        <v>189</v>
      </c>
      <c r="Q487" s="8" t="str">
        <f t="shared" si="76"/>
        <v>Panaji</v>
      </c>
      <c r="R487" s="8" t="s">
        <v>39</v>
      </c>
      <c r="S487" s="8" t="str">
        <f t="shared" si="77"/>
        <v>Furniture</v>
      </c>
      <c r="T487" s="8" t="s">
        <v>156</v>
      </c>
      <c r="U487" s="8" t="str">
        <f t="shared" si="78"/>
        <v>Bookcases</v>
      </c>
      <c r="V487" s="8" t="s">
        <v>1578</v>
      </c>
    </row>
    <row r="488" spans="1:22">
      <c r="A488" s="8" t="s">
        <v>1579</v>
      </c>
      <c r="B488" s="8">
        <f t="shared" si="70"/>
        <v>1</v>
      </c>
      <c r="C488" s="8" t="str">
        <f t="shared" si="71"/>
        <v>Unique</v>
      </c>
      <c r="D488" s="9">
        <v>45830</v>
      </c>
      <c r="E488" s="8">
        <f t="shared" si="72"/>
        <v>4</v>
      </c>
      <c r="F488" s="10">
        <v>45834</v>
      </c>
      <c r="G488" s="8" t="s">
        <v>1580</v>
      </c>
      <c r="H488" s="8" t="s">
        <v>116</v>
      </c>
      <c r="I488" s="8" t="str">
        <f t="shared" si="79"/>
        <v>Rahul Verma</v>
      </c>
      <c r="J488" s="8" t="s">
        <v>88</v>
      </c>
      <c r="K488" s="8" t="str">
        <f t="shared" si="73"/>
        <v>Corporate</v>
      </c>
      <c r="L488" s="8" t="s">
        <v>61</v>
      </c>
      <c r="M488" s="8" t="str">
        <f t="shared" si="74"/>
        <v>West</v>
      </c>
      <c r="N488" s="8" t="s">
        <v>188</v>
      </c>
      <c r="O488" s="8" t="str">
        <f t="shared" si="75"/>
        <v>Goa</v>
      </c>
      <c r="P488" s="8" t="s">
        <v>189</v>
      </c>
      <c r="Q488" s="8" t="str">
        <f t="shared" si="76"/>
        <v>Panaji</v>
      </c>
      <c r="R488" s="8" t="s">
        <v>39</v>
      </c>
      <c r="S488" s="8" t="str">
        <f t="shared" si="77"/>
        <v>Furniture</v>
      </c>
      <c r="T488" s="8" t="s">
        <v>40</v>
      </c>
      <c r="U488" s="8" t="str">
        <f t="shared" si="78"/>
        <v>Tables</v>
      </c>
      <c r="V488" s="8" t="s">
        <v>1581</v>
      </c>
    </row>
    <row r="489" spans="1:22">
      <c r="A489" s="8" t="s">
        <v>1582</v>
      </c>
      <c r="B489" s="8">
        <f t="shared" si="70"/>
        <v>1</v>
      </c>
      <c r="C489" s="8" t="str">
        <f t="shared" si="71"/>
        <v>Unique</v>
      </c>
      <c r="D489" s="9">
        <v>45936</v>
      </c>
      <c r="E489" s="8">
        <f t="shared" si="72"/>
        <v>-111</v>
      </c>
      <c r="F489" s="10">
        <v>45825</v>
      </c>
      <c r="G489" s="8" t="s">
        <v>1583</v>
      </c>
      <c r="H489" s="8" t="s">
        <v>116</v>
      </c>
      <c r="I489" s="8" t="str">
        <f t="shared" si="79"/>
        <v>Rahul Verma</v>
      </c>
      <c r="J489" s="8" t="s">
        <v>88</v>
      </c>
      <c r="K489" s="8" t="str">
        <f t="shared" si="73"/>
        <v>Corporate</v>
      </c>
      <c r="L489" s="8" t="s">
        <v>52</v>
      </c>
      <c r="M489" s="8" t="str">
        <f t="shared" si="74"/>
        <v>South</v>
      </c>
      <c r="N489" s="8" t="s">
        <v>53</v>
      </c>
      <c r="O489" s="8" t="str">
        <f t="shared" si="75"/>
        <v>Telangana</v>
      </c>
      <c r="P489" s="8" t="s">
        <v>54</v>
      </c>
      <c r="Q489" s="8" t="str">
        <f t="shared" si="76"/>
        <v>Hyderabad</v>
      </c>
      <c r="R489" s="8" t="s">
        <v>39</v>
      </c>
      <c r="S489" s="8" t="str">
        <f t="shared" si="77"/>
        <v>Furniture</v>
      </c>
      <c r="T489" s="8" t="s">
        <v>55</v>
      </c>
      <c r="U489" s="8" t="str">
        <f t="shared" si="78"/>
        <v>Furnishings</v>
      </c>
      <c r="V489" s="8" t="s">
        <v>1584</v>
      </c>
    </row>
    <row r="490" spans="1:22">
      <c r="A490" s="8" t="s">
        <v>1585</v>
      </c>
      <c r="B490" s="8">
        <f t="shared" si="70"/>
        <v>1</v>
      </c>
      <c r="C490" s="8" t="str">
        <f t="shared" si="71"/>
        <v>Unique</v>
      </c>
      <c r="D490" s="9">
        <v>45579</v>
      </c>
      <c r="E490" s="8">
        <f t="shared" si="72"/>
        <v>6</v>
      </c>
      <c r="F490" s="10">
        <v>45585</v>
      </c>
      <c r="G490" s="8" t="s">
        <v>1586</v>
      </c>
      <c r="H490" s="8" t="s">
        <v>87</v>
      </c>
      <c r="I490" s="8" t="str">
        <f t="shared" si="79"/>
        <v>Aditi Sen</v>
      </c>
      <c r="J490" s="8" t="s">
        <v>35</v>
      </c>
      <c r="K490" s="8" t="str">
        <f t="shared" si="73"/>
        <v>Small Business</v>
      </c>
      <c r="L490" s="8" t="s">
        <v>23</v>
      </c>
      <c r="M490" s="8" t="str">
        <f t="shared" si="74"/>
        <v>North</v>
      </c>
      <c r="N490" s="8" t="s">
        <v>24</v>
      </c>
      <c r="O490" s="8" t="str">
        <f t="shared" si="75"/>
        <v>Rajasthan</v>
      </c>
      <c r="P490" s="8" t="s">
        <v>25</v>
      </c>
      <c r="Q490" s="8" t="str">
        <f t="shared" si="76"/>
        <v>Jaipur</v>
      </c>
      <c r="R490" s="8" t="s">
        <v>39</v>
      </c>
      <c r="S490" s="8" t="str">
        <f t="shared" si="77"/>
        <v>Furniture</v>
      </c>
      <c r="T490" s="8" t="s">
        <v>40</v>
      </c>
      <c r="U490" s="8" t="str">
        <f t="shared" si="78"/>
        <v>Tables</v>
      </c>
      <c r="V490" s="8" t="s">
        <v>1587</v>
      </c>
    </row>
    <row r="491" spans="1:22">
      <c r="A491" s="8" t="s">
        <v>1588</v>
      </c>
      <c r="B491" s="8">
        <f t="shared" si="70"/>
        <v>1</v>
      </c>
      <c r="C491" s="8" t="str">
        <f t="shared" si="71"/>
        <v>Unique</v>
      </c>
      <c r="D491" s="9">
        <v>45475</v>
      </c>
      <c r="E491" s="8">
        <f t="shared" si="72"/>
        <v>153</v>
      </c>
      <c r="F491" s="10">
        <v>45628</v>
      </c>
      <c r="G491" s="8" t="s">
        <v>1589</v>
      </c>
      <c r="H491" s="8" t="s">
        <v>51</v>
      </c>
      <c r="I491" s="8" t="str">
        <f t="shared" si="79"/>
        <v>Arjun Bose</v>
      </c>
      <c r="J491" s="8" t="s">
        <v>93</v>
      </c>
      <c r="K491" s="8" t="str">
        <f t="shared" si="73"/>
        <v>Home Office</v>
      </c>
      <c r="L491" s="8" t="s">
        <v>36</v>
      </c>
      <c r="M491" s="8" t="str">
        <f t="shared" si="74"/>
        <v>East</v>
      </c>
      <c r="N491" s="8" t="s">
        <v>97</v>
      </c>
      <c r="O491" s="8" t="str">
        <f t="shared" si="75"/>
        <v>West Bengal</v>
      </c>
      <c r="P491" s="8" t="s">
        <v>98</v>
      </c>
      <c r="Q491" s="8" t="str">
        <f t="shared" si="76"/>
        <v>Kolkata</v>
      </c>
      <c r="R491" s="8" t="s">
        <v>72</v>
      </c>
      <c r="S491" s="8" t="str">
        <f t="shared" si="77"/>
        <v>Technology</v>
      </c>
      <c r="T491" s="8" t="s">
        <v>73</v>
      </c>
      <c r="U491" s="8" t="str">
        <f t="shared" si="78"/>
        <v>Accessories</v>
      </c>
      <c r="V491" s="8" t="s">
        <v>1590</v>
      </c>
    </row>
    <row r="492" spans="1:22">
      <c r="A492" s="8" t="s">
        <v>1591</v>
      </c>
      <c r="B492" s="8">
        <f t="shared" si="70"/>
        <v>1</v>
      </c>
      <c r="C492" s="8" t="str">
        <f t="shared" si="71"/>
        <v>Unique</v>
      </c>
      <c r="D492" s="9">
        <v>45551</v>
      </c>
      <c r="E492" s="8">
        <f t="shared" si="72"/>
        <v>3</v>
      </c>
      <c r="F492" s="10">
        <v>45554</v>
      </c>
      <c r="G492" s="8" t="s">
        <v>1592</v>
      </c>
      <c r="H492" s="8" t="s">
        <v>87</v>
      </c>
      <c r="I492" s="8" t="str">
        <f t="shared" si="79"/>
        <v>Aditi Sen</v>
      </c>
      <c r="J492" s="8" t="s">
        <v>22</v>
      </c>
      <c r="K492" s="8" t="str">
        <f t="shared" si="73"/>
        <v>Consumer</v>
      </c>
      <c r="L492" s="8" t="s">
        <v>61</v>
      </c>
      <c r="M492" s="8" t="str">
        <f t="shared" si="74"/>
        <v>West</v>
      </c>
      <c r="N492" s="8" t="s">
        <v>24</v>
      </c>
      <c r="O492" s="8" t="str">
        <f t="shared" si="75"/>
        <v>Rajasthan</v>
      </c>
      <c r="P492" s="8" t="s">
        <v>107</v>
      </c>
      <c r="Q492" s="8" t="str">
        <f t="shared" si="76"/>
        <v>Udaipur</v>
      </c>
      <c r="R492" s="8" t="s">
        <v>26</v>
      </c>
      <c r="S492" s="8" t="str">
        <f t="shared" si="77"/>
        <v>Office Supplies</v>
      </c>
      <c r="T492" s="8" t="s">
        <v>151</v>
      </c>
      <c r="U492" s="8" t="str">
        <f t="shared" si="78"/>
        <v>Binders</v>
      </c>
      <c r="V492" s="8" t="s">
        <v>1593</v>
      </c>
    </row>
    <row r="493" spans="1:22">
      <c r="A493" s="8" t="s">
        <v>1594</v>
      </c>
      <c r="B493" s="8">
        <f t="shared" si="70"/>
        <v>1</v>
      </c>
      <c r="C493" s="8" t="str">
        <f t="shared" si="71"/>
        <v>Unique</v>
      </c>
      <c r="D493" s="9">
        <v>45776</v>
      </c>
      <c r="E493" s="8">
        <f t="shared" si="72"/>
        <v>1</v>
      </c>
      <c r="F493" s="10">
        <v>45777</v>
      </c>
      <c r="G493" s="8" t="s">
        <v>1595</v>
      </c>
      <c r="H493" s="8" t="s">
        <v>34</v>
      </c>
      <c r="I493" s="8" t="str">
        <f t="shared" si="79"/>
        <v>Mira Das</v>
      </c>
      <c r="J493" s="8" t="s">
        <v>88</v>
      </c>
      <c r="K493" s="8" t="str">
        <f t="shared" si="73"/>
        <v>Corporate</v>
      </c>
      <c r="L493" s="8" t="s">
        <v>52</v>
      </c>
      <c r="M493" s="8" t="str">
        <f t="shared" si="74"/>
        <v>South</v>
      </c>
      <c r="N493" s="8" t="s">
        <v>183</v>
      </c>
      <c r="O493" s="8" t="str">
        <f t="shared" si="75"/>
        <v>Kerala</v>
      </c>
      <c r="P493" s="8" t="s">
        <v>184</v>
      </c>
      <c r="Q493" s="8" t="str">
        <f t="shared" si="76"/>
        <v>Kochi</v>
      </c>
      <c r="R493" s="8" t="s">
        <v>72</v>
      </c>
      <c r="S493" s="8" t="str">
        <f t="shared" si="77"/>
        <v>Technology</v>
      </c>
      <c r="T493" s="8" t="s">
        <v>73</v>
      </c>
      <c r="U493" s="8" t="str">
        <f t="shared" si="78"/>
        <v>Accessories</v>
      </c>
      <c r="V493" s="8" t="s">
        <v>1596</v>
      </c>
    </row>
    <row r="494" spans="1:22">
      <c r="A494" s="8" t="s">
        <v>1597</v>
      </c>
      <c r="B494" s="8">
        <f t="shared" si="70"/>
        <v>1</v>
      </c>
      <c r="C494" s="8" t="str">
        <f t="shared" si="71"/>
        <v>Unique</v>
      </c>
      <c r="D494" s="9">
        <v>45836</v>
      </c>
      <c r="E494" s="8">
        <f t="shared" si="72"/>
        <v>4</v>
      </c>
      <c r="F494" s="10">
        <v>45840</v>
      </c>
      <c r="G494" s="8" t="s">
        <v>1598</v>
      </c>
      <c r="H494" s="8" t="s">
        <v>60</v>
      </c>
      <c r="I494" s="8" t="str">
        <f t="shared" si="79"/>
        <v>Ananya Rao</v>
      </c>
      <c r="J494" s="8" t="s">
        <v>88</v>
      </c>
      <c r="K494" s="8" t="str">
        <f t="shared" si="73"/>
        <v>Corporate</v>
      </c>
      <c r="L494" s="8" t="s">
        <v>52</v>
      </c>
      <c r="M494" s="8" t="str">
        <f t="shared" si="74"/>
        <v>South</v>
      </c>
      <c r="N494" s="8" t="s">
        <v>82</v>
      </c>
      <c r="O494" s="8" t="str">
        <f t="shared" si="75"/>
        <v>Andhra Pradesh</v>
      </c>
      <c r="P494" s="8" t="s">
        <v>83</v>
      </c>
      <c r="Q494" s="8" t="str">
        <f t="shared" si="76"/>
        <v>Vijayawada</v>
      </c>
      <c r="R494" s="8" t="s">
        <v>26</v>
      </c>
      <c r="S494" s="8" t="str">
        <f t="shared" si="77"/>
        <v>Office Supplies</v>
      </c>
      <c r="T494" s="8" t="s">
        <v>122</v>
      </c>
      <c r="U494" s="8" t="str">
        <f t="shared" si="78"/>
        <v>Storage</v>
      </c>
      <c r="V494" s="8" t="s">
        <v>1599</v>
      </c>
    </row>
    <row r="495" spans="1:22">
      <c r="A495" s="8" t="s">
        <v>1600</v>
      </c>
      <c r="B495" s="8">
        <f t="shared" si="70"/>
        <v>1</v>
      </c>
      <c r="C495" s="8" t="str">
        <f t="shared" si="71"/>
        <v>Unique</v>
      </c>
      <c r="D495" s="9">
        <v>45701</v>
      </c>
      <c r="E495" s="8">
        <f t="shared" si="72"/>
        <v>0</v>
      </c>
      <c r="F495" s="10">
        <v>45701</v>
      </c>
      <c r="G495" s="8" t="s">
        <v>1601</v>
      </c>
      <c r="H495" s="8" t="s">
        <v>263</v>
      </c>
      <c r="I495" s="8" t="str">
        <f t="shared" si="79"/>
        <v>Kabir Singh</v>
      </c>
      <c r="J495" s="8" t="s">
        <v>88</v>
      </c>
      <c r="K495" s="8" t="str">
        <f t="shared" si="73"/>
        <v>Corporate</v>
      </c>
      <c r="L495" s="8" t="s">
        <v>36</v>
      </c>
      <c r="M495" s="8" t="str">
        <f t="shared" si="74"/>
        <v>East</v>
      </c>
      <c r="N495" s="8" t="s">
        <v>37</v>
      </c>
      <c r="O495" s="8" t="str">
        <f t="shared" si="75"/>
        <v>Odisha</v>
      </c>
      <c r="P495" s="8" t="s">
        <v>38</v>
      </c>
      <c r="Q495" s="8" t="str">
        <f t="shared" si="76"/>
        <v>Bhubaneswar</v>
      </c>
      <c r="R495" s="8" t="s">
        <v>26</v>
      </c>
      <c r="S495" s="8" t="str">
        <f t="shared" si="77"/>
        <v>Office Supplies</v>
      </c>
      <c r="T495" s="8" t="s">
        <v>27</v>
      </c>
      <c r="U495" s="8" t="str">
        <f t="shared" si="78"/>
        <v>Paper</v>
      </c>
      <c r="V495" s="8" t="s">
        <v>1602</v>
      </c>
    </row>
    <row r="496" spans="1:22">
      <c r="A496" s="8" t="s">
        <v>1604</v>
      </c>
      <c r="B496" s="8">
        <f t="shared" si="70"/>
        <v>1</v>
      </c>
      <c r="C496" s="8" t="str">
        <f t="shared" si="71"/>
        <v>Unique</v>
      </c>
      <c r="D496" s="9">
        <v>45610</v>
      </c>
      <c r="E496" s="8">
        <f t="shared" si="72"/>
        <v>8</v>
      </c>
      <c r="F496" s="10">
        <v>45618</v>
      </c>
      <c r="G496" s="8" t="s">
        <v>1605</v>
      </c>
      <c r="H496" s="8" t="s">
        <v>45</v>
      </c>
      <c r="I496" s="8" t="str">
        <f t="shared" si="79"/>
        <v>Isha Nair</v>
      </c>
      <c r="J496" s="8" t="s">
        <v>22</v>
      </c>
      <c r="K496" s="8" t="str">
        <f t="shared" si="73"/>
        <v>Consumer</v>
      </c>
      <c r="L496" s="8" t="s">
        <v>61</v>
      </c>
      <c r="M496" s="8" t="str">
        <f t="shared" si="74"/>
        <v>West</v>
      </c>
      <c r="N496" s="8" t="s">
        <v>70</v>
      </c>
      <c r="O496" s="8" t="str">
        <f t="shared" si="75"/>
        <v>Madhya Pradesh</v>
      </c>
      <c r="P496" s="8" t="s">
        <v>71</v>
      </c>
      <c r="Q496" s="8" t="str">
        <f t="shared" si="76"/>
        <v>Indore</v>
      </c>
      <c r="R496" s="8" t="s">
        <v>72</v>
      </c>
      <c r="S496" s="8" t="str">
        <f t="shared" si="77"/>
        <v>Technology</v>
      </c>
      <c r="T496" s="8" t="s">
        <v>169</v>
      </c>
      <c r="U496" s="8" t="str">
        <f t="shared" si="78"/>
        <v>Phones</v>
      </c>
      <c r="V496" s="8" t="s">
        <v>1606</v>
      </c>
    </row>
    <row r="497" spans="1:22">
      <c r="A497" s="8" t="s">
        <v>1607</v>
      </c>
      <c r="B497" s="8">
        <f t="shared" si="70"/>
        <v>1</v>
      </c>
      <c r="C497" s="8" t="str">
        <f t="shared" si="71"/>
        <v>Unique</v>
      </c>
      <c r="D497" s="9">
        <v>45421</v>
      </c>
      <c r="E497" s="8">
        <f t="shared" si="72"/>
        <v>6</v>
      </c>
      <c r="F497" s="10">
        <v>45427</v>
      </c>
      <c r="G497" s="8" t="s">
        <v>1608</v>
      </c>
      <c r="H497" s="8" t="s">
        <v>34</v>
      </c>
      <c r="I497" s="8" t="str">
        <f t="shared" si="79"/>
        <v>Mira Das</v>
      </c>
      <c r="J497" s="8" t="s">
        <v>35</v>
      </c>
      <c r="K497" s="8" t="str">
        <f t="shared" si="73"/>
        <v>Small Business</v>
      </c>
      <c r="L497" s="8" t="s">
        <v>36</v>
      </c>
      <c r="M497" s="8" t="str">
        <f t="shared" si="74"/>
        <v>East</v>
      </c>
      <c r="N497" s="8" t="s">
        <v>164</v>
      </c>
      <c r="O497" s="8" t="str">
        <f t="shared" si="75"/>
        <v>Assam</v>
      </c>
      <c r="P497" s="8" t="s">
        <v>165</v>
      </c>
      <c r="Q497" s="8" t="str">
        <f t="shared" si="76"/>
        <v>Guwahati</v>
      </c>
      <c r="R497" s="8" t="s">
        <v>72</v>
      </c>
      <c r="S497" s="8" t="str">
        <f t="shared" si="77"/>
        <v>Technology</v>
      </c>
      <c r="T497" s="8" t="s">
        <v>169</v>
      </c>
      <c r="U497" s="8" t="str">
        <f t="shared" si="78"/>
        <v>Phones</v>
      </c>
      <c r="V497" s="8" t="s">
        <v>1609</v>
      </c>
    </row>
    <row r="498" spans="1:22">
      <c r="A498" s="8" t="s">
        <v>1610</v>
      </c>
      <c r="B498" s="8">
        <f t="shared" si="70"/>
        <v>1</v>
      </c>
      <c r="C498" s="8" t="str">
        <f t="shared" si="71"/>
        <v>Unique</v>
      </c>
      <c r="D498" s="9">
        <v>45754</v>
      </c>
      <c r="E498" s="8">
        <f t="shared" si="72"/>
        <v>61</v>
      </c>
      <c r="F498" s="10">
        <v>45815</v>
      </c>
      <c r="G498" s="8" t="s">
        <v>1611</v>
      </c>
      <c r="H498" s="8" t="s">
        <v>263</v>
      </c>
      <c r="I498" s="8" t="str">
        <f t="shared" si="79"/>
        <v>Kabir Singh</v>
      </c>
      <c r="J498" s="8" t="s">
        <v>35</v>
      </c>
      <c r="K498" s="8" t="str">
        <f t="shared" si="73"/>
        <v>Small Business</v>
      </c>
      <c r="L498" s="8" t="s">
        <v>36</v>
      </c>
      <c r="M498" s="8" t="str">
        <f t="shared" si="74"/>
        <v>East</v>
      </c>
      <c r="N498" s="8" t="s">
        <v>227</v>
      </c>
      <c r="O498" s="8" t="str">
        <f t="shared" si="75"/>
        <v>Jharkhand</v>
      </c>
      <c r="P498" s="8" t="s">
        <v>228</v>
      </c>
      <c r="Q498" s="8" t="str">
        <f t="shared" si="76"/>
        <v>Ranchi</v>
      </c>
      <c r="R498" s="8" t="s">
        <v>39</v>
      </c>
      <c r="S498" s="8" t="str">
        <f t="shared" si="77"/>
        <v>Furniture</v>
      </c>
      <c r="T498" s="8" t="s">
        <v>64</v>
      </c>
      <c r="U498" s="8" t="str">
        <f t="shared" si="78"/>
        <v>Chairs</v>
      </c>
      <c r="V498" s="8" t="s">
        <v>1612</v>
      </c>
    </row>
    <row r="499" spans="1:22">
      <c r="A499" s="8" t="s">
        <v>1613</v>
      </c>
      <c r="B499" s="8">
        <f t="shared" si="70"/>
        <v>1</v>
      </c>
      <c r="C499" s="8" t="str">
        <f t="shared" si="71"/>
        <v>Unique</v>
      </c>
      <c r="D499" s="9">
        <v>45533</v>
      </c>
      <c r="E499" s="8">
        <f t="shared" si="72"/>
        <v>0</v>
      </c>
      <c r="F499" s="10">
        <v>45533</v>
      </c>
      <c r="G499" s="8" t="s">
        <v>1614</v>
      </c>
      <c r="H499" s="8" t="s">
        <v>130</v>
      </c>
      <c r="I499" s="8" t="str">
        <f t="shared" si="79"/>
        <v>Sneha Kapoor</v>
      </c>
      <c r="J499" s="8" t="s">
        <v>35</v>
      </c>
      <c r="K499" s="8" t="str">
        <f t="shared" si="73"/>
        <v>Small Business</v>
      </c>
      <c r="L499" s="8" t="s">
        <v>482</v>
      </c>
      <c r="M499" s="8" t="str">
        <f t="shared" si="74"/>
        <v>North</v>
      </c>
      <c r="N499" s="8" t="s">
        <v>134</v>
      </c>
      <c r="O499" s="8" t="str">
        <f t="shared" si="75"/>
        <v>Uttar Pradesh</v>
      </c>
      <c r="P499" s="8" t="s">
        <v>135</v>
      </c>
      <c r="Q499" s="8" t="str">
        <f t="shared" si="76"/>
        <v>Noida</v>
      </c>
      <c r="R499" s="8" t="s">
        <v>72</v>
      </c>
      <c r="S499" s="8" t="str">
        <f t="shared" si="77"/>
        <v>Technology</v>
      </c>
      <c r="T499" s="8" t="s">
        <v>73</v>
      </c>
      <c r="U499" s="8" t="str">
        <f t="shared" si="78"/>
        <v>Accessories</v>
      </c>
      <c r="V499" s="8" t="s">
        <v>1615</v>
      </c>
    </row>
    <row r="500" spans="1:22">
      <c r="A500" s="8" t="s">
        <v>1616</v>
      </c>
      <c r="B500" s="8">
        <f t="shared" si="70"/>
        <v>1</v>
      </c>
      <c r="C500" s="8" t="str">
        <f t="shared" si="71"/>
        <v>Unique</v>
      </c>
      <c r="D500" s="9">
        <v>45847</v>
      </c>
      <c r="E500" s="8">
        <f t="shared" si="72"/>
        <v>92</v>
      </c>
      <c r="F500" s="10">
        <v>45939</v>
      </c>
      <c r="G500" s="8" t="s">
        <v>1617</v>
      </c>
      <c r="H500" s="8" t="s">
        <v>21</v>
      </c>
      <c r="I500" s="8" t="str">
        <f t="shared" si="79"/>
        <v>Karan Malhotra</v>
      </c>
      <c r="J500" s="8" t="s">
        <v>22</v>
      </c>
      <c r="K500" s="8" t="str">
        <f t="shared" si="73"/>
        <v>Consumer</v>
      </c>
      <c r="L500" s="8" t="s">
        <v>23</v>
      </c>
      <c r="M500" s="8" t="str">
        <f t="shared" si="74"/>
        <v>North</v>
      </c>
      <c r="N500" s="8" t="s">
        <v>120</v>
      </c>
      <c r="O500" s="8" t="str">
        <f t="shared" si="75"/>
        <v>Punjab</v>
      </c>
      <c r="P500" s="8" t="s">
        <v>121</v>
      </c>
      <c r="Q500" s="8" t="str">
        <f t="shared" si="76"/>
        <v>Ludhiana</v>
      </c>
      <c r="R500" s="8" t="s">
        <v>39</v>
      </c>
      <c r="S500" s="8" t="str">
        <f t="shared" si="77"/>
        <v>Furniture</v>
      </c>
      <c r="T500" s="8" t="s">
        <v>64</v>
      </c>
      <c r="U500" s="8" t="str">
        <f t="shared" si="78"/>
        <v>Chairs</v>
      </c>
      <c r="V500" s="8" t="s">
        <v>1618</v>
      </c>
    </row>
    <row r="501" spans="1:22">
      <c r="A501" s="8" t="s">
        <v>1620</v>
      </c>
      <c r="B501" s="8">
        <f t="shared" si="70"/>
        <v>1</v>
      </c>
      <c r="C501" s="8" t="str">
        <f t="shared" si="71"/>
        <v>Unique</v>
      </c>
      <c r="D501" s="9">
        <v>45648</v>
      </c>
      <c r="E501" s="8">
        <f t="shared" si="72"/>
        <v>4</v>
      </c>
      <c r="F501" s="10">
        <v>45652</v>
      </c>
      <c r="G501" s="8" t="s">
        <v>1621</v>
      </c>
      <c r="H501" s="8" t="s">
        <v>116</v>
      </c>
      <c r="I501" s="8" t="str">
        <f t="shared" si="79"/>
        <v>Rahul Verma</v>
      </c>
      <c r="J501" s="8" t="s">
        <v>93</v>
      </c>
      <c r="K501" s="8" t="str">
        <f t="shared" si="73"/>
        <v>Home Office</v>
      </c>
      <c r="L501" s="8" t="s">
        <v>23</v>
      </c>
      <c r="M501" s="8" t="str">
        <f t="shared" si="74"/>
        <v>North</v>
      </c>
      <c r="N501" s="8" t="s">
        <v>134</v>
      </c>
      <c r="O501" s="8" t="str">
        <f t="shared" si="75"/>
        <v>Uttar Pradesh</v>
      </c>
      <c r="P501" s="8" t="s">
        <v>135</v>
      </c>
      <c r="Q501" s="8" t="str">
        <f t="shared" si="76"/>
        <v>Noida</v>
      </c>
      <c r="R501" s="8" t="s">
        <v>39</v>
      </c>
      <c r="S501" s="8" t="str">
        <f t="shared" si="77"/>
        <v>Furniture</v>
      </c>
      <c r="T501" s="8" t="s">
        <v>64</v>
      </c>
      <c r="U501" s="8" t="str">
        <f t="shared" si="78"/>
        <v>Chairs</v>
      </c>
      <c r="V501" s="8" t="s">
        <v>1622</v>
      </c>
    </row>
    <row r="502" spans="1:22">
      <c r="A502" s="8" t="s">
        <v>1623</v>
      </c>
      <c r="B502" s="8">
        <f t="shared" si="70"/>
        <v>1</v>
      </c>
      <c r="C502" s="8" t="str">
        <f t="shared" si="71"/>
        <v>Unique</v>
      </c>
      <c r="D502" s="9">
        <v>45429</v>
      </c>
      <c r="E502" s="8">
        <f t="shared" si="72"/>
        <v>5</v>
      </c>
      <c r="F502" s="10">
        <v>45434</v>
      </c>
      <c r="G502" s="8" t="s">
        <v>1624</v>
      </c>
      <c r="H502" s="8" t="s">
        <v>130</v>
      </c>
      <c r="I502" s="8" t="str">
        <f t="shared" si="79"/>
        <v>Sneha Kapoor</v>
      </c>
      <c r="J502" s="8" t="s">
        <v>22</v>
      </c>
      <c r="K502" s="8" t="str">
        <f t="shared" si="73"/>
        <v>Consumer</v>
      </c>
      <c r="L502" s="8" t="s">
        <v>52</v>
      </c>
      <c r="M502" s="8" t="str">
        <f t="shared" si="74"/>
        <v>South</v>
      </c>
      <c r="N502" s="8" t="s">
        <v>183</v>
      </c>
      <c r="O502" s="8" t="str">
        <f t="shared" si="75"/>
        <v>Kerala</v>
      </c>
      <c r="P502" s="8" t="s">
        <v>184</v>
      </c>
      <c r="Q502" s="8" t="str">
        <f t="shared" si="76"/>
        <v>Kochi</v>
      </c>
      <c r="R502" s="8" t="s">
        <v>72</v>
      </c>
      <c r="S502" s="8" t="str">
        <f t="shared" si="77"/>
        <v>Technology</v>
      </c>
      <c r="T502" s="8" t="s">
        <v>169</v>
      </c>
      <c r="U502" s="8" t="str">
        <f t="shared" si="78"/>
        <v>Phones</v>
      </c>
      <c r="V502" s="8" t="s">
        <v>1625</v>
      </c>
    </row>
    <row r="503" spans="1:22">
      <c r="A503" s="8" t="s">
        <v>1626</v>
      </c>
      <c r="B503" s="8">
        <f t="shared" si="70"/>
        <v>1</v>
      </c>
      <c r="C503" s="8" t="str">
        <f t="shared" si="71"/>
        <v>Unique</v>
      </c>
      <c r="D503" s="9">
        <v>45604</v>
      </c>
      <c r="E503" s="8">
        <f t="shared" si="72"/>
        <v>-83</v>
      </c>
      <c r="F503" s="10">
        <v>45521</v>
      </c>
      <c r="G503" s="8" t="s">
        <v>820</v>
      </c>
      <c r="H503" s="8" t="s">
        <v>77</v>
      </c>
      <c r="I503" s="8" t="str">
        <f t="shared" si="79"/>
        <v>Neha Gupta</v>
      </c>
      <c r="J503" s="8" t="s">
        <v>22</v>
      </c>
      <c r="K503" s="8" t="str">
        <f t="shared" si="73"/>
        <v>Consumer</v>
      </c>
      <c r="L503" s="8" t="s">
        <v>36</v>
      </c>
      <c r="M503" s="8" t="str">
        <f t="shared" si="74"/>
        <v>East</v>
      </c>
      <c r="N503" s="8" t="s">
        <v>227</v>
      </c>
      <c r="O503" s="8" t="str">
        <f t="shared" si="75"/>
        <v>Jharkhand</v>
      </c>
      <c r="P503" s="8" t="s">
        <v>228</v>
      </c>
      <c r="Q503" s="8" t="str">
        <f t="shared" si="76"/>
        <v>Ranchi</v>
      </c>
      <c r="R503" s="8" t="s">
        <v>26</v>
      </c>
      <c r="S503" s="8" t="str">
        <f t="shared" si="77"/>
        <v>Office Supplies</v>
      </c>
      <c r="T503" s="8" t="s">
        <v>46</v>
      </c>
      <c r="U503" s="8" t="str">
        <f t="shared" si="78"/>
        <v>Art</v>
      </c>
      <c r="V503" s="8" t="s">
        <v>1627</v>
      </c>
    </row>
    <row r="504" spans="1:22">
      <c r="A504" s="8" t="s">
        <v>1628</v>
      </c>
      <c r="B504" s="8">
        <f t="shared" si="70"/>
        <v>2</v>
      </c>
      <c r="C504" s="8" t="str">
        <f t="shared" si="71"/>
        <v>Review Duplicate ID</v>
      </c>
      <c r="D504" s="9">
        <v>45383</v>
      </c>
      <c r="E504" s="8">
        <f t="shared" si="72"/>
        <v>156</v>
      </c>
      <c r="F504" s="10">
        <v>45539</v>
      </c>
      <c r="G504" s="8" t="s">
        <v>1629</v>
      </c>
      <c r="H504" s="8" t="s">
        <v>112</v>
      </c>
      <c r="I504" s="8" t="str">
        <f t="shared" si="79"/>
        <v>Priya Menon</v>
      </c>
      <c r="J504" s="8" t="s">
        <v>35</v>
      </c>
      <c r="K504" s="8" t="str">
        <f t="shared" si="73"/>
        <v>Small Business</v>
      </c>
      <c r="L504" s="8" t="s">
        <v>36</v>
      </c>
      <c r="M504" s="8" t="str">
        <f t="shared" si="74"/>
        <v>East</v>
      </c>
      <c r="N504" s="8" t="s">
        <v>37</v>
      </c>
      <c r="O504" s="8" t="str">
        <f t="shared" si="75"/>
        <v>Odisha</v>
      </c>
      <c r="P504" s="8" t="s">
        <v>38</v>
      </c>
      <c r="Q504" s="8" t="str">
        <f t="shared" si="76"/>
        <v>Bhubaneswar</v>
      </c>
      <c r="R504" s="8" t="s">
        <v>72</v>
      </c>
      <c r="S504" s="8" t="str">
        <f t="shared" si="77"/>
        <v>Technology</v>
      </c>
      <c r="T504" s="8" t="s">
        <v>78</v>
      </c>
      <c r="U504" s="8" t="str">
        <f t="shared" si="78"/>
        <v>Copiers</v>
      </c>
      <c r="V504" s="8" t="s">
        <v>1630</v>
      </c>
    </row>
    <row r="505" spans="1:22">
      <c r="A505" s="8" t="s">
        <v>1631</v>
      </c>
      <c r="B505" s="8">
        <f t="shared" si="70"/>
        <v>1</v>
      </c>
      <c r="C505" s="8" t="str">
        <f t="shared" si="71"/>
        <v>Unique</v>
      </c>
      <c r="D505" s="9">
        <v>45563</v>
      </c>
      <c r="E505" s="8">
        <f t="shared" si="72"/>
        <v>-141</v>
      </c>
      <c r="F505" s="10">
        <v>45422</v>
      </c>
      <c r="G505" s="8" t="s">
        <v>1632</v>
      </c>
      <c r="H505" s="8" t="s">
        <v>126</v>
      </c>
      <c r="I505" s="8" t="str">
        <f t="shared" si="79"/>
        <v>Aarav Sharma</v>
      </c>
      <c r="J505" s="8" t="s">
        <v>22</v>
      </c>
      <c r="K505" s="8" t="str">
        <f t="shared" si="73"/>
        <v>Consumer</v>
      </c>
      <c r="L505" s="8" t="s">
        <v>52</v>
      </c>
      <c r="M505" s="8" t="str">
        <f t="shared" si="74"/>
        <v>South</v>
      </c>
      <c r="N505" s="8" t="s">
        <v>246</v>
      </c>
      <c r="O505" s="8" t="str">
        <f t="shared" si="75"/>
        <v>Tamil Nadu</v>
      </c>
      <c r="P505" s="8" t="s">
        <v>247</v>
      </c>
      <c r="Q505" s="8" t="str">
        <f t="shared" si="76"/>
        <v>Chennai</v>
      </c>
      <c r="R505" s="8" t="s">
        <v>72</v>
      </c>
      <c r="S505" s="8" t="str">
        <f t="shared" si="77"/>
        <v>Technology</v>
      </c>
      <c r="T505" s="8" t="s">
        <v>169</v>
      </c>
      <c r="U505" s="8" t="str">
        <f t="shared" si="78"/>
        <v>Phones</v>
      </c>
      <c r="V505" s="8" t="s">
        <v>1633</v>
      </c>
    </row>
    <row r="506" spans="1:22">
      <c r="A506" s="8" t="s">
        <v>1634</v>
      </c>
      <c r="B506" s="8">
        <f t="shared" si="70"/>
        <v>1</v>
      </c>
      <c r="C506" s="8" t="str">
        <f t="shared" si="71"/>
        <v>Unique</v>
      </c>
      <c r="D506" s="9">
        <v>45993</v>
      </c>
      <c r="E506" s="8">
        <f t="shared" si="72"/>
        <v>-288</v>
      </c>
      <c r="F506" s="10">
        <v>45705</v>
      </c>
      <c r="G506" s="8" t="s">
        <v>1635</v>
      </c>
      <c r="H506" s="8" t="s">
        <v>51</v>
      </c>
      <c r="I506" s="8" t="str">
        <f t="shared" si="79"/>
        <v>Arjun Bose</v>
      </c>
      <c r="J506" s="8" t="s">
        <v>88</v>
      </c>
      <c r="K506" s="8" t="str">
        <f t="shared" si="73"/>
        <v>Corporate</v>
      </c>
      <c r="L506" s="8" t="s">
        <v>61</v>
      </c>
      <c r="M506" s="8" t="str">
        <f t="shared" si="74"/>
        <v>West</v>
      </c>
      <c r="N506" s="8" t="s">
        <v>178</v>
      </c>
      <c r="O506" s="8" t="str">
        <f t="shared" si="75"/>
        <v>Gujarat</v>
      </c>
      <c r="P506" s="8" t="s">
        <v>179</v>
      </c>
      <c r="Q506" s="8" t="str">
        <f t="shared" si="76"/>
        <v>Ahmedabad</v>
      </c>
      <c r="R506" s="8" t="s">
        <v>26</v>
      </c>
      <c r="S506" s="8" t="str">
        <f t="shared" si="77"/>
        <v>Office Supplies</v>
      </c>
      <c r="T506" s="8" t="s">
        <v>46</v>
      </c>
      <c r="U506" s="8" t="str">
        <f t="shared" si="78"/>
        <v>Art</v>
      </c>
      <c r="V506" s="8" t="s">
        <v>1636</v>
      </c>
    </row>
    <row r="507" spans="1:22">
      <c r="A507" s="8" t="s">
        <v>1637</v>
      </c>
      <c r="B507" s="8">
        <f t="shared" si="70"/>
        <v>1</v>
      </c>
      <c r="C507" s="8" t="str">
        <f t="shared" si="71"/>
        <v>Unique</v>
      </c>
      <c r="D507" s="9">
        <v>45546</v>
      </c>
      <c r="E507" s="8">
        <f t="shared" si="72"/>
        <v>64</v>
      </c>
      <c r="F507" s="10">
        <v>45610</v>
      </c>
      <c r="G507" s="8" t="s">
        <v>1638</v>
      </c>
      <c r="H507" s="8" t="s">
        <v>77</v>
      </c>
      <c r="I507" s="8" t="str">
        <f t="shared" si="79"/>
        <v>Neha Gupta</v>
      </c>
      <c r="J507" s="8" t="s">
        <v>88</v>
      </c>
      <c r="K507" s="8" t="str">
        <f t="shared" si="73"/>
        <v>Corporate</v>
      </c>
      <c r="L507" s="8" t="s">
        <v>61</v>
      </c>
      <c r="M507" s="8" t="str">
        <f t="shared" si="74"/>
        <v>West</v>
      </c>
      <c r="N507" s="8" t="s">
        <v>70</v>
      </c>
      <c r="O507" s="8" t="str">
        <f t="shared" si="75"/>
        <v>Madhya Pradesh</v>
      </c>
      <c r="P507" s="8" t="s">
        <v>71</v>
      </c>
      <c r="Q507" s="8" t="str">
        <f t="shared" si="76"/>
        <v>Indore</v>
      </c>
      <c r="R507" s="8" t="s">
        <v>26</v>
      </c>
      <c r="S507" s="8" t="str">
        <f t="shared" si="77"/>
        <v>Office Supplies</v>
      </c>
      <c r="T507" s="8" t="s">
        <v>46</v>
      </c>
      <c r="U507" s="8" t="str">
        <f t="shared" si="78"/>
        <v>Art</v>
      </c>
      <c r="V507" s="8" t="s">
        <v>1639</v>
      </c>
    </row>
    <row r="508" spans="1:22">
      <c r="A508" s="8" t="s">
        <v>1640</v>
      </c>
      <c r="B508" s="8">
        <f t="shared" si="70"/>
        <v>1</v>
      </c>
      <c r="C508" s="8" t="str">
        <f t="shared" si="71"/>
        <v>Unique</v>
      </c>
      <c r="D508" s="9">
        <v>45641</v>
      </c>
      <c r="E508" s="8">
        <f t="shared" si="72"/>
        <v>0</v>
      </c>
      <c r="F508" s="10">
        <v>45641</v>
      </c>
      <c r="G508" s="8" t="s">
        <v>1641</v>
      </c>
      <c r="H508" s="8" t="s">
        <v>126</v>
      </c>
      <c r="I508" s="8" t="str">
        <f t="shared" si="79"/>
        <v>Aarav Sharma</v>
      </c>
      <c r="J508" s="8" t="s">
        <v>35</v>
      </c>
      <c r="K508" s="8" t="str">
        <f t="shared" si="73"/>
        <v>Small Business</v>
      </c>
      <c r="L508" s="8" t="s">
        <v>23</v>
      </c>
      <c r="M508" s="8" t="str">
        <f t="shared" si="74"/>
        <v>North</v>
      </c>
      <c r="N508" s="8" t="s">
        <v>120</v>
      </c>
      <c r="O508" s="8" t="str">
        <f t="shared" si="75"/>
        <v>Punjab</v>
      </c>
      <c r="P508" s="8" t="s">
        <v>121</v>
      </c>
      <c r="Q508" s="8" t="str">
        <f t="shared" si="76"/>
        <v>Ludhiana</v>
      </c>
      <c r="R508" s="8" t="s">
        <v>39</v>
      </c>
      <c r="S508" s="8" t="str">
        <f t="shared" si="77"/>
        <v>Furniture</v>
      </c>
      <c r="T508" s="8" t="s">
        <v>55</v>
      </c>
      <c r="U508" s="8" t="str">
        <f t="shared" si="78"/>
        <v>Furnishings</v>
      </c>
      <c r="V508" s="8" t="s">
        <v>1642</v>
      </c>
    </row>
    <row r="509" spans="1:22">
      <c r="A509" s="8" t="s">
        <v>1643</v>
      </c>
      <c r="B509" s="8">
        <f t="shared" si="70"/>
        <v>1</v>
      </c>
      <c r="C509" s="8" t="str">
        <f t="shared" si="71"/>
        <v>Unique</v>
      </c>
      <c r="D509" s="9">
        <v>45762</v>
      </c>
      <c r="E509" s="8">
        <f t="shared" si="72"/>
        <v>7</v>
      </c>
      <c r="F509" s="10">
        <v>45769</v>
      </c>
      <c r="G509" s="8" t="s">
        <v>1644</v>
      </c>
      <c r="H509" s="8" t="s">
        <v>45</v>
      </c>
      <c r="I509" s="8" t="str">
        <f t="shared" si="79"/>
        <v>Isha Nair</v>
      </c>
      <c r="J509" s="8" t="s">
        <v>35</v>
      </c>
      <c r="K509" s="8" t="str">
        <f t="shared" si="73"/>
        <v>Small Business</v>
      </c>
      <c r="L509" s="8" t="s">
        <v>23</v>
      </c>
      <c r="M509" s="8" t="str">
        <f t="shared" si="74"/>
        <v>North</v>
      </c>
      <c r="N509" s="8" t="s">
        <v>235</v>
      </c>
      <c r="O509" s="8" t="str">
        <f t="shared" si="75"/>
        <v>Haryana</v>
      </c>
      <c r="P509" s="8" t="s">
        <v>236</v>
      </c>
      <c r="Q509" s="8" t="str">
        <f t="shared" si="76"/>
        <v>Gurugram</v>
      </c>
      <c r="R509" s="8" t="s">
        <v>26</v>
      </c>
      <c r="S509" s="8" t="str">
        <f t="shared" si="77"/>
        <v>Office Supplies</v>
      </c>
      <c r="T509" s="8" t="s">
        <v>151</v>
      </c>
      <c r="U509" s="8" t="str">
        <f t="shared" si="78"/>
        <v>Binders</v>
      </c>
      <c r="V509" s="8" t="s">
        <v>1645</v>
      </c>
    </row>
    <row r="510" spans="1:22">
      <c r="A510" s="8" t="s">
        <v>1646</v>
      </c>
      <c r="B510" s="8">
        <f t="shared" si="70"/>
        <v>1</v>
      </c>
      <c r="C510" s="8" t="str">
        <f t="shared" si="71"/>
        <v>Unique</v>
      </c>
      <c r="D510" s="9">
        <v>45382</v>
      </c>
      <c r="E510" s="8">
        <f t="shared" si="72"/>
        <v>95</v>
      </c>
      <c r="F510" s="10">
        <v>45477</v>
      </c>
      <c r="G510" s="8" t="s">
        <v>1647</v>
      </c>
      <c r="H510" s="8" t="s">
        <v>45</v>
      </c>
      <c r="I510" s="8" t="str">
        <f t="shared" si="79"/>
        <v>Isha Nair</v>
      </c>
      <c r="J510" s="8" t="s">
        <v>35</v>
      </c>
      <c r="K510" s="8" t="str">
        <f t="shared" si="73"/>
        <v>Small Business</v>
      </c>
      <c r="L510" s="8" t="s">
        <v>23</v>
      </c>
      <c r="M510" s="8" t="str">
        <f t="shared" si="74"/>
        <v>North</v>
      </c>
      <c r="N510" s="8" t="s">
        <v>235</v>
      </c>
      <c r="O510" s="8" t="str">
        <f t="shared" si="75"/>
        <v>Haryana</v>
      </c>
      <c r="P510" s="8" t="s">
        <v>236</v>
      </c>
      <c r="Q510" s="8" t="str">
        <f t="shared" si="76"/>
        <v>Gurugram</v>
      </c>
      <c r="R510" s="8" t="s">
        <v>72</v>
      </c>
      <c r="S510" s="8" t="str">
        <f t="shared" si="77"/>
        <v>Technology</v>
      </c>
      <c r="T510" s="8" t="s">
        <v>273</v>
      </c>
      <c r="U510" s="8" t="str">
        <f t="shared" si="78"/>
        <v>Machines</v>
      </c>
      <c r="V510" s="8" t="s">
        <v>1648</v>
      </c>
    </row>
    <row r="511" spans="1:22">
      <c r="A511" s="8" t="s">
        <v>1649</v>
      </c>
      <c r="B511" s="8">
        <f t="shared" si="70"/>
        <v>1</v>
      </c>
      <c r="C511" s="8" t="str">
        <f t="shared" si="71"/>
        <v>Unique</v>
      </c>
      <c r="D511" s="9">
        <v>45996</v>
      </c>
      <c r="E511" s="8">
        <f t="shared" si="72"/>
        <v>-205</v>
      </c>
      <c r="F511" s="10">
        <v>45791</v>
      </c>
      <c r="G511" s="8" t="s">
        <v>1650</v>
      </c>
      <c r="H511" s="8" t="s">
        <v>77</v>
      </c>
      <c r="I511" s="8" t="str">
        <f t="shared" si="79"/>
        <v>Neha Gupta</v>
      </c>
      <c r="J511" s="8" t="s">
        <v>22</v>
      </c>
      <c r="K511" s="8" t="str">
        <f t="shared" si="73"/>
        <v>Consumer</v>
      </c>
      <c r="L511" s="8" t="s">
        <v>61</v>
      </c>
      <c r="M511" s="8" t="str">
        <f t="shared" si="74"/>
        <v>West</v>
      </c>
      <c r="N511" s="8" t="s">
        <v>178</v>
      </c>
      <c r="O511" s="8" t="str">
        <f t="shared" si="75"/>
        <v>Gujarat</v>
      </c>
      <c r="P511" s="8" t="s">
        <v>179</v>
      </c>
      <c r="Q511" s="8" t="str">
        <f t="shared" si="76"/>
        <v>Ahmedabad</v>
      </c>
      <c r="R511" s="8" t="s">
        <v>72</v>
      </c>
      <c r="S511" s="8" t="str">
        <f t="shared" si="77"/>
        <v>Technology</v>
      </c>
      <c r="T511" s="8" t="s">
        <v>273</v>
      </c>
      <c r="U511" s="8" t="str">
        <f t="shared" si="78"/>
        <v>Machines</v>
      </c>
      <c r="V511" s="8" t="s">
        <v>1651</v>
      </c>
    </row>
    <row r="512" spans="1:22">
      <c r="A512" s="8" t="s">
        <v>1652</v>
      </c>
      <c r="B512" s="8">
        <f t="shared" si="70"/>
        <v>1</v>
      </c>
      <c r="C512" s="8" t="str">
        <f t="shared" si="71"/>
        <v>Unique</v>
      </c>
      <c r="D512" s="9">
        <v>45583</v>
      </c>
      <c r="E512" s="8">
        <f t="shared" si="72"/>
        <v>3</v>
      </c>
      <c r="F512" s="10">
        <v>45586</v>
      </c>
      <c r="G512" s="8" t="s">
        <v>1653</v>
      </c>
      <c r="H512" s="8" t="s">
        <v>1654</v>
      </c>
      <c r="I512" s="8" t="str">
        <f t="shared" si="79"/>
        <v>Aarav Sharma</v>
      </c>
      <c r="J512" s="8" t="s">
        <v>22</v>
      </c>
      <c r="K512" s="8" t="str">
        <f t="shared" si="73"/>
        <v>Consumer</v>
      </c>
      <c r="L512" s="8" t="s">
        <v>52</v>
      </c>
      <c r="M512" s="8" t="str">
        <f t="shared" si="74"/>
        <v>South</v>
      </c>
      <c r="N512" s="8" t="s">
        <v>173</v>
      </c>
      <c r="O512" s="8" t="str">
        <f t="shared" si="75"/>
        <v>Karnataka</v>
      </c>
      <c r="P512" s="8" t="s">
        <v>174</v>
      </c>
      <c r="Q512" s="8" t="str">
        <f t="shared" si="76"/>
        <v>Bengaluru</v>
      </c>
      <c r="R512" s="8" t="s">
        <v>26</v>
      </c>
      <c r="S512" s="8" t="str">
        <f t="shared" si="77"/>
        <v>Office Supplies</v>
      </c>
      <c r="T512" s="8" t="s">
        <v>122</v>
      </c>
      <c r="U512" s="8" t="str">
        <f t="shared" si="78"/>
        <v>Storage</v>
      </c>
      <c r="V512" s="8" t="s">
        <v>1655</v>
      </c>
    </row>
    <row r="513" spans="1:22">
      <c r="A513" s="8" t="s">
        <v>1656</v>
      </c>
      <c r="B513" s="8">
        <f t="shared" si="70"/>
        <v>1</v>
      </c>
      <c r="C513" s="8" t="str">
        <f t="shared" si="71"/>
        <v>Unique</v>
      </c>
      <c r="D513" s="9">
        <v>45588</v>
      </c>
      <c r="E513" s="8">
        <f t="shared" si="72"/>
        <v>3</v>
      </c>
      <c r="F513" s="10">
        <v>45591</v>
      </c>
      <c r="G513" s="8" t="s">
        <v>1657</v>
      </c>
      <c r="H513" s="8" t="s">
        <v>130</v>
      </c>
      <c r="I513" s="8" t="str">
        <f t="shared" si="79"/>
        <v>Sneha Kapoor</v>
      </c>
      <c r="J513" s="8" t="s">
        <v>22</v>
      </c>
      <c r="K513" s="8" t="str">
        <f t="shared" si="73"/>
        <v>Consumer</v>
      </c>
      <c r="L513" s="8" t="s">
        <v>61</v>
      </c>
      <c r="M513" s="8" t="str">
        <f t="shared" si="74"/>
        <v>West</v>
      </c>
      <c r="N513" s="8" t="s">
        <v>70</v>
      </c>
      <c r="O513" s="8" t="str">
        <f t="shared" si="75"/>
        <v>Madhya Pradesh</v>
      </c>
      <c r="P513" s="8" t="s">
        <v>71</v>
      </c>
      <c r="Q513" s="8" t="str">
        <f t="shared" si="76"/>
        <v>Indore</v>
      </c>
      <c r="R513" s="8" t="s">
        <v>39</v>
      </c>
      <c r="S513" s="8" t="str">
        <f t="shared" si="77"/>
        <v>Furniture</v>
      </c>
      <c r="T513" s="8" t="s">
        <v>156</v>
      </c>
      <c r="U513" s="8" t="str">
        <f t="shared" si="78"/>
        <v>Bookcases</v>
      </c>
      <c r="V513" s="8" t="s">
        <v>1658</v>
      </c>
    </row>
    <row r="514" spans="1:22">
      <c r="A514" s="8" t="s">
        <v>1659</v>
      </c>
      <c r="B514" s="8">
        <f t="shared" si="70"/>
        <v>1</v>
      </c>
      <c r="C514" s="8" t="str">
        <f t="shared" si="71"/>
        <v>Unique</v>
      </c>
      <c r="D514" s="9">
        <v>45718</v>
      </c>
      <c r="E514" s="8">
        <f t="shared" si="72"/>
        <v>1</v>
      </c>
      <c r="F514" s="10">
        <v>45719</v>
      </c>
      <c r="G514" s="8" t="s">
        <v>1264</v>
      </c>
      <c r="H514" s="8" t="s">
        <v>45</v>
      </c>
      <c r="I514" s="8" t="str">
        <f t="shared" si="79"/>
        <v>Isha Nair</v>
      </c>
      <c r="J514" s="8" t="s">
        <v>88</v>
      </c>
      <c r="K514" s="8" t="str">
        <f t="shared" si="73"/>
        <v>Corporate</v>
      </c>
      <c r="L514" s="8" t="s">
        <v>52</v>
      </c>
      <c r="M514" s="8" t="str">
        <f t="shared" si="74"/>
        <v>South</v>
      </c>
      <c r="N514" s="8" t="s">
        <v>183</v>
      </c>
      <c r="O514" s="8" t="str">
        <f t="shared" si="75"/>
        <v>Kerala</v>
      </c>
      <c r="P514" s="8" t="s">
        <v>184</v>
      </c>
      <c r="Q514" s="8" t="str">
        <f t="shared" si="76"/>
        <v>Kochi</v>
      </c>
      <c r="R514" s="8" t="s">
        <v>26</v>
      </c>
      <c r="S514" s="8" t="str">
        <f t="shared" si="77"/>
        <v>Office Supplies</v>
      </c>
      <c r="T514" s="8" t="s">
        <v>89</v>
      </c>
      <c r="U514" s="8" t="str">
        <f t="shared" si="78"/>
        <v>Labels</v>
      </c>
      <c r="V514" s="8" t="s">
        <v>1660</v>
      </c>
    </row>
    <row r="515" spans="1:22">
      <c r="A515" s="8" t="s">
        <v>1661</v>
      </c>
      <c r="B515" s="8">
        <f t="shared" ref="B515:B578" si="80">COUNTIF($A:$A,A515)</f>
        <v>1</v>
      </c>
      <c r="C515" s="8" t="str">
        <f t="shared" ref="C515:C578" si="81">IF(B515&gt;1,"Review Duplicate ID","Unique")</f>
        <v>Unique</v>
      </c>
      <c r="D515" s="9">
        <v>45835</v>
      </c>
      <c r="E515" s="8">
        <f t="shared" ref="E515:E578" si="82">F515-D515</f>
        <v>5</v>
      </c>
      <c r="F515" s="10">
        <v>45840</v>
      </c>
      <c r="G515" s="8" t="s">
        <v>1662</v>
      </c>
      <c r="H515" s="8" t="s">
        <v>126</v>
      </c>
      <c r="I515" s="8" t="str">
        <f t="shared" si="79"/>
        <v>Aarav Sharma</v>
      </c>
      <c r="J515" s="8" t="s">
        <v>88</v>
      </c>
      <c r="K515" s="8" t="str">
        <f t="shared" ref="K515:K578" si="83">PROPER(TRIM(J515))</f>
        <v>Corporate</v>
      </c>
      <c r="L515" s="8" t="s">
        <v>52</v>
      </c>
      <c r="M515" s="8" t="str">
        <f t="shared" ref="M515:M578" si="84">PROPER(TRIM(L515))</f>
        <v>South</v>
      </c>
      <c r="N515" s="8" t="s">
        <v>183</v>
      </c>
      <c r="O515" s="8" t="str">
        <f t="shared" ref="O515:O578" si="85">PROPER(TRIM(N515))</f>
        <v>Kerala</v>
      </c>
      <c r="P515" s="8" t="s">
        <v>184</v>
      </c>
      <c r="Q515" s="8" t="str">
        <f t="shared" ref="Q515:Q578" si="86">PROPER(TRIM(P515))</f>
        <v>Kochi</v>
      </c>
      <c r="R515" s="8" t="s">
        <v>72</v>
      </c>
      <c r="S515" s="8" t="str">
        <f t="shared" ref="S515:S578" si="87">PROPER(TRIM(R515))</f>
        <v>Technology</v>
      </c>
      <c r="T515" s="8" t="s">
        <v>73</v>
      </c>
      <c r="U515" s="8" t="str">
        <f t="shared" ref="U515:U578" si="88">PROPER(TRIM(T515))</f>
        <v>Accessories</v>
      </c>
      <c r="V515" s="8" t="s">
        <v>1663</v>
      </c>
    </row>
    <row r="516" spans="1:22">
      <c r="A516" s="8" t="s">
        <v>1664</v>
      </c>
      <c r="B516" s="8">
        <f t="shared" si="80"/>
        <v>1</v>
      </c>
      <c r="C516" s="8" t="str">
        <f t="shared" si="81"/>
        <v>Unique</v>
      </c>
      <c r="D516" s="9">
        <v>45614</v>
      </c>
      <c r="E516" s="8">
        <f t="shared" si="82"/>
        <v>4</v>
      </c>
      <c r="F516" s="10">
        <v>45618</v>
      </c>
      <c r="G516" s="8" t="s">
        <v>1665</v>
      </c>
      <c r="H516" s="8" t="s">
        <v>21</v>
      </c>
      <c r="I516" s="8" t="str">
        <f t="shared" ref="I516:I579" si="89">PROPER(TRIM(H516))</f>
        <v>Karan Malhotra</v>
      </c>
      <c r="J516" s="8" t="s">
        <v>93</v>
      </c>
      <c r="K516" s="8" t="str">
        <f t="shared" si="83"/>
        <v>Home Office</v>
      </c>
      <c r="L516" s="8" t="s">
        <v>52</v>
      </c>
      <c r="M516" s="8" t="str">
        <f t="shared" si="84"/>
        <v>South</v>
      </c>
      <c r="N516" s="8" t="s">
        <v>183</v>
      </c>
      <c r="O516" s="8" t="str">
        <f t="shared" si="85"/>
        <v>Kerala</v>
      </c>
      <c r="P516" s="8" t="s">
        <v>184</v>
      </c>
      <c r="Q516" s="8" t="str">
        <f t="shared" si="86"/>
        <v>Kochi</v>
      </c>
      <c r="R516" s="8" t="s">
        <v>72</v>
      </c>
      <c r="S516" s="8" t="str">
        <f t="shared" si="87"/>
        <v>Technology</v>
      </c>
      <c r="T516" s="8" t="s">
        <v>73</v>
      </c>
      <c r="U516" s="8" t="str">
        <f t="shared" si="88"/>
        <v>Accessories</v>
      </c>
      <c r="V516" s="8" t="s">
        <v>1666</v>
      </c>
    </row>
    <row r="517" spans="1:22">
      <c r="A517" s="8" t="s">
        <v>1667</v>
      </c>
      <c r="B517" s="8">
        <f t="shared" si="80"/>
        <v>1</v>
      </c>
      <c r="C517" s="8" t="str">
        <f t="shared" si="81"/>
        <v>Unique</v>
      </c>
      <c r="D517" s="9">
        <v>45758</v>
      </c>
      <c r="E517" s="8">
        <f t="shared" si="82"/>
        <v>207</v>
      </c>
      <c r="F517" s="10">
        <v>45965</v>
      </c>
      <c r="G517" s="8" t="s">
        <v>1668</v>
      </c>
      <c r="H517" s="8" t="s">
        <v>116</v>
      </c>
      <c r="I517" s="8" t="str">
        <f t="shared" si="89"/>
        <v>Rahul Verma</v>
      </c>
      <c r="J517" s="8" t="s">
        <v>88</v>
      </c>
      <c r="K517" s="8" t="str">
        <f t="shared" si="83"/>
        <v>Corporate</v>
      </c>
      <c r="L517" s="8" t="s">
        <v>23</v>
      </c>
      <c r="M517" s="8" t="str">
        <f t="shared" si="84"/>
        <v>North</v>
      </c>
      <c r="N517" s="8" t="s">
        <v>349</v>
      </c>
      <c r="O517" s="8" t="str">
        <f t="shared" si="85"/>
        <v>Delhi</v>
      </c>
      <c r="P517" s="8" t="s">
        <v>350</v>
      </c>
      <c r="Q517" s="8" t="str">
        <f t="shared" si="86"/>
        <v>New Delhi</v>
      </c>
      <c r="R517" s="8" t="s">
        <v>26</v>
      </c>
      <c r="S517" s="8" t="str">
        <f t="shared" si="87"/>
        <v>Office Supplies</v>
      </c>
      <c r="T517" s="8" t="s">
        <v>27</v>
      </c>
      <c r="U517" s="8" t="str">
        <f t="shared" si="88"/>
        <v>Paper</v>
      </c>
      <c r="V517" s="8" t="s">
        <v>1669</v>
      </c>
    </row>
    <row r="518" spans="1:22">
      <c r="A518" s="8" t="s">
        <v>1670</v>
      </c>
      <c r="B518" s="8">
        <f t="shared" si="80"/>
        <v>1</v>
      </c>
      <c r="C518" s="8" t="str">
        <f t="shared" si="81"/>
        <v>Unique</v>
      </c>
      <c r="D518" s="9">
        <v>45563</v>
      </c>
      <c r="E518" s="8">
        <f t="shared" si="82"/>
        <v>-171</v>
      </c>
      <c r="F518" s="10">
        <v>45392</v>
      </c>
      <c r="G518" s="8" t="s">
        <v>1671</v>
      </c>
      <c r="H518" s="8" t="s">
        <v>263</v>
      </c>
      <c r="I518" s="8" t="str">
        <f t="shared" si="89"/>
        <v>Kabir Singh</v>
      </c>
      <c r="J518" s="8" t="s">
        <v>93</v>
      </c>
      <c r="K518" s="8" t="str">
        <f t="shared" si="83"/>
        <v>Home Office</v>
      </c>
      <c r="L518" s="8" t="s">
        <v>23</v>
      </c>
      <c r="M518" s="8" t="str">
        <f t="shared" si="84"/>
        <v>North</v>
      </c>
      <c r="N518" s="8" t="s">
        <v>349</v>
      </c>
      <c r="O518" s="8" t="str">
        <f t="shared" si="85"/>
        <v>Delhi</v>
      </c>
      <c r="P518" s="8" t="s">
        <v>350</v>
      </c>
      <c r="Q518" s="8" t="str">
        <f t="shared" si="86"/>
        <v>New Delhi</v>
      </c>
      <c r="R518" s="8" t="s">
        <v>72</v>
      </c>
      <c r="S518" s="8" t="str">
        <f t="shared" si="87"/>
        <v>Technology</v>
      </c>
      <c r="T518" s="8" t="s">
        <v>78</v>
      </c>
      <c r="U518" s="8" t="str">
        <f t="shared" si="88"/>
        <v>Copiers</v>
      </c>
      <c r="V518" s="8" t="s">
        <v>1672</v>
      </c>
    </row>
    <row r="519" spans="1:22">
      <c r="A519" s="8" t="s">
        <v>1673</v>
      </c>
      <c r="B519" s="8">
        <f t="shared" si="80"/>
        <v>1</v>
      </c>
      <c r="C519" s="8" t="str">
        <f t="shared" si="81"/>
        <v>Unique</v>
      </c>
      <c r="D519" s="9">
        <v>45802</v>
      </c>
      <c r="E519" s="8">
        <f t="shared" si="82"/>
        <v>2</v>
      </c>
      <c r="F519" s="10">
        <v>45804</v>
      </c>
      <c r="G519" s="8" t="s">
        <v>1674</v>
      </c>
      <c r="H519" s="8" t="s">
        <v>116</v>
      </c>
      <c r="I519" s="8" t="str">
        <f t="shared" si="89"/>
        <v>Rahul Verma</v>
      </c>
      <c r="J519" s="8" t="s">
        <v>22</v>
      </c>
      <c r="K519" s="8" t="str">
        <f t="shared" si="83"/>
        <v>Consumer</v>
      </c>
      <c r="L519" s="8" t="s">
        <v>36</v>
      </c>
      <c r="M519" s="8" t="str">
        <f t="shared" si="84"/>
        <v>East</v>
      </c>
      <c r="N519" s="8" t="s">
        <v>37</v>
      </c>
      <c r="O519" s="8" t="str">
        <f t="shared" si="85"/>
        <v>Odisha</v>
      </c>
      <c r="P519" s="8" t="s">
        <v>38</v>
      </c>
      <c r="Q519" s="8" t="str">
        <f t="shared" si="86"/>
        <v>Bhubaneswar</v>
      </c>
      <c r="R519" s="8" t="s">
        <v>39</v>
      </c>
      <c r="S519" s="8" t="str">
        <f t="shared" si="87"/>
        <v>Furniture</v>
      </c>
      <c r="T519" s="8" t="s">
        <v>55</v>
      </c>
      <c r="U519" s="8" t="str">
        <f t="shared" si="88"/>
        <v>Furnishings</v>
      </c>
      <c r="V519" s="8" t="s">
        <v>1675</v>
      </c>
    </row>
    <row r="520" spans="1:22">
      <c r="A520" s="8" t="s">
        <v>1676</v>
      </c>
      <c r="B520" s="8">
        <f t="shared" si="80"/>
        <v>1</v>
      </c>
      <c r="C520" s="8" t="str">
        <f t="shared" si="81"/>
        <v>Unique</v>
      </c>
      <c r="D520" s="9">
        <v>45777</v>
      </c>
      <c r="E520" s="8">
        <f t="shared" si="82"/>
        <v>-4</v>
      </c>
      <c r="F520" s="10">
        <v>45773</v>
      </c>
      <c r="G520" s="8" t="s">
        <v>1677</v>
      </c>
      <c r="H520" s="8" t="s">
        <v>160</v>
      </c>
      <c r="I520" s="8" t="str">
        <f t="shared" si="89"/>
        <v>Diya Patel</v>
      </c>
      <c r="J520" s="8" t="s">
        <v>88</v>
      </c>
      <c r="K520" s="8" t="str">
        <f t="shared" si="83"/>
        <v>Corporate</v>
      </c>
      <c r="L520" s="8" t="s">
        <v>36</v>
      </c>
      <c r="M520" s="8" t="str">
        <f t="shared" si="84"/>
        <v>East</v>
      </c>
      <c r="N520" s="8" t="s">
        <v>37</v>
      </c>
      <c r="O520" s="8" t="str">
        <f t="shared" si="85"/>
        <v>Odisha</v>
      </c>
      <c r="P520" s="8" t="s">
        <v>38</v>
      </c>
      <c r="Q520" s="8" t="str">
        <f t="shared" si="86"/>
        <v>Bhubaneswar</v>
      </c>
      <c r="R520" s="8" t="s">
        <v>39</v>
      </c>
      <c r="S520" s="8" t="str">
        <f t="shared" si="87"/>
        <v>Furniture</v>
      </c>
      <c r="T520" s="8" t="s">
        <v>40</v>
      </c>
      <c r="U520" s="8" t="str">
        <f t="shared" si="88"/>
        <v>Tables</v>
      </c>
      <c r="V520" s="8" t="s">
        <v>1678</v>
      </c>
    </row>
    <row r="521" spans="1:22">
      <c r="A521" s="8" t="s">
        <v>1679</v>
      </c>
      <c r="B521" s="8">
        <f t="shared" si="80"/>
        <v>1</v>
      </c>
      <c r="C521" s="8" t="str">
        <f t="shared" si="81"/>
        <v>Unique</v>
      </c>
      <c r="D521" s="9">
        <v>45723</v>
      </c>
      <c r="E521" s="8">
        <f t="shared" si="82"/>
        <v>122</v>
      </c>
      <c r="F521" s="10">
        <v>45845</v>
      </c>
      <c r="G521" s="8" t="s">
        <v>1680</v>
      </c>
      <c r="H521" s="8" t="s">
        <v>112</v>
      </c>
      <c r="I521" s="8" t="str">
        <f t="shared" si="89"/>
        <v>Priya Menon</v>
      </c>
      <c r="J521" s="8" t="s">
        <v>22</v>
      </c>
      <c r="K521" s="8" t="str">
        <f t="shared" si="83"/>
        <v>Consumer</v>
      </c>
      <c r="L521" s="8" t="s">
        <v>23</v>
      </c>
      <c r="M521" s="8" t="str">
        <f t="shared" si="84"/>
        <v>North</v>
      </c>
      <c r="N521" s="8" t="s">
        <v>134</v>
      </c>
      <c r="O521" s="8" t="str">
        <f t="shared" si="85"/>
        <v>Uttar Pradesh</v>
      </c>
      <c r="P521" s="8" t="s">
        <v>135</v>
      </c>
      <c r="Q521" s="8" t="str">
        <f t="shared" si="86"/>
        <v>Noida</v>
      </c>
      <c r="R521" s="8" t="s">
        <v>39</v>
      </c>
      <c r="S521" s="8" t="str">
        <f t="shared" si="87"/>
        <v>Furniture</v>
      </c>
      <c r="T521" s="8" t="s">
        <v>40</v>
      </c>
      <c r="U521" s="8" t="str">
        <f t="shared" si="88"/>
        <v>Tables</v>
      </c>
      <c r="V521" s="8" t="s">
        <v>1681</v>
      </c>
    </row>
    <row r="522" spans="1:22">
      <c r="A522" s="8" t="s">
        <v>1682</v>
      </c>
      <c r="B522" s="8">
        <f t="shared" si="80"/>
        <v>1</v>
      </c>
      <c r="C522" s="8" t="str">
        <f t="shared" si="81"/>
        <v>Unique</v>
      </c>
      <c r="D522" s="9">
        <v>45489</v>
      </c>
      <c r="E522" s="8">
        <f t="shared" si="82"/>
        <v>7</v>
      </c>
      <c r="F522" s="10">
        <v>45496</v>
      </c>
      <c r="G522" s="8" t="s">
        <v>1683</v>
      </c>
      <c r="H522" s="8" t="s">
        <v>126</v>
      </c>
      <c r="I522" s="8" t="str">
        <f t="shared" si="89"/>
        <v>Aarav Sharma</v>
      </c>
      <c r="J522" s="8" t="s">
        <v>93</v>
      </c>
      <c r="K522" s="8" t="str">
        <f t="shared" si="83"/>
        <v>Home Office</v>
      </c>
      <c r="L522" s="8" t="s">
        <v>52</v>
      </c>
      <c r="M522" s="8" t="str">
        <f t="shared" si="84"/>
        <v>South</v>
      </c>
      <c r="N522" s="8" t="s">
        <v>173</v>
      </c>
      <c r="O522" s="8" t="str">
        <f t="shared" si="85"/>
        <v>Karnataka</v>
      </c>
      <c r="P522" s="8" t="s">
        <v>174</v>
      </c>
      <c r="Q522" s="8" t="str">
        <f t="shared" si="86"/>
        <v>Bengaluru</v>
      </c>
      <c r="R522" s="8" t="s">
        <v>72</v>
      </c>
      <c r="S522" s="8" t="str">
        <f t="shared" si="87"/>
        <v>Technology</v>
      </c>
      <c r="T522" s="8" t="s">
        <v>273</v>
      </c>
      <c r="U522" s="8" t="str">
        <f t="shared" si="88"/>
        <v>Machines</v>
      </c>
      <c r="V522" s="8" t="s">
        <v>1684</v>
      </c>
    </row>
    <row r="523" spans="1:22">
      <c r="A523" s="8" t="s">
        <v>1685</v>
      </c>
      <c r="B523" s="8">
        <f t="shared" si="80"/>
        <v>1</v>
      </c>
      <c r="C523" s="8" t="str">
        <f t="shared" si="81"/>
        <v>Unique</v>
      </c>
      <c r="D523" s="9">
        <v>45741</v>
      </c>
      <c r="E523" s="8">
        <f t="shared" si="82"/>
        <v>-80</v>
      </c>
      <c r="F523" s="10">
        <v>45661</v>
      </c>
      <c r="G523" s="8" t="s">
        <v>1686</v>
      </c>
      <c r="H523" s="8" t="s">
        <v>160</v>
      </c>
      <c r="I523" s="8" t="str">
        <f t="shared" si="89"/>
        <v>Diya Patel</v>
      </c>
      <c r="J523" s="8" t="s">
        <v>22</v>
      </c>
      <c r="K523" s="8" t="str">
        <f t="shared" si="83"/>
        <v>Consumer</v>
      </c>
      <c r="L523" s="8" t="s">
        <v>23</v>
      </c>
      <c r="M523" s="8" t="str">
        <f t="shared" si="84"/>
        <v>North</v>
      </c>
      <c r="N523" s="8" t="s">
        <v>120</v>
      </c>
      <c r="O523" s="8" t="str">
        <f t="shared" si="85"/>
        <v>Punjab</v>
      </c>
      <c r="P523" s="8" t="s">
        <v>121</v>
      </c>
      <c r="Q523" s="8" t="str">
        <f t="shared" si="86"/>
        <v>Ludhiana</v>
      </c>
      <c r="R523" s="8" t="s">
        <v>26</v>
      </c>
      <c r="S523" s="8" t="str">
        <f t="shared" si="87"/>
        <v>Office Supplies</v>
      </c>
      <c r="T523" s="8" t="s">
        <v>89</v>
      </c>
      <c r="U523" s="8" t="str">
        <f t="shared" si="88"/>
        <v>Labels</v>
      </c>
      <c r="V523" s="8" t="s">
        <v>1687</v>
      </c>
    </row>
    <row r="524" spans="1:22">
      <c r="A524" s="8" t="s">
        <v>1688</v>
      </c>
      <c r="B524" s="8">
        <f t="shared" si="80"/>
        <v>1</v>
      </c>
      <c r="C524" s="8" t="str">
        <f t="shared" si="81"/>
        <v>Unique</v>
      </c>
      <c r="D524" s="9">
        <v>45716</v>
      </c>
      <c r="E524" s="8">
        <f t="shared" si="82"/>
        <v>156</v>
      </c>
      <c r="F524" s="10">
        <v>45872</v>
      </c>
      <c r="G524" s="8" t="s">
        <v>1689</v>
      </c>
      <c r="H524" s="8" t="s">
        <v>77</v>
      </c>
      <c r="I524" s="8" t="str">
        <f t="shared" si="89"/>
        <v>Neha Gupta</v>
      </c>
      <c r="J524" s="8" t="s">
        <v>35</v>
      </c>
      <c r="K524" s="8" t="str">
        <f t="shared" si="83"/>
        <v>Small Business</v>
      </c>
      <c r="L524" s="8" t="s">
        <v>36</v>
      </c>
      <c r="M524" s="8" t="str">
        <f t="shared" si="84"/>
        <v>East</v>
      </c>
      <c r="N524" s="8" t="s">
        <v>227</v>
      </c>
      <c r="O524" s="8" t="str">
        <f t="shared" si="85"/>
        <v>Jharkhand</v>
      </c>
      <c r="P524" s="8" t="s">
        <v>228</v>
      </c>
      <c r="Q524" s="8" t="str">
        <f t="shared" si="86"/>
        <v>Ranchi</v>
      </c>
      <c r="R524" s="8" t="s">
        <v>72</v>
      </c>
      <c r="S524" s="8" t="str">
        <f t="shared" si="87"/>
        <v>Technology</v>
      </c>
      <c r="T524" s="8" t="s">
        <v>169</v>
      </c>
      <c r="U524" s="8" t="str">
        <f t="shared" si="88"/>
        <v>Phones</v>
      </c>
      <c r="V524" s="8" t="s">
        <v>1690</v>
      </c>
    </row>
    <row r="525" spans="1:22">
      <c r="A525" s="8" t="s">
        <v>1691</v>
      </c>
      <c r="B525" s="8">
        <f t="shared" si="80"/>
        <v>1</v>
      </c>
      <c r="C525" s="8" t="str">
        <f t="shared" si="81"/>
        <v>Unique</v>
      </c>
      <c r="D525" s="9">
        <v>45326</v>
      </c>
      <c r="E525" s="8">
        <f t="shared" si="82"/>
        <v>29</v>
      </c>
      <c r="F525" s="10">
        <v>45355</v>
      </c>
      <c r="G525" s="8" t="s">
        <v>1692</v>
      </c>
      <c r="H525" s="8" t="s">
        <v>263</v>
      </c>
      <c r="I525" s="8" t="str">
        <f t="shared" si="89"/>
        <v>Kabir Singh</v>
      </c>
      <c r="J525" s="8" t="s">
        <v>93</v>
      </c>
      <c r="K525" s="8" t="str">
        <f t="shared" si="83"/>
        <v>Home Office</v>
      </c>
      <c r="L525" s="8" t="s">
        <v>61</v>
      </c>
      <c r="M525" s="8" t="str">
        <f t="shared" si="84"/>
        <v>West</v>
      </c>
      <c r="N525" s="8" t="s">
        <v>188</v>
      </c>
      <c r="O525" s="8" t="str">
        <f t="shared" si="85"/>
        <v>Goa</v>
      </c>
      <c r="P525" s="8" t="s">
        <v>189</v>
      </c>
      <c r="Q525" s="8" t="str">
        <f t="shared" si="86"/>
        <v>Panaji</v>
      </c>
      <c r="R525" s="8" t="s">
        <v>26</v>
      </c>
      <c r="S525" s="8" t="str">
        <f t="shared" si="87"/>
        <v>Office Supplies</v>
      </c>
      <c r="T525" s="8" t="s">
        <v>27</v>
      </c>
      <c r="U525" s="8" t="str">
        <f t="shared" si="88"/>
        <v>Paper</v>
      </c>
      <c r="V525" s="8" t="s">
        <v>1693</v>
      </c>
    </row>
    <row r="526" spans="1:22">
      <c r="A526" s="8" t="s">
        <v>1694</v>
      </c>
      <c r="B526" s="8">
        <f t="shared" si="80"/>
        <v>1</v>
      </c>
      <c r="C526" s="8" t="str">
        <f t="shared" si="81"/>
        <v>Unique</v>
      </c>
      <c r="D526" s="9">
        <v>45626</v>
      </c>
      <c r="E526" s="8">
        <f t="shared" si="82"/>
        <v>-323</v>
      </c>
      <c r="F526" s="10">
        <v>45303</v>
      </c>
      <c r="G526" s="8" t="s">
        <v>1695</v>
      </c>
      <c r="H526" s="8" t="s">
        <v>60</v>
      </c>
      <c r="I526" s="8" t="str">
        <f t="shared" si="89"/>
        <v>Ananya Rao</v>
      </c>
      <c r="J526" s="8" t="s">
        <v>88</v>
      </c>
      <c r="K526" s="8" t="str">
        <f t="shared" si="83"/>
        <v>Corporate</v>
      </c>
      <c r="L526" s="8" t="s">
        <v>61</v>
      </c>
      <c r="M526" s="8" t="str">
        <f t="shared" si="84"/>
        <v>West</v>
      </c>
      <c r="N526" s="8" t="s">
        <v>178</v>
      </c>
      <c r="O526" s="8" t="str">
        <f t="shared" si="85"/>
        <v>Gujarat</v>
      </c>
      <c r="P526" s="8" t="s">
        <v>179</v>
      </c>
      <c r="Q526" s="8" t="str">
        <f t="shared" si="86"/>
        <v>Ahmedabad</v>
      </c>
      <c r="R526" s="8" t="s">
        <v>39</v>
      </c>
      <c r="S526" s="8" t="str">
        <f t="shared" si="87"/>
        <v>Furniture</v>
      </c>
      <c r="T526" s="8" t="s">
        <v>64</v>
      </c>
      <c r="U526" s="8" t="str">
        <f t="shared" si="88"/>
        <v>Chairs</v>
      </c>
      <c r="V526" s="8" t="s">
        <v>1696</v>
      </c>
    </row>
    <row r="527" spans="1:22">
      <c r="A527" s="8" t="s">
        <v>1697</v>
      </c>
      <c r="B527" s="8">
        <f t="shared" si="80"/>
        <v>1</v>
      </c>
      <c r="C527" s="8" t="str">
        <f t="shared" si="81"/>
        <v>Unique</v>
      </c>
      <c r="D527" s="9">
        <v>45582</v>
      </c>
      <c r="E527" s="8">
        <f t="shared" si="82"/>
        <v>0</v>
      </c>
      <c r="F527" s="10">
        <v>45582</v>
      </c>
      <c r="G527" s="8" t="s">
        <v>1698</v>
      </c>
      <c r="H527" s="8" t="s">
        <v>112</v>
      </c>
      <c r="I527" s="8" t="str">
        <f t="shared" si="89"/>
        <v>Priya Menon</v>
      </c>
      <c r="J527" s="8" t="s">
        <v>93</v>
      </c>
      <c r="K527" s="8" t="str">
        <f t="shared" si="83"/>
        <v>Home Office</v>
      </c>
      <c r="L527" s="8" t="s">
        <v>36</v>
      </c>
      <c r="M527" s="8" t="str">
        <f t="shared" si="84"/>
        <v>East</v>
      </c>
      <c r="N527" s="8" t="s">
        <v>97</v>
      </c>
      <c r="O527" s="8" t="str">
        <f t="shared" si="85"/>
        <v>West Bengal</v>
      </c>
      <c r="P527" s="8" t="s">
        <v>98</v>
      </c>
      <c r="Q527" s="8" t="str">
        <f t="shared" si="86"/>
        <v>Kolkata</v>
      </c>
      <c r="R527" s="8" t="s">
        <v>39</v>
      </c>
      <c r="S527" s="8" t="str">
        <f t="shared" si="87"/>
        <v>Furniture</v>
      </c>
      <c r="T527" s="8" t="s">
        <v>64</v>
      </c>
      <c r="U527" s="8" t="str">
        <f t="shared" si="88"/>
        <v>Chairs</v>
      </c>
      <c r="V527" s="8" t="s">
        <v>1699</v>
      </c>
    </row>
    <row r="528" spans="1:22">
      <c r="A528" s="8" t="s">
        <v>1700</v>
      </c>
      <c r="B528" s="8">
        <f t="shared" si="80"/>
        <v>1</v>
      </c>
      <c r="C528" s="8" t="str">
        <f t="shared" si="81"/>
        <v>Unique</v>
      </c>
      <c r="D528" s="9">
        <v>45856</v>
      </c>
      <c r="E528" s="8">
        <f t="shared" si="82"/>
        <v>3</v>
      </c>
      <c r="F528" s="10">
        <v>45859</v>
      </c>
      <c r="G528" s="8" t="s">
        <v>1701</v>
      </c>
      <c r="H528" s="8" t="s">
        <v>112</v>
      </c>
      <c r="I528" s="8" t="str">
        <f t="shared" si="89"/>
        <v>Priya Menon</v>
      </c>
      <c r="J528" s="8" t="s">
        <v>22</v>
      </c>
      <c r="K528" s="8" t="str">
        <f t="shared" si="83"/>
        <v>Consumer</v>
      </c>
      <c r="L528" s="8" t="s">
        <v>36</v>
      </c>
      <c r="M528" s="8" t="str">
        <f t="shared" si="84"/>
        <v>East</v>
      </c>
      <c r="N528" s="8" t="s">
        <v>37</v>
      </c>
      <c r="O528" s="8" t="str">
        <f t="shared" si="85"/>
        <v>Odisha</v>
      </c>
      <c r="P528" s="8" t="s">
        <v>38</v>
      </c>
      <c r="Q528" s="8" t="str">
        <f t="shared" si="86"/>
        <v>Bhubaneswar</v>
      </c>
      <c r="R528" s="8" t="s">
        <v>39</v>
      </c>
      <c r="S528" s="8" t="str">
        <f t="shared" si="87"/>
        <v>Furniture</v>
      </c>
      <c r="T528" s="8" t="s">
        <v>40</v>
      </c>
      <c r="U528" s="8" t="str">
        <f t="shared" si="88"/>
        <v>Tables</v>
      </c>
      <c r="V528" s="8" t="s">
        <v>1702</v>
      </c>
    </row>
    <row r="529" spans="1:22">
      <c r="A529" s="8" t="s">
        <v>1703</v>
      </c>
      <c r="B529" s="8">
        <f t="shared" si="80"/>
        <v>1</v>
      </c>
      <c r="C529" s="8" t="str">
        <f t="shared" si="81"/>
        <v>Unique</v>
      </c>
      <c r="D529" s="9">
        <v>45667</v>
      </c>
      <c r="E529" s="8">
        <f t="shared" si="82"/>
        <v>120</v>
      </c>
      <c r="F529" s="10">
        <v>45787</v>
      </c>
      <c r="G529" s="8" t="s">
        <v>1704</v>
      </c>
      <c r="H529" s="8" t="s">
        <v>87</v>
      </c>
      <c r="I529" s="8" t="str">
        <f t="shared" si="89"/>
        <v>Aditi Sen</v>
      </c>
      <c r="J529" s="8" t="s">
        <v>93</v>
      </c>
      <c r="K529" s="8" t="str">
        <f t="shared" si="83"/>
        <v>Home Office</v>
      </c>
      <c r="L529" s="8" t="s">
        <v>23</v>
      </c>
      <c r="M529" s="8" t="str">
        <f t="shared" si="84"/>
        <v>North</v>
      </c>
      <c r="N529" s="8" t="s">
        <v>235</v>
      </c>
      <c r="O529" s="8" t="str">
        <f t="shared" si="85"/>
        <v>Haryana</v>
      </c>
      <c r="P529" s="8" t="s">
        <v>236</v>
      </c>
      <c r="Q529" s="8" t="str">
        <f t="shared" si="86"/>
        <v>Gurugram</v>
      </c>
      <c r="R529" s="8" t="s">
        <v>26</v>
      </c>
      <c r="S529" s="8" t="str">
        <f t="shared" si="87"/>
        <v>Office Supplies</v>
      </c>
      <c r="T529" s="8" t="s">
        <v>27</v>
      </c>
      <c r="U529" s="8" t="str">
        <f t="shared" si="88"/>
        <v>Paper</v>
      </c>
      <c r="V529" s="8" t="s">
        <v>1705</v>
      </c>
    </row>
    <row r="530" spans="1:22">
      <c r="A530" s="8" t="s">
        <v>1706</v>
      </c>
      <c r="B530" s="8">
        <f t="shared" si="80"/>
        <v>1</v>
      </c>
      <c r="C530" s="8" t="str">
        <f t="shared" si="81"/>
        <v>Unique</v>
      </c>
      <c r="D530" s="9">
        <v>45483</v>
      </c>
      <c r="E530" s="8">
        <f t="shared" si="82"/>
        <v>62</v>
      </c>
      <c r="F530" s="10">
        <v>45545</v>
      </c>
      <c r="G530" s="8" t="s">
        <v>1707</v>
      </c>
      <c r="H530" s="8" t="s">
        <v>160</v>
      </c>
      <c r="I530" s="8" t="str">
        <f t="shared" si="89"/>
        <v>Diya Patel</v>
      </c>
      <c r="J530" s="8" t="s">
        <v>22</v>
      </c>
      <c r="K530" s="8" t="str">
        <f t="shared" si="83"/>
        <v>Consumer</v>
      </c>
      <c r="L530" s="8" t="s">
        <v>52</v>
      </c>
      <c r="M530" s="8" t="str">
        <f t="shared" si="84"/>
        <v>South</v>
      </c>
      <c r="N530" s="8" t="s">
        <v>246</v>
      </c>
      <c r="O530" s="8" t="str">
        <f t="shared" si="85"/>
        <v>Tamil Nadu</v>
      </c>
      <c r="P530" s="8" t="s">
        <v>247</v>
      </c>
      <c r="Q530" s="8" t="str">
        <f t="shared" si="86"/>
        <v>Chennai</v>
      </c>
      <c r="R530" s="8" t="s">
        <v>26</v>
      </c>
      <c r="S530" s="8" t="str">
        <f t="shared" si="87"/>
        <v>Office Supplies</v>
      </c>
      <c r="T530" s="8" t="s">
        <v>151</v>
      </c>
      <c r="U530" s="8" t="str">
        <f t="shared" si="88"/>
        <v>Binders</v>
      </c>
      <c r="V530" s="8" t="s">
        <v>1708</v>
      </c>
    </row>
    <row r="531" spans="1:22">
      <c r="A531" s="8" t="s">
        <v>1709</v>
      </c>
      <c r="B531" s="8">
        <f t="shared" si="80"/>
        <v>1</v>
      </c>
      <c r="C531" s="8" t="str">
        <f t="shared" si="81"/>
        <v>Unique</v>
      </c>
      <c r="D531" s="9">
        <v>45445</v>
      </c>
      <c r="E531" s="8">
        <f t="shared" si="82"/>
        <v>61</v>
      </c>
      <c r="F531" s="10">
        <v>45506</v>
      </c>
      <c r="G531" s="8" t="s">
        <v>738</v>
      </c>
      <c r="H531" s="8" t="s">
        <v>21</v>
      </c>
      <c r="I531" s="8" t="str">
        <f t="shared" si="89"/>
        <v>Karan Malhotra</v>
      </c>
      <c r="J531" s="8" t="s">
        <v>22</v>
      </c>
      <c r="K531" s="8" t="str">
        <f t="shared" si="83"/>
        <v>Consumer</v>
      </c>
      <c r="L531" s="8" t="s">
        <v>36</v>
      </c>
      <c r="M531" s="8" t="str">
        <f t="shared" si="84"/>
        <v>East</v>
      </c>
      <c r="N531" s="8" t="s">
        <v>227</v>
      </c>
      <c r="O531" s="8" t="str">
        <f t="shared" si="85"/>
        <v>Jharkhand</v>
      </c>
      <c r="P531" s="8" t="s">
        <v>228</v>
      </c>
      <c r="Q531" s="8" t="str">
        <f t="shared" si="86"/>
        <v>Ranchi</v>
      </c>
      <c r="R531" s="8" t="s">
        <v>39</v>
      </c>
      <c r="S531" s="8" t="str">
        <f t="shared" si="87"/>
        <v>Furniture</v>
      </c>
      <c r="T531" s="8" t="s">
        <v>156</v>
      </c>
      <c r="U531" s="8" t="str">
        <f t="shared" si="88"/>
        <v>Bookcases</v>
      </c>
      <c r="V531" s="8" t="s">
        <v>1710</v>
      </c>
    </row>
    <row r="532" spans="1:22">
      <c r="A532" s="8" t="s">
        <v>1711</v>
      </c>
      <c r="B532" s="8">
        <f t="shared" si="80"/>
        <v>1</v>
      </c>
      <c r="C532" s="8" t="str">
        <f t="shared" si="81"/>
        <v>Unique</v>
      </c>
      <c r="D532" s="9">
        <v>45807</v>
      </c>
      <c r="E532" s="8">
        <f t="shared" si="82"/>
        <v>-144</v>
      </c>
      <c r="F532" s="10">
        <v>45663</v>
      </c>
      <c r="G532" s="8" t="s">
        <v>1712</v>
      </c>
      <c r="H532" s="8" t="s">
        <v>116</v>
      </c>
      <c r="I532" s="8" t="str">
        <f t="shared" si="89"/>
        <v>Rahul Verma</v>
      </c>
      <c r="J532" s="8" t="s">
        <v>93</v>
      </c>
      <c r="K532" s="8" t="str">
        <f t="shared" si="83"/>
        <v>Home Office</v>
      </c>
      <c r="L532" s="8" t="s">
        <v>52</v>
      </c>
      <c r="M532" s="8" t="str">
        <f t="shared" si="84"/>
        <v>South</v>
      </c>
      <c r="N532" s="8" t="s">
        <v>246</v>
      </c>
      <c r="O532" s="8" t="str">
        <f t="shared" si="85"/>
        <v>Tamil Nadu</v>
      </c>
      <c r="P532" s="8" t="s">
        <v>247</v>
      </c>
      <c r="Q532" s="8" t="str">
        <f t="shared" si="86"/>
        <v>Chennai</v>
      </c>
      <c r="R532" s="8" t="s">
        <v>26</v>
      </c>
      <c r="S532" s="8" t="str">
        <f t="shared" si="87"/>
        <v>Office Supplies</v>
      </c>
      <c r="T532" s="8" t="s">
        <v>151</v>
      </c>
      <c r="U532" s="8" t="str">
        <f t="shared" si="88"/>
        <v>Binders</v>
      </c>
      <c r="V532" s="8" t="s">
        <v>1713</v>
      </c>
    </row>
    <row r="533" spans="1:22">
      <c r="A533" s="8" t="s">
        <v>1714</v>
      </c>
      <c r="B533" s="8">
        <f t="shared" si="80"/>
        <v>1</v>
      </c>
      <c r="C533" s="8" t="str">
        <f t="shared" si="81"/>
        <v>Unique</v>
      </c>
      <c r="D533" s="9">
        <v>45299</v>
      </c>
      <c r="E533" s="8">
        <f t="shared" si="82"/>
        <v>213</v>
      </c>
      <c r="F533" s="10">
        <v>45512</v>
      </c>
      <c r="G533" s="8" t="s">
        <v>1715</v>
      </c>
      <c r="H533" s="8" t="s">
        <v>160</v>
      </c>
      <c r="I533" s="8" t="str">
        <f t="shared" si="89"/>
        <v>Diya Patel</v>
      </c>
      <c r="J533" s="8" t="s">
        <v>35</v>
      </c>
      <c r="K533" s="8" t="str">
        <f t="shared" si="83"/>
        <v>Small Business</v>
      </c>
      <c r="L533" s="8" t="s">
        <v>61</v>
      </c>
      <c r="M533" s="8" t="str">
        <f t="shared" si="84"/>
        <v>West</v>
      </c>
      <c r="N533" s="8" t="s">
        <v>62</v>
      </c>
      <c r="O533" s="8" t="str">
        <f t="shared" si="85"/>
        <v>Maharashtra</v>
      </c>
      <c r="P533" s="8" t="s">
        <v>63</v>
      </c>
      <c r="Q533" s="8" t="str">
        <f t="shared" si="86"/>
        <v>Mumbai</v>
      </c>
      <c r="R533" s="8" t="s">
        <v>26</v>
      </c>
      <c r="S533" s="8" t="str">
        <f t="shared" si="87"/>
        <v>Office Supplies</v>
      </c>
      <c r="T533" s="8" t="s">
        <v>122</v>
      </c>
      <c r="U533" s="8" t="str">
        <f t="shared" si="88"/>
        <v>Storage</v>
      </c>
      <c r="V533" s="8" t="s">
        <v>1716</v>
      </c>
    </row>
    <row r="534" spans="1:22">
      <c r="A534" s="8" t="s">
        <v>1717</v>
      </c>
      <c r="B534" s="8">
        <f t="shared" si="80"/>
        <v>1</v>
      </c>
      <c r="C534" s="8" t="str">
        <f t="shared" si="81"/>
        <v>Unique</v>
      </c>
      <c r="D534" s="9">
        <v>45787</v>
      </c>
      <c r="E534" s="8">
        <f t="shared" si="82"/>
        <v>153</v>
      </c>
      <c r="F534" s="10">
        <v>45940</v>
      </c>
      <c r="G534" s="8" t="s">
        <v>1718</v>
      </c>
      <c r="H534" s="8" t="s">
        <v>112</v>
      </c>
      <c r="I534" s="8" t="str">
        <f t="shared" si="89"/>
        <v>Priya Menon</v>
      </c>
      <c r="J534" s="8" t="s">
        <v>88</v>
      </c>
      <c r="K534" s="8" t="str">
        <f t="shared" si="83"/>
        <v>Corporate</v>
      </c>
      <c r="L534" s="8" t="s">
        <v>36</v>
      </c>
      <c r="M534" s="8" t="str">
        <f t="shared" si="84"/>
        <v>East</v>
      </c>
      <c r="N534" s="8" t="s">
        <v>164</v>
      </c>
      <c r="O534" s="8" t="str">
        <f t="shared" si="85"/>
        <v>Assam</v>
      </c>
      <c r="P534" s="8" t="s">
        <v>165</v>
      </c>
      <c r="Q534" s="8" t="str">
        <f t="shared" si="86"/>
        <v>Guwahati</v>
      </c>
      <c r="R534" s="8" t="s">
        <v>39</v>
      </c>
      <c r="S534" s="8" t="str">
        <f t="shared" si="87"/>
        <v>Furniture</v>
      </c>
      <c r="T534" s="8" t="s">
        <v>40</v>
      </c>
      <c r="U534" s="8" t="str">
        <f t="shared" si="88"/>
        <v>Tables</v>
      </c>
      <c r="V534" s="8" t="s">
        <v>1719</v>
      </c>
    </row>
    <row r="535" spans="1:22">
      <c r="A535" s="8" t="s">
        <v>1720</v>
      </c>
      <c r="B535" s="8">
        <f t="shared" si="80"/>
        <v>1</v>
      </c>
      <c r="C535" s="8" t="str">
        <f t="shared" si="81"/>
        <v>Unique</v>
      </c>
      <c r="D535" s="9">
        <v>45529</v>
      </c>
      <c r="E535" s="8">
        <f t="shared" si="82"/>
        <v>-229</v>
      </c>
      <c r="F535" s="10">
        <v>45300</v>
      </c>
      <c r="G535" s="8" t="s">
        <v>1721</v>
      </c>
      <c r="H535" s="8" t="s">
        <v>45</v>
      </c>
      <c r="I535" s="8" t="str">
        <f t="shared" si="89"/>
        <v>Isha Nair</v>
      </c>
      <c r="J535" s="8" t="s">
        <v>93</v>
      </c>
      <c r="K535" s="8" t="str">
        <f t="shared" si="83"/>
        <v>Home Office</v>
      </c>
      <c r="L535" s="8" t="s">
        <v>23</v>
      </c>
      <c r="M535" s="8" t="str">
        <f t="shared" si="84"/>
        <v>North</v>
      </c>
      <c r="N535" s="8" t="s">
        <v>24</v>
      </c>
      <c r="O535" s="8" t="str">
        <f t="shared" si="85"/>
        <v>Rajasthan</v>
      </c>
      <c r="P535" s="8" t="s">
        <v>25</v>
      </c>
      <c r="Q535" s="8" t="str">
        <f t="shared" si="86"/>
        <v>Jaipur</v>
      </c>
      <c r="R535" s="8" t="s">
        <v>39</v>
      </c>
      <c r="S535" s="8" t="str">
        <f t="shared" si="87"/>
        <v>Furniture</v>
      </c>
      <c r="T535" s="8" t="s">
        <v>40</v>
      </c>
      <c r="U535" s="8" t="str">
        <f t="shared" si="88"/>
        <v>Tables</v>
      </c>
      <c r="V535" s="8" t="s">
        <v>1722</v>
      </c>
    </row>
    <row r="536" spans="1:22">
      <c r="A536" s="8" t="s">
        <v>1723</v>
      </c>
      <c r="B536" s="8">
        <f t="shared" si="80"/>
        <v>1</v>
      </c>
      <c r="C536" s="8" t="str">
        <f t="shared" si="81"/>
        <v>Unique</v>
      </c>
      <c r="D536" s="9">
        <v>45774</v>
      </c>
      <c r="E536" s="8">
        <f t="shared" si="82"/>
        <v>8</v>
      </c>
      <c r="F536" s="10">
        <v>45782</v>
      </c>
      <c r="G536" s="8" t="s">
        <v>1724</v>
      </c>
      <c r="H536" s="8" t="s">
        <v>139</v>
      </c>
      <c r="I536" s="8" t="str">
        <f t="shared" si="89"/>
        <v>Rohan Mehta</v>
      </c>
      <c r="J536" s="8" t="s">
        <v>93</v>
      </c>
      <c r="K536" s="8" t="str">
        <f t="shared" si="83"/>
        <v>Home Office</v>
      </c>
      <c r="L536" s="8" t="s">
        <v>36</v>
      </c>
      <c r="M536" s="8" t="str">
        <f t="shared" si="84"/>
        <v>East</v>
      </c>
      <c r="N536" s="8" t="s">
        <v>143</v>
      </c>
      <c r="O536" s="8" t="str">
        <f t="shared" si="85"/>
        <v>Bihar</v>
      </c>
      <c r="P536" s="8" t="s">
        <v>144</v>
      </c>
      <c r="Q536" s="8" t="str">
        <f t="shared" si="86"/>
        <v>Patna</v>
      </c>
      <c r="R536" s="8" t="s">
        <v>72</v>
      </c>
      <c r="S536" s="8" t="str">
        <f t="shared" si="87"/>
        <v>Technology</v>
      </c>
      <c r="T536" s="8" t="s">
        <v>73</v>
      </c>
      <c r="U536" s="8" t="str">
        <f t="shared" si="88"/>
        <v>Accessories</v>
      </c>
      <c r="V536" s="8" t="s">
        <v>1725</v>
      </c>
    </row>
    <row r="537" spans="1:22">
      <c r="A537" s="8" t="s">
        <v>1726</v>
      </c>
      <c r="B537" s="8">
        <f t="shared" si="80"/>
        <v>1</v>
      </c>
      <c r="C537" s="8" t="str">
        <f t="shared" si="81"/>
        <v>Unique</v>
      </c>
      <c r="D537" s="9">
        <v>45431</v>
      </c>
      <c r="E537" s="8">
        <f t="shared" si="82"/>
        <v>2</v>
      </c>
      <c r="F537" s="10">
        <v>45433</v>
      </c>
      <c r="G537" s="8" t="s">
        <v>1727</v>
      </c>
      <c r="H537" s="8" t="s">
        <v>160</v>
      </c>
      <c r="I537" s="8" t="str">
        <f t="shared" si="89"/>
        <v>Diya Patel</v>
      </c>
      <c r="J537" s="8" t="s">
        <v>35</v>
      </c>
      <c r="K537" s="8" t="str">
        <f t="shared" si="83"/>
        <v>Small Business</v>
      </c>
      <c r="L537" s="8" t="s">
        <v>61</v>
      </c>
      <c r="M537" s="8" t="str">
        <f t="shared" si="84"/>
        <v>West</v>
      </c>
      <c r="N537" s="8" t="s">
        <v>62</v>
      </c>
      <c r="O537" s="8" t="str">
        <f t="shared" si="85"/>
        <v>Maharashtra</v>
      </c>
      <c r="P537" s="8" t="s">
        <v>63</v>
      </c>
      <c r="Q537" s="8" t="str">
        <f t="shared" si="86"/>
        <v>Mumbai</v>
      </c>
      <c r="R537" s="8" t="s">
        <v>72</v>
      </c>
      <c r="S537" s="8" t="str">
        <f t="shared" si="87"/>
        <v>Technology</v>
      </c>
      <c r="T537" s="8" t="s">
        <v>78</v>
      </c>
      <c r="U537" s="8" t="str">
        <f t="shared" si="88"/>
        <v>Copiers</v>
      </c>
      <c r="V537" s="8" t="s">
        <v>1728</v>
      </c>
    </row>
    <row r="538" spans="1:22">
      <c r="A538" s="8" t="s">
        <v>1729</v>
      </c>
      <c r="B538" s="8">
        <f t="shared" si="80"/>
        <v>1</v>
      </c>
      <c r="C538" s="8" t="str">
        <f t="shared" si="81"/>
        <v>Unique</v>
      </c>
      <c r="D538" s="9">
        <v>45934</v>
      </c>
      <c r="E538" s="8">
        <f t="shared" si="82"/>
        <v>-170</v>
      </c>
      <c r="F538" s="10">
        <v>45764</v>
      </c>
      <c r="G538" s="8" t="s">
        <v>1730</v>
      </c>
      <c r="H538" s="8" t="s">
        <v>60</v>
      </c>
      <c r="I538" s="8" t="str">
        <f t="shared" si="89"/>
        <v>Ananya Rao</v>
      </c>
      <c r="J538" s="8" t="s">
        <v>35</v>
      </c>
      <c r="K538" s="8" t="str">
        <f t="shared" si="83"/>
        <v>Small Business</v>
      </c>
      <c r="L538" s="8" t="s">
        <v>61</v>
      </c>
      <c r="M538" s="8" t="str">
        <f t="shared" si="84"/>
        <v>West</v>
      </c>
      <c r="N538" s="8" t="s">
        <v>24</v>
      </c>
      <c r="O538" s="8" t="str">
        <f t="shared" si="85"/>
        <v>Rajasthan</v>
      </c>
      <c r="P538" s="8" t="s">
        <v>107</v>
      </c>
      <c r="Q538" s="8" t="str">
        <f t="shared" si="86"/>
        <v>Udaipur</v>
      </c>
      <c r="R538" s="8" t="s">
        <v>39</v>
      </c>
      <c r="S538" s="8" t="str">
        <f t="shared" si="87"/>
        <v>Furniture</v>
      </c>
      <c r="T538" s="8" t="s">
        <v>64</v>
      </c>
      <c r="U538" s="8" t="str">
        <f t="shared" si="88"/>
        <v>Chairs</v>
      </c>
      <c r="V538" s="8" t="s">
        <v>1731</v>
      </c>
    </row>
    <row r="539" spans="1:22">
      <c r="A539" s="8" t="s">
        <v>1732</v>
      </c>
      <c r="B539" s="8">
        <f t="shared" si="80"/>
        <v>1</v>
      </c>
      <c r="C539" s="8" t="str">
        <f t="shared" si="81"/>
        <v>Unique</v>
      </c>
      <c r="D539" s="9">
        <v>45313</v>
      </c>
      <c r="E539" s="8">
        <f t="shared" si="82"/>
        <v>8</v>
      </c>
      <c r="F539" s="10">
        <v>45321</v>
      </c>
      <c r="G539" s="8" t="s">
        <v>1733</v>
      </c>
      <c r="H539" s="8" t="s">
        <v>60</v>
      </c>
      <c r="I539" s="8" t="str">
        <f t="shared" si="89"/>
        <v>Ananya Rao</v>
      </c>
      <c r="J539" s="8" t="s">
        <v>35</v>
      </c>
      <c r="K539" s="8" t="str">
        <f t="shared" si="83"/>
        <v>Small Business</v>
      </c>
      <c r="L539" s="8" t="s">
        <v>23</v>
      </c>
      <c r="M539" s="8" t="str">
        <f t="shared" si="84"/>
        <v>North</v>
      </c>
      <c r="N539" s="8" t="s">
        <v>235</v>
      </c>
      <c r="O539" s="8" t="str">
        <f t="shared" si="85"/>
        <v>Haryana</v>
      </c>
      <c r="P539" s="8" t="s">
        <v>236</v>
      </c>
      <c r="Q539" s="8" t="str">
        <f t="shared" si="86"/>
        <v>Gurugram</v>
      </c>
      <c r="R539" s="8" t="s">
        <v>26</v>
      </c>
      <c r="S539" s="8" t="str">
        <f t="shared" si="87"/>
        <v>Office Supplies</v>
      </c>
      <c r="T539" s="8" t="s">
        <v>46</v>
      </c>
      <c r="U539" s="8" t="str">
        <f t="shared" si="88"/>
        <v>Art</v>
      </c>
      <c r="V539" s="8" t="s">
        <v>1734</v>
      </c>
    </row>
    <row r="540" spans="1:22">
      <c r="A540" s="8" t="s">
        <v>1735</v>
      </c>
      <c r="B540" s="8">
        <f t="shared" si="80"/>
        <v>1</v>
      </c>
      <c r="C540" s="8" t="str">
        <f t="shared" si="81"/>
        <v>Unique</v>
      </c>
      <c r="D540" s="9">
        <v>45560</v>
      </c>
      <c r="E540" s="8">
        <f t="shared" si="82"/>
        <v>-259</v>
      </c>
      <c r="F540" s="10">
        <v>45301</v>
      </c>
      <c r="G540" s="8" t="s">
        <v>1736</v>
      </c>
      <c r="H540" s="8" t="s">
        <v>160</v>
      </c>
      <c r="I540" s="8" t="str">
        <f t="shared" si="89"/>
        <v>Diya Patel</v>
      </c>
      <c r="J540" s="8" t="s">
        <v>35</v>
      </c>
      <c r="K540" s="8" t="str">
        <f t="shared" si="83"/>
        <v>Small Business</v>
      </c>
      <c r="L540" s="8" t="s">
        <v>36</v>
      </c>
      <c r="M540" s="8" t="str">
        <f t="shared" si="84"/>
        <v>East</v>
      </c>
      <c r="N540" s="8" t="s">
        <v>227</v>
      </c>
      <c r="O540" s="8" t="str">
        <f t="shared" si="85"/>
        <v>Jharkhand</v>
      </c>
      <c r="P540" s="8" t="s">
        <v>228</v>
      </c>
      <c r="Q540" s="8" t="str">
        <f t="shared" si="86"/>
        <v>Ranchi</v>
      </c>
      <c r="R540" s="8" t="s">
        <v>39</v>
      </c>
      <c r="S540" s="8" t="str">
        <f t="shared" si="87"/>
        <v>Furniture</v>
      </c>
      <c r="T540" s="8" t="s">
        <v>40</v>
      </c>
      <c r="U540" s="8" t="str">
        <f t="shared" si="88"/>
        <v>Tables</v>
      </c>
      <c r="V540" s="8" t="s">
        <v>1737</v>
      </c>
    </row>
    <row r="541" spans="1:22">
      <c r="A541" s="8" t="s">
        <v>1738</v>
      </c>
      <c r="B541" s="8">
        <f t="shared" si="80"/>
        <v>1</v>
      </c>
      <c r="C541" s="8" t="str">
        <f t="shared" si="81"/>
        <v>Unique</v>
      </c>
      <c r="D541" s="9">
        <v>45842</v>
      </c>
      <c r="E541" s="8">
        <f t="shared" si="82"/>
        <v>-88</v>
      </c>
      <c r="F541" s="10">
        <v>45754</v>
      </c>
      <c r="G541" s="8" t="s">
        <v>1739</v>
      </c>
      <c r="H541" s="8" t="s">
        <v>2822</v>
      </c>
      <c r="I541" s="8" t="str">
        <f t="shared" si="89"/>
        <v>Mira Das</v>
      </c>
      <c r="J541" s="8" t="s">
        <v>35</v>
      </c>
      <c r="K541" s="8" t="str">
        <f t="shared" si="83"/>
        <v>Small Business</v>
      </c>
      <c r="L541" s="8" t="s">
        <v>52</v>
      </c>
      <c r="M541" s="8" t="str">
        <f t="shared" si="84"/>
        <v>South</v>
      </c>
      <c r="N541" s="8" t="s">
        <v>246</v>
      </c>
      <c r="O541" s="8" t="str">
        <f t="shared" si="85"/>
        <v>Tamil Nadu</v>
      </c>
      <c r="P541" s="8" t="s">
        <v>247</v>
      </c>
      <c r="Q541" s="8" t="str">
        <f t="shared" si="86"/>
        <v>Chennai</v>
      </c>
      <c r="R541" s="8" t="s">
        <v>39</v>
      </c>
      <c r="S541" s="8" t="str">
        <f t="shared" si="87"/>
        <v>Furniture</v>
      </c>
      <c r="T541" s="8" t="s">
        <v>64</v>
      </c>
      <c r="U541" s="8" t="str">
        <f t="shared" si="88"/>
        <v>Chairs</v>
      </c>
      <c r="V541" s="8" t="s">
        <v>1740</v>
      </c>
    </row>
    <row r="542" spans="1:22">
      <c r="A542" s="8" t="s">
        <v>1741</v>
      </c>
      <c r="B542" s="8">
        <f t="shared" si="80"/>
        <v>1</v>
      </c>
      <c r="C542" s="8" t="str">
        <f t="shared" si="81"/>
        <v>Unique</v>
      </c>
      <c r="D542" s="9">
        <v>45348</v>
      </c>
      <c r="E542" s="8">
        <f t="shared" si="82"/>
        <v>-3</v>
      </c>
      <c r="F542" s="10">
        <v>45345</v>
      </c>
      <c r="G542" s="8" t="s">
        <v>1742</v>
      </c>
      <c r="H542" s="8" t="s">
        <v>263</v>
      </c>
      <c r="I542" s="8" t="str">
        <f t="shared" si="89"/>
        <v>Kabir Singh</v>
      </c>
      <c r="J542" s="8" t="s">
        <v>22</v>
      </c>
      <c r="K542" s="8" t="str">
        <f t="shared" si="83"/>
        <v>Consumer</v>
      </c>
      <c r="L542" s="8" t="s">
        <v>61</v>
      </c>
      <c r="M542" s="8" t="str">
        <f t="shared" si="84"/>
        <v>West</v>
      </c>
      <c r="N542" s="8" t="s">
        <v>178</v>
      </c>
      <c r="O542" s="8" t="str">
        <f t="shared" si="85"/>
        <v>Gujarat</v>
      </c>
      <c r="P542" s="8" t="s">
        <v>179</v>
      </c>
      <c r="Q542" s="8" t="str">
        <f t="shared" si="86"/>
        <v>Ahmedabad</v>
      </c>
      <c r="R542" s="8" t="s">
        <v>39</v>
      </c>
      <c r="S542" s="8" t="str">
        <f t="shared" si="87"/>
        <v>Furniture</v>
      </c>
      <c r="T542" s="8" t="s">
        <v>55</v>
      </c>
      <c r="U542" s="8" t="str">
        <f t="shared" si="88"/>
        <v>Furnishings</v>
      </c>
      <c r="V542" s="8" t="s">
        <v>1743</v>
      </c>
    </row>
    <row r="543" spans="1:22">
      <c r="A543" s="8" t="s">
        <v>1744</v>
      </c>
      <c r="B543" s="8">
        <f t="shared" si="80"/>
        <v>1</v>
      </c>
      <c r="C543" s="8" t="str">
        <f t="shared" si="81"/>
        <v>Unique</v>
      </c>
      <c r="D543" s="9">
        <v>45876</v>
      </c>
      <c r="E543" s="8">
        <f t="shared" si="82"/>
        <v>31</v>
      </c>
      <c r="F543" s="10">
        <v>45907</v>
      </c>
      <c r="G543" s="8" t="s">
        <v>1745</v>
      </c>
      <c r="H543" s="8" t="s">
        <v>130</v>
      </c>
      <c r="I543" s="8" t="str">
        <f t="shared" si="89"/>
        <v>Sneha Kapoor</v>
      </c>
      <c r="J543" s="8" t="s">
        <v>22</v>
      </c>
      <c r="K543" s="8" t="str">
        <f t="shared" si="83"/>
        <v>Consumer</v>
      </c>
      <c r="L543" s="8" t="s">
        <v>61</v>
      </c>
      <c r="M543" s="8" t="str">
        <f t="shared" si="84"/>
        <v>West</v>
      </c>
      <c r="N543" s="8" t="s">
        <v>62</v>
      </c>
      <c r="O543" s="8" t="str">
        <f t="shared" si="85"/>
        <v>Maharashtra</v>
      </c>
      <c r="P543" s="8" t="s">
        <v>63</v>
      </c>
      <c r="Q543" s="8" t="str">
        <f t="shared" si="86"/>
        <v>Mumbai</v>
      </c>
      <c r="R543" s="8" t="s">
        <v>72</v>
      </c>
      <c r="S543" s="8" t="str">
        <f t="shared" si="87"/>
        <v>Technology</v>
      </c>
      <c r="T543" s="8" t="s">
        <v>78</v>
      </c>
      <c r="U543" s="8" t="str">
        <f t="shared" si="88"/>
        <v>Copiers</v>
      </c>
      <c r="V543" s="8" t="s">
        <v>1746</v>
      </c>
    </row>
    <row r="544" spans="1:22">
      <c r="A544" s="8" t="s">
        <v>1747</v>
      </c>
      <c r="B544" s="8">
        <f t="shared" si="80"/>
        <v>1</v>
      </c>
      <c r="C544" s="8" t="str">
        <f t="shared" si="81"/>
        <v>Unique</v>
      </c>
      <c r="D544" s="9">
        <v>45552</v>
      </c>
      <c r="E544" s="8">
        <f t="shared" si="82"/>
        <v>6</v>
      </c>
      <c r="F544" s="10">
        <v>45558</v>
      </c>
      <c r="G544" s="8" t="s">
        <v>1748</v>
      </c>
      <c r="H544" s="8" t="s">
        <v>116</v>
      </c>
      <c r="I544" s="8" t="str">
        <f t="shared" si="89"/>
        <v>Rahul Verma</v>
      </c>
      <c r="J544" s="8" t="s">
        <v>93</v>
      </c>
      <c r="K544" s="8" t="str">
        <f t="shared" si="83"/>
        <v>Home Office</v>
      </c>
      <c r="L544" s="8" t="s">
        <v>52</v>
      </c>
      <c r="M544" s="8" t="str">
        <f t="shared" si="84"/>
        <v>South</v>
      </c>
      <c r="N544" s="8" t="s">
        <v>183</v>
      </c>
      <c r="O544" s="8" t="str">
        <f t="shared" si="85"/>
        <v>Kerala</v>
      </c>
      <c r="P544" s="8" t="s">
        <v>184</v>
      </c>
      <c r="Q544" s="8" t="str">
        <f t="shared" si="86"/>
        <v>Kochi</v>
      </c>
      <c r="R544" s="8" t="s">
        <v>39</v>
      </c>
      <c r="S544" s="8" t="str">
        <f t="shared" si="87"/>
        <v>Furniture</v>
      </c>
      <c r="T544" s="8" t="s">
        <v>156</v>
      </c>
      <c r="U544" s="8" t="str">
        <f t="shared" si="88"/>
        <v>Bookcases</v>
      </c>
      <c r="V544" s="8" t="s">
        <v>1749</v>
      </c>
    </row>
    <row r="545" spans="1:22">
      <c r="A545" s="8" t="s">
        <v>1751</v>
      </c>
      <c r="B545" s="8">
        <f t="shared" si="80"/>
        <v>1</v>
      </c>
      <c r="C545" s="8" t="str">
        <f t="shared" si="81"/>
        <v>Unique</v>
      </c>
      <c r="D545" s="9">
        <v>45487</v>
      </c>
      <c r="E545" s="8">
        <f t="shared" si="82"/>
        <v>6</v>
      </c>
      <c r="F545" s="10">
        <v>45493</v>
      </c>
      <c r="G545" s="8" t="s">
        <v>1752</v>
      </c>
      <c r="H545" s="8" t="s">
        <v>34</v>
      </c>
      <c r="I545" s="8" t="str">
        <f t="shared" si="89"/>
        <v>Mira Das</v>
      </c>
      <c r="J545" s="8" t="s">
        <v>22</v>
      </c>
      <c r="K545" s="8" t="str">
        <f t="shared" si="83"/>
        <v>Consumer</v>
      </c>
      <c r="L545" s="8" t="s">
        <v>36</v>
      </c>
      <c r="M545" s="8" t="str">
        <f t="shared" si="84"/>
        <v>East</v>
      </c>
      <c r="N545" s="8" t="s">
        <v>143</v>
      </c>
      <c r="O545" s="8" t="str">
        <f t="shared" si="85"/>
        <v>Bihar</v>
      </c>
      <c r="P545" s="8" t="s">
        <v>144</v>
      </c>
      <c r="Q545" s="8" t="str">
        <f t="shared" si="86"/>
        <v>Patna</v>
      </c>
      <c r="R545" s="8" t="s">
        <v>72</v>
      </c>
      <c r="S545" s="8" t="str">
        <f t="shared" si="87"/>
        <v>Technology</v>
      </c>
      <c r="T545" s="8" t="s">
        <v>78</v>
      </c>
      <c r="U545" s="8" t="str">
        <f t="shared" si="88"/>
        <v>Copiers</v>
      </c>
      <c r="V545" s="8" t="s">
        <v>1753</v>
      </c>
    </row>
    <row r="546" spans="1:22">
      <c r="A546" s="8" t="s">
        <v>1754</v>
      </c>
      <c r="B546" s="8">
        <f t="shared" si="80"/>
        <v>1</v>
      </c>
      <c r="C546" s="8" t="str">
        <f t="shared" si="81"/>
        <v>Unique</v>
      </c>
      <c r="D546" s="9">
        <v>45686</v>
      </c>
      <c r="E546" s="8">
        <f t="shared" si="82"/>
        <v>7</v>
      </c>
      <c r="F546" s="10">
        <v>45693</v>
      </c>
      <c r="G546" s="8" t="s">
        <v>1755</v>
      </c>
      <c r="H546" s="8" t="s">
        <v>60</v>
      </c>
      <c r="I546" s="8" t="str">
        <f t="shared" si="89"/>
        <v>Ananya Rao</v>
      </c>
      <c r="J546" s="8" t="s">
        <v>22</v>
      </c>
      <c r="K546" s="8" t="str">
        <f t="shared" si="83"/>
        <v>Consumer</v>
      </c>
      <c r="L546" s="8" t="s">
        <v>52</v>
      </c>
      <c r="M546" s="8" t="str">
        <f t="shared" si="84"/>
        <v>South</v>
      </c>
      <c r="N546" s="8" t="s">
        <v>183</v>
      </c>
      <c r="O546" s="8" t="str">
        <f t="shared" si="85"/>
        <v>Kerala</v>
      </c>
      <c r="P546" s="8" t="s">
        <v>184</v>
      </c>
      <c r="Q546" s="8" t="str">
        <f t="shared" si="86"/>
        <v>Kochi</v>
      </c>
      <c r="R546" s="8" t="s">
        <v>26</v>
      </c>
      <c r="S546" s="8" t="str">
        <f t="shared" si="87"/>
        <v>Office Supplies</v>
      </c>
      <c r="T546" s="8" t="s">
        <v>46</v>
      </c>
      <c r="U546" s="8" t="str">
        <f t="shared" si="88"/>
        <v>Art</v>
      </c>
      <c r="V546" s="8" t="s">
        <v>1756</v>
      </c>
    </row>
    <row r="547" spans="1:22">
      <c r="A547" s="8" t="s">
        <v>1757</v>
      </c>
      <c r="B547" s="8">
        <f t="shared" si="80"/>
        <v>1</v>
      </c>
      <c r="C547" s="8" t="str">
        <f t="shared" si="81"/>
        <v>Unique</v>
      </c>
      <c r="D547" s="9">
        <v>45439</v>
      </c>
      <c r="E547" s="8">
        <f t="shared" si="82"/>
        <v>3</v>
      </c>
      <c r="F547" s="10">
        <v>45442</v>
      </c>
      <c r="G547" s="8" t="s">
        <v>1758</v>
      </c>
      <c r="H547" s="8" t="s">
        <v>263</v>
      </c>
      <c r="I547" s="8" t="str">
        <f t="shared" si="89"/>
        <v>Kabir Singh</v>
      </c>
      <c r="J547" s="8" t="s">
        <v>35</v>
      </c>
      <c r="K547" s="8" t="str">
        <f t="shared" si="83"/>
        <v>Small Business</v>
      </c>
      <c r="L547" s="8" t="s">
        <v>36</v>
      </c>
      <c r="M547" s="8" t="str">
        <f t="shared" si="84"/>
        <v>East</v>
      </c>
      <c r="N547" s="8" t="s">
        <v>227</v>
      </c>
      <c r="O547" s="8" t="str">
        <f t="shared" si="85"/>
        <v>Jharkhand</v>
      </c>
      <c r="P547" s="8" t="s">
        <v>228</v>
      </c>
      <c r="Q547" s="8" t="str">
        <f t="shared" si="86"/>
        <v>Ranchi</v>
      </c>
      <c r="R547" s="8" t="s">
        <v>26</v>
      </c>
      <c r="S547" s="8" t="str">
        <f t="shared" si="87"/>
        <v>Office Supplies</v>
      </c>
      <c r="T547" s="8" t="s">
        <v>122</v>
      </c>
      <c r="U547" s="8" t="str">
        <f t="shared" si="88"/>
        <v>Storage</v>
      </c>
      <c r="V547" s="8" t="s">
        <v>1759</v>
      </c>
    </row>
    <row r="548" spans="1:22">
      <c r="A548" s="8" t="s">
        <v>1760</v>
      </c>
      <c r="B548" s="8">
        <f t="shared" si="80"/>
        <v>1</v>
      </c>
      <c r="C548" s="8" t="str">
        <f t="shared" si="81"/>
        <v>Unique</v>
      </c>
      <c r="D548" s="9">
        <v>45883</v>
      </c>
      <c r="E548" s="8">
        <f t="shared" si="82"/>
        <v>8</v>
      </c>
      <c r="F548" s="10">
        <v>45891</v>
      </c>
      <c r="G548" s="8" t="s">
        <v>1761</v>
      </c>
      <c r="H548" s="8" t="s">
        <v>51</v>
      </c>
      <c r="I548" s="8" t="str">
        <f t="shared" si="89"/>
        <v>Arjun Bose</v>
      </c>
      <c r="J548" s="8" t="s">
        <v>88</v>
      </c>
      <c r="K548" s="8" t="str">
        <f t="shared" si="83"/>
        <v>Corporate</v>
      </c>
      <c r="L548" s="8" t="s">
        <v>61</v>
      </c>
      <c r="M548" s="8" t="str">
        <f t="shared" si="84"/>
        <v>West</v>
      </c>
      <c r="N548" s="8" t="s">
        <v>178</v>
      </c>
      <c r="O548" s="8" t="str">
        <f t="shared" si="85"/>
        <v>Gujarat</v>
      </c>
      <c r="P548" s="8" t="s">
        <v>179</v>
      </c>
      <c r="Q548" s="8" t="str">
        <f t="shared" si="86"/>
        <v>Ahmedabad</v>
      </c>
      <c r="R548" s="8" t="s">
        <v>1762</v>
      </c>
      <c r="S548" s="8" t="str">
        <f t="shared" si="87"/>
        <v>Office Supplies</v>
      </c>
      <c r="T548" s="8" t="s">
        <v>27</v>
      </c>
      <c r="U548" s="8" t="str">
        <f t="shared" si="88"/>
        <v>Paper</v>
      </c>
      <c r="V548" s="8" t="s">
        <v>1763</v>
      </c>
    </row>
    <row r="549" spans="1:22">
      <c r="A549" s="8" t="s">
        <v>1764</v>
      </c>
      <c r="B549" s="8">
        <f t="shared" si="80"/>
        <v>1</v>
      </c>
      <c r="C549" s="8" t="str">
        <f t="shared" si="81"/>
        <v>Unique</v>
      </c>
      <c r="D549" s="9">
        <v>45428</v>
      </c>
      <c r="E549" s="8">
        <f t="shared" si="82"/>
        <v>7</v>
      </c>
      <c r="F549" s="10">
        <v>45435</v>
      </c>
      <c r="G549" s="8" t="s">
        <v>1765</v>
      </c>
      <c r="H549" s="8" t="s">
        <v>77</v>
      </c>
      <c r="I549" s="8" t="str">
        <f t="shared" si="89"/>
        <v>Neha Gupta</v>
      </c>
      <c r="J549" s="8" t="s">
        <v>35</v>
      </c>
      <c r="K549" s="8" t="str">
        <f t="shared" si="83"/>
        <v>Small Business</v>
      </c>
      <c r="L549" s="8" t="s">
        <v>23</v>
      </c>
      <c r="M549" s="8" t="str">
        <f t="shared" si="84"/>
        <v>North</v>
      </c>
      <c r="N549" s="8" t="s">
        <v>134</v>
      </c>
      <c r="O549" s="8" t="str">
        <f t="shared" si="85"/>
        <v>Uttar Pradesh</v>
      </c>
      <c r="P549" s="8" t="s">
        <v>135</v>
      </c>
      <c r="Q549" s="8" t="str">
        <f t="shared" si="86"/>
        <v>Noida</v>
      </c>
      <c r="R549" s="8" t="s">
        <v>72</v>
      </c>
      <c r="S549" s="8" t="str">
        <f t="shared" si="87"/>
        <v>Technology</v>
      </c>
      <c r="T549" s="8" t="s">
        <v>78</v>
      </c>
      <c r="U549" s="8" t="str">
        <f t="shared" si="88"/>
        <v>Copiers</v>
      </c>
      <c r="V549" s="8" t="s">
        <v>1766</v>
      </c>
    </row>
    <row r="550" spans="1:22">
      <c r="A550" s="8" t="s">
        <v>1767</v>
      </c>
      <c r="B550" s="8">
        <f t="shared" si="80"/>
        <v>1</v>
      </c>
      <c r="C550" s="8" t="str">
        <f t="shared" si="81"/>
        <v>Unique</v>
      </c>
      <c r="D550" s="9">
        <v>45441</v>
      </c>
      <c r="E550" s="8">
        <f t="shared" si="82"/>
        <v>0</v>
      </c>
      <c r="F550" s="10">
        <v>45441</v>
      </c>
      <c r="G550" s="8" t="s">
        <v>1768</v>
      </c>
      <c r="H550" s="8" t="s">
        <v>139</v>
      </c>
      <c r="I550" s="8" t="str">
        <f t="shared" si="89"/>
        <v>Rohan Mehta</v>
      </c>
      <c r="J550" s="8" t="s">
        <v>88</v>
      </c>
      <c r="K550" s="8" t="str">
        <f t="shared" si="83"/>
        <v>Corporate</v>
      </c>
      <c r="L550" s="8" t="s">
        <v>36</v>
      </c>
      <c r="M550" s="8" t="str">
        <f t="shared" si="84"/>
        <v>East</v>
      </c>
      <c r="N550" s="8" t="s">
        <v>143</v>
      </c>
      <c r="O550" s="8" t="str">
        <f t="shared" si="85"/>
        <v>Bihar</v>
      </c>
      <c r="P550" s="8" t="s">
        <v>144</v>
      </c>
      <c r="Q550" s="8" t="str">
        <f t="shared" si="86"/>
        <v>Patna</v>
      </c>
      <c r="R550" s="8" t="s">
        <v>39</v>
      </c>
      <c r="S550" s="8" t="str">
        <f t="shared" si="87"/>
        <v>Furniture</v>
      </c>
      <c r="T550" s="8" t="s">
        <v>156</v>
      </c>
      <c r="U550" s="8" t="str">
        <f t="shared" si="88"/>
        <v>Bookcases</v>
      </c>
      <c r="V550" s="8" t="s">
        <v>1769</v>
      </c>
    </row>
    <row r="551" spans="1:22">
      <c r="A551" s="8" t="s">
        <v>1770</v>
      </c>
      <c r="B551" s="8">
        <f t="shared" si="80"/>
        <v>2</v>
      </c>
      <c r="C551" s="8" t="str">
        <f t="shared" si="81"/>
        <v>Review Duplicate ID</v>
      </c>
      <c r="D551" s="9">
        <v>45941</v>
      </c>
      <c r="E551" s="8">
        <f t="shared" si="82"/>
        <v>2</v>
      </c>
      <c r="F551" s="10">
        <v>45943</v>
      </c>
      <c r="G551" s="8" t="s">
        <v>1771</v>
      </c>
      <c r="H551" s="8" t="s">
        <v>34</v>
      </c>
      <c r="I551" s="8" t="str">
        <f t="shared" si="89"/>
        <v>Mira Das</v>
      </c>
      <c r="J551" s="8" t="s">
        <v>88</v>
      </c>
      <c r="K551" s="8" t="str">
        <f t="shared" si="83"/>
        <v>Corporate</v>
      </c>
      <c r="L551" s="8" t="s">
        <v>52</v>
      </c>
      <c r="M551" s="8" t="str">
        <f t="shared" si="84"/>
        <v>South</v>
      </c>
      <c r="N551" s="8" t="s">
        <v>53</v>
      </c>
      <c r="O551" s="8" t="str">
        <f t="shared" si="85"/>
        <v>Telangana</v>
      </c>
      <c r="P551" s="8" t="s">
        <v>54</v>
      </c>
      <c r="Q551" s="8" t="str">
        <f t="shared" si="86"/>
        <v>Hyderabad</v>
      </c>
      <c r="R551" s="8" t="s">
        <v>26</v>
      </c>
      <c r="S551" s="8" t="str">
        <f t="shared" si="87"/>
        <v>Office Supplies</v>
      </c>
      <c r="T551" s="8" t="s">
        <v>46</v>
      </c>
      <c r="U551" s="8" t="str">
        <f t="shared" si="88"/>
        <v>Art</v>
      </c>
      <c r="V551" s="8" t="s">
        <v>1772</v>
      </c>
    </row>
    <row r="552" spans="1:22">
      <c r="A552" s="8" t="s">
        <v>1773</v>
      </c>
      <c r="B552" s="8">
        <f t="shared" si="80"/>
        <v>1</v>
      </c>
      <c r="C552" s="8" t="str">
        <f t="shared" si="81"/>
        <v>Unique</v>
      </c>
      <c r="D552" s="9">
        <v>45330</v>
      </c>
      <c r="E552" s="8">
        <f t="shared" si="82"/>
        <v>184</v>
      </c>
      <c r="F552" s="10">
        <v>45514</v>
      </c>
      <c r="G552" s="8" t="s">
        <v>1774</v>
      </c>
      <c r="H552" s="8" t="s">
        <v>34</v>
      </c>
      <c r="I552" s="8" t="str">
        <f t="shared" si="89"/>
        <v>Mira Das</v>
      </c>
      <c r="J552" s="8" t="s">
        <v>93</v>
      </c>
      <c r="K552" s="8" t="str">
        <f t="shared" si="83"/>
        <v>Home Office</v>
      </c>
      <c r="L552" s="8" t="s">
        <v>36</v>
      </c>
      <c r="M552" s="8" t="str">
        <f t="shared" si="84"/>
        <v>East</v>
      </c>
      <c r="N552" s="8" t="s">
        <v>37</v>
      </c>
      <c r="O552" s="8" t="str">
        <f t="shared" si="85"/>
        <v>Odisha</v>
      </c>
      <c r="P552" s="8" t="s">
        <v>38</v>
      </c>
      <c r="Q552" s="8" t="str">
        <f t="shared" si="86"/>
        <v>Bhubaneswar</v>
      </c>
      <c r="R552" s="8" t="s">
        <v>72</v>
      </c>
      <c r="S552" s="8" t="str">
        <f t="shared" si="87"/>
        <v>Technology</v>
      </c>
      <c r="T552" s="8" t="s">
        <v>73</v>
      </c>
      <c r="U552" s="8" t="str">
        <f t="shared" si="88"/>
        <v>Accessories</v>
      </c>
      <c r="V552" s="8" t="s">
        <v>1775</v>
      </c>
    </row>
    <row r="553" spans="1:22">
      <c r="A553" s="8" t="s">
        <v>1776</v>
      </c>
      <c r="B553" s="8">
        <f t="shared" si="80"/>
        <v>1</v>
      </c>
      <c r="C553" s="8" t="str">
        <f t="shared" si="81"/>
        <v>Unique</v>
      </c>
      <c r="D553" s="9">
        <v>45349</v>
      </c>
      <c r="E553" s="8">
        <f t="shared" si="82"/>
        <v>0</v>
      </c>
      <c r="F553" s="10">
        <v>45349</v>
      </c>
      <c r="G553" s="8" t="s">
        <v>1777</v>
      </c>
      <c r="H553" s="8" t="s">
        <v>130</v>
      </c>
      <c r="I553" s="8" t="str">
        <f t="shared" si="89"/>
        <v>Sneha Kapoor</v>
      </c>
      <c r="J553" s="8" t="s">
        <v>22</v>
      </c>
      <c r="K553" s="8" t="str">
        <f t="shared" si="83"/>
        <v>Consumer</v>
      </c>
      <c r="L553" s="8" t="s">
        <v>36</v>
      </c>
      <c r="M553" s="8" t="str">
        <f t="shared" si="84"/>
        <v>East</v>
      </c>
      <c r="N553" s="8" t="s">
        <v>227</v>
      </c>
      <c r="O553" s="8" t="str">
        <f t="shared" si="85"/>
        <v>Jharkhand</v>
      </c>
      <c r="P553" s="8" t="s">
        <v>228</v>
      </c>
      <c r="Q553" s="8" t="str">
        <f t="shared" si="86"/>
        <v>Ranchi</v>
      </c>
      <c r="R553" s="8" t="s">
        <v>39</v>
      </c>
      <c r="S553" s="8" t="str">
        <f t="shared" si="87"/>
        <v>Furniture</v>
      </c>
      <c r="T553" s="8" t="s">
        <v>64</v>
      </c>
      <c r="U553" s="8" t="str">
        <f t="shared" si="88"/>
        <v>Chairs</v>
      </c>
      <c r="V553" s="8" t="s">
        <v>1778</v>
      </c>
    </row>
    <row r="554" spans="1:22">
      <c r="A554" s="8" t="s">
        <v>1779</v>
      </c>
      <c r="B554" s="8">
        <f t="shared" si="80"/>
        <v>1</v>
      </c>
      <c r="C554" s="8" t="str">
        <f t="shared" si="81"/>
        <v>Unique</v>
      </c>
      <c r="D554" s="9">
        <v>45681</v>
      </c>
      <c r="E554" s="8">
        <f t="shared" si="82"/>
        <v>6</v>
      </c>
      <c r="F554" s="10">
        <v>45687</v>
      </c>
      <c r="G554" s="8" t="s">
        <v>1780</v>
      </c>
      <c r="H554" s="8" t="s">
        <v>60</v>
      </c>
      <c r="I554" s="8" t="str">
        <f t="shared" si="89"/>
        <v>Ananya Rao</v>
      </c>
      <c r="J554" s="8" t="s">
        <v>88</v>
      </c>
      <c r="K554" s="8" t="str">
        <f t="shared" si="83"/>
        <v>Corporate</v>
      </c>
      <c r="L554" s="8" t="s">
        <v>36</v>
      </c>
      <c r="M554" s="8" t="str">
        <f t="shared" si="84"/>
        <v>East</v>
      </c>
      <c r="N554" s="8" t="s">
        <v>97</v>
      </c>
      <c r="O554" s="8" t="str">
        <f t="shared" si="85"/>
        <v>West Bengal</v>
      </c>
      <c r="P554" s="8" t="s">
        <v>98</v>
      </c>
      <c r="Q554" s="8" t="str">
        <f t="shared" si="86"/>
        <v>Kolkata</v>
      </c>
      <c r="R554" s="8" t="s">
        <v>72</v>
      </c>
      <c r="S554" s="8" t="str">
        <f t="shared" si="87"/>
        <v>Technology</v>
      </c>
      <c r="T554" s="8" t="s">
        <v>78</v>
      </c>
      <c r="U554" s="8" t="str">
        <f t="shared" si="88"/>
        <v>Copiers</v>
      </c>
      <c r="V554" s="8" t="s">
        <v>1781</v>
      </c>
    </row>
    <row r="555" spans="1:22">
      <c r="A555" s="8" t="s">
        <v>1782</v>
      </c>
      <c r="B555" s="8">
        <f t="shared" si="80"/>
        <v>1</v>
      </c>
      <c r="C555" s="8" t="str">
        <f t="shared" si="81"/>
        <v>Unique</v>
      </c>
      <c r="D555" s="9">
        <v>45772</v>
      </c>
      <c r="E555" s="8">
        <f t="shared" si="82"/>
        <v>3</v>
      </c>
      <c r="F555" s="10">
        <v>45775</v>
      </c>
      <c r="G555" s="8" t="s">
        <v>1783</v>
      </c>
      <c r="H555" s="8" t="s">
        <v>126</v>
      </c>
      <c r="I555" s="8" t="str">
        <f t="shared" si="89"/>
        <v>Aarav Sharma</v>
      </c>
      <c r="J555" s="8" t="s">
        <v>35</v>
      </c>
      <c r="K555" s="8" t="str">
        <f t="shared" si="83"/>
        <v>Small Business</v>
      </c>
      <c r="L555" s="8" t="s">
        <v>61</v>
      </c>
      <c r="M555" s="8" t="str">
        <f t="shared" si="84"/>
        <v>West</v>
      </c>
      <c r="N555" s="8" t="s">
        <v>178</v>
      </c>
      <c r="O555" s="8" t="str">
        <f t="shared" si="85"/>
        <v>Gujarat</v>
      </c>
      <c r="P555" s="8" t="s">
        <v>179</v>
      </c>
      <c r="Q555" s="8" t="str">
        <f t="shared" si="86"/>
        <v>Ahmedabad</v>
      </c>
      <c r="R555" s="8" t="s">
        <v>26</v>
      </c>
      <c r="S555" s="8" t="str">
        <f t="shared" si="87"/>
        <v>Office Supplies</v>
      </c>
      <c r="T555" s="8" t="s">
        <v>122</v>
      </c>
      <c r="U555" s="8" t="str">
        <f t="shared" si="88"/>
        <v>Storage</v>
      </c>
      <c r="V555" s="8" t="s">
        <v>1784</v>
      </c>
    </row>
    <row r="556" spans="1:22">
      <c r="A556" s="8" t="s">
        <v>1785</v>
      </c>
      <c r="B556" s="8">
        <f t="shared" si="80"/>
        <v>1</v>
      </c>
      <c r="C556" s="8" t="str">
        <f t="shared" si="81"/>
        <v>Unique</v>
      </c>
      <c r="D556" s="9">
        <v>45636</v>
      </c>
      <c r="E556" s="8">
        <f t="shared" si="82"/>
        <v>-54</v>
      </c>
      <c r="F556" s="10">
        <v>45582</v>
      </c>
      <c r="G556" s="8" t="s">
        <v>1786</v>
      </c>
      <c r="H556" s="8" t="s">
        <v>51</v>
      </c>
      <c r="I556" s="8" t="str">
        <f t="shared" si="89"/>
        <v>Arjun Bose</v>
      </c>
      <c r="J556" s="8" t="s">
        <v>22</v>
      </c>
      <c r="K556" s="8" t="str">
        <f t="shared" si="83"/>
        <v>Consumer</v>
      </c>
      <c r="M556" s="8" t="str">
        <f t="shared" si="84"/>
        <v/>
      </c>
      <c r="N556" s="8" t="s">
        <v>227</v>
      </c>
      <c r="O556" s="8" t="str">
        <f t="shared" si="85"/>
        <v>Jharkhand</v>
      </c>
      <c r="P556" s="8" t="s">
        <v>228</v>
      </c>
      <c r="Q556" s="8" t="str">
        <f t="shared" si="86"/>
        <v>Ranchi</v>
      </c>
      <c r="R556" s="8" t="s">
        <v>39</v>
      </c>
      <c r="S556" s="8" t="str">
        <f t="shared" si="87"/>
        <v>Furniture</v>
      </c>
      <c r="T556" s="8" t="s">
        <v>55</v>
      </c>
      <c r="U556" s="8" t="str">
        <f t="shared" si="88"/>
        <v>Furnishings</v>
      </c>
      <c r="V556" s="8" t="s">
        <v>1787</v>
      </c>
    </row>
    <row r="557" spans="1:22">
      <c r="A557" s="8" t="s">
        <v>1788</v>
      </c>
      <c r="B557" s="8">
        <f t="shared" si="80"/>
        <v>1</v>
      </c>
      <c r="C557" s="8" t="str">
        <f t="shared" si="81"/>
        <v>Unique</v>
      </c>
      <c r="D557" s="9">
        <v>45749</v>
      </c>
      <c r="E557" s="8">
        <f t="shared" si="82"/>
        <v>183</v>
      </c>
      <c r="F557" s="10">
        <v>45932</v>
      </c>
      <c r="G557" s="8" t="s">
        <v>1789</v>
      </c>
      <c r="H557" s="8" t="s">
        <v>60</v>
      </c>
      <c r="I557" s="8" t="str">
        <f t="shared" si="89"/>
        <v>Ananya Rao</v>
      </c>
      <c r="J557" s="8" t="s">
        <v>35</v>
      </c>
      <c r="K557" s="8" t="str">
        <f t="shared" si="83"/>
        <v>Small Business</v>
      </c>
      <c r="L557" s="8" t="s">
        <v>52</v>
      </c>
      <c r="M557" s="8" t="str">
        <f t="shared" si="84"/>
        <v>South</v>
      </c>
      <c r="N557" s="8" t="s">
        <v>53</v>
      </c>
      <c r="O557" s="8" t="str">
        <f t="shared" si="85"/>
        <v>Telangana</v>
      </c>
      <c r="P557" s="8" t="s">
        <v>54</v>
      </c>
      <c r="Q557" s="8" t="str">
        <f t="shared" si="86"/>
        <v>Hyderabad</v>
      </c>
      <c r="R557" s="8" t="s">
        <v>26</v>
      </c>
      <c r="S557" s="8" t="str">
        <f t="shared" si="87"/>
        <v>Office Supplies</v>
      </c>
      <c r="T557" s="8" t="s">
        <v>122</v>
      </c>
      <c r="U557" s="8" t="str">
        <f t="shared" si="88"/>
        <v>Storage</v>
      </c>
      <c r="V557" s="8" t="s">
        <v>1790</v>
      </c>
    </row>
    <row r="558" spans="1:22">
      <c r="A558" s="8" t="s">
        <v>1791</v>
      </c>
      <c r="B558" s="8">
        <f t="shared" si="80"/>
        <v>1</v>
      </c>
      <c r="C558" s="8" t="str">
        <f t="shared" si="81"/>
        <v>Unique</v>
      </c>
      <c r="D558" s="9">
        <v>45466</v>
      </c>
      <c r="E558" s="8">
        <f t="shared" si="82"/>
        <v>6</v>
      </c>
      <c r="F558" s="10">
        <v>45472</v>
      </c>
      <c r="G558" s="8" t="s">
        <v>1792</v>
      </c>
      <c r="H558" s="8" t="s">
        <v>77</v>
      </c>
      <c r="I558" s="8" t="str">
        <f t="shared" si="89"/>
        <v>Neha Gupta</v>
      </c>
      <c r="J558" s="8" t="s">
        <v>22</v>
      </c>
      <c r="K558" s="8" t="str">
        <f t="shared" si="83"/>
        <v>Consumer</v>
      </c>
      <c r="L558" s="8" t="s">
        <v>23</v>
      </c>
      <c r="M558" s="8" t="str">
        <f t="shared" si="84"/>
        <v>North</v>
      </c>
      <c r="N558" s="8" t="s">
        <v>235</v>
      </c>
      <c r="O558" s="8" t="str">
        <f t="shared" si="85"/>
        <v>Haryana</v>
      </c>
      <c r="P558" s="8" t="s">
        <v>236</v>
      </c>
      <c r="Q558" s="8" t="str">
        <f t="shared" si="86"/>
        <v>Gurugram</v>
      </c>
      <c r="R558" s="8" t="s">
        <v>39</v>
      </c>
      <c r="S558" s="8" t="str">
        <f t="shared" si="87"/>
        <v>Furniture</v>
      </c>
      <c r="T558" s="8" t="s">
        <v>40</v>
      </c>
      <c r="U558" s="8" t="str">
        <f t="shared" si="88"/>
        <v>Tables</v>
      </c>
      <c r="V558" s="8" t="s">
        <v>1793</v>
      </c>
    </row>
    <row r="559" spans="1:22">
      <c r="A559" s="8" t="s">
        <v>1794</v>
      </c>
      <c r="B559" s="8">
        <f t="shared" si="80"/>
        <v>1</v>
      </c>
      <c r="C559" s="8" t="str">
        <f t="shared" si="81"/>
        <v>Unique</v>
      </c>
      <c r="D559" s="9">
        <v>45509</v>
      </c>
      <c r="E559" s="8">
        <f t="shared" si="82"/>
        <v>-83</v>
      </c>
      <c r="F559" s="10">
        <v>45426</v>
      </c>
      <c r="G559" s="8" t="s">
        <v>1795</v>
      </c>
      <c r="H559" s="8" t="s">
        <v>69</v>
      </c>
      <c r="I559" s="8" t="str">
        <f t="shared" si="89"/>
        <v>Vikram Iyer</v>
      </c>
      <c r="J559" s="8" t="s">
        <v>93</v>
      </c>
      <c r="K559" s="8" t="str">
        <f t="shared" si="83"/>
        <v>Home Office</v>
      </c>
      <c r="L559" s="8" t="s">
        <v>23</v>
      </c>
      <c r="M559" s="8" t="str">
        <f t="shared" si="84"/>
        <v>North</v>
      </c>
      <c r="N559" s="8" t="s">
        <v>235</v>
      </c>
      <c r="O559" s="8" t="str">
        <f t="shared" si="85"/>
        <v>Haryana</v>
      </c>
      <c r="P559" s="8" t="s">
        <v>236</v>
      </c>
      <c r="Q559" s="8" t="str">
        <f t="shared" si="86"/>
        <v>Gurugram</v>
      </c>
      <c r="R559" s="8" t="s">
        <v>72</v>
      </c>
      <c r="S559" s="8" t="str">
        <f t="shared" si="87"/>
        <v>Technology</v>
      </c>
      <c r="T559" s="8" t="s">
        <v>169</v>
      </c>
      <c r="U559" s="8" t="str">
        <f t="shared" si="88"/>
        <v>Phones</v>
      </c>
      <c r="V559" s="8" t="s">
        <v>1796</v>
      </c>
    </row>
    <row r="560" spans="1:22">
      <c r="A560" s="8" t="s">
        <v>1797</v>
      </c>
      <c r="B560" s="8">
        <f t="shared" si="80"/>
        <v>1</v>
      </c>
      <c r="C560" s="8" t="str">
        <f t="shared" si="81"/>
        <v>Unique</v>
      </c>
      <c r="D560" s="9">
        <v>45756</v>
      </c>
      <c r="E560" s="8">
        <f t="shared" si="82"/>
        <v>148</v>
      </c>
      <c r="F560" s="10">
        <v>45904</v>
      </c>
      <c r="G560" s="8" t="s">
        <v>1798</v>
      </c>
      <c r="H560" s="8" t="s">
        <v>87</v>
      </c>
      <c r="I560" s="8" t="str">
        <f t="shared" si="89"/>
        <v>Aditi Sen</v>
      </c>
      <c r="J560" s="8" t="s">
        <v>88</v>
      </c>
      <c r="K560" s="8" t="str">
        <f t="shared" si="83"/>
        <v>Corporate</v>
      </c>
      <c r="L560" s="8" t="s">
        <v>23</v>
      </c>
      <c r="M560" s="8" t="str">
        <f t="shared" si="84"/>
        <v>North</v>
      </c>
      <c r="N560" s="8" t="s">
        <v>120</v>
      </c>
      <c r="O560" s="8" t="str">
        <f t="shared" si="85"/>
        <v>Punjab</v>
      </c>
      <c r="P560" s="8" t="s">
        <v>121</v>
      </c>
      <c r="Q560" s="8" t="str">
        <f t="shared" si="86"/>
        <v>Ludhiana</v>
      </c>
      <c r="R560" s="8" t="s">
        <v>72</v>
      </c>
      <c r="S560" s="8" t="str">
        <f t="shared" si="87"/>
        <v>Technology</v>
      </c>
      <c r="T560" s="8" t="s">
        <v>273</v>
      </c>
      <c r="U560" s="8" t="str">
        <f t="shared" si="88"/>
        <v>Machines</v>
      </c>
      <c r="V560" s="8" t="s">
        <v>1799</v>
      </c>
    </row>
    <row r="561" spans="1:22">
      <c r="A561" s="8" t="s">
        <v>1800</v>
      </c>
      <c r="B561" s="8">
        <f t="shared" si="80"/>
        <v>1</v>
      </c>
      <c r="C561" s="8" t="str">
        <f t="shared" si="81"/>
        <v>Unique</v>
      </c>
      <c r="D561" s="9">
        <v>45930</v>
      </c>
      <c r="E561" s="8">
        <f t="shared" si="82"/>
        <v>-82</v>
      </c>
      <c r="F561" s="10">
        <v>45848</v>
      </c>
      <c r="G561" s="8" t="s">
        <v>1801</v>
      </c>
      <c r="H561" s="8" t="s">
        <v>160</v>
      </c>
      <c r="I561" s="8" t="str">
        <f t="shared" si="89"/>
        <v>Diya Patel</v>
      </c>
      <c r="J561" s="8" t="s">
        <v>88</v>
      </c>
      <c r="K561" s="8" t="str">
        <f t="shared" si="83"/>
        <v>Corporate</v>
      </c>
      <c r="L561" s="8" t="s">
        <v>36</v>
      </c>
      <c r="M561" s="8" t="str">
        <f t="shared" si="84"/>
        <v>East</v>
      </c>
      <c r="N561" s="8" t="s">
        <v>143</v>
      </c>
      <c r="O561" s="8" t="str">
        <f t="shared" si="85"/>
        <v>Bihar</v>
      </c>
      <c r="P561" s="8" t="s">
        <v>144</v>
      </c>
      <c r="Q561" s="8" t="str">
        <f t="shared" si="86"/>
        <v>Patna</v>
      </c>
      <c r="R561" s="8" t="s">
        <v>72</v>
      </c>
      <c r="S561" s="8" t="str">
        <f t="shared" si="87"/>
        <v>Technology</v>
      </c>
      <c r="T561" s="8" t="s">
        <v>78</v>
      </c>
      <c r="U561" s="8" t="str">
        <f t="shared" si="88"/>
        <v>Copiers</v>
      </c>
      <c r="V561" s="8" t="s">
        <v>1802</v>
      </c>
    </row>
    <row r="562" spans="1:22">
      <c r="A562" s="8" t="s">
        <v>1803</v>
      </c>
      <c r="B562" s="8">
        <f t="shared" si="80"/>
        <v>1</v>
      </c>
      <c r="C562" s="8" t="str">
        <f t="shared" si="81"/>
        <v>Unique</v>
      </c>
      <c r="D562" s="9">
        <v>45307</v>
      </c>
      <c r="E562" s="8">
        <f t="shared" si="82"/>
        <v>6</v>
      </c>
      <c r="F562" s="10">
        <v>45313</v>
      </c>
      <c r="G562" s="8" t="s">
        <v>1804</v>
      </c>
      <c r="H562" s="8" t="s">
        <v>51</v>
      </c>
      <c r="I562" s="8" t="str">
        <f t="shared" si="89"/>
        <v>Arjun Bose</v>
      </c>
      <c r="J562" s="8" t="s">
        <v>22</v>
      </c>
      <c r="K562" s="8" t="str">
        <f t="shared" si="83"/>
        <v>Consumer</v>
      </c>
      <c r="L562" s="8" t="s">
        <v>61</v>
      </c>
      <c r="M562" s="8" t="str">
        <f t="shared" si="84"/>
        <v>West</v>
      </c>
      <c r="N562" s="8" t="s">
        <v>188</v>
      </c>
      <c r="O562" s="8" t="str">
        <f t="shared" si="85"/>
        <v>Goa</v>
      </c>
      <c r="P562" s="8" t="s">
        <v>189</v>
      </c>
      <c r="Q562" s="8" t="str">
        <f t="shared" si="86"/>
        <v>Panaji</v>
      </c>
      <c r="R562" s="8" t="s">
        <v>26</v>
      </c>
      <c r="S562" s="8" t="str">
        <f t="shared" si="87"/>
        <v>Office Supplies</v>
      </c>
      <c r="T562" s="8" t="s">
        <v>122</v>
      </c>
      <c r="U562" s="8" t="str">
        <f t="shared" si="88"/>
        <v>Storage</v>
      </c>
      <c r="V562" s="8" t="s">
        <v>1805</v>
      </c>
    </row>
    <row r="563" spans="1:22">
      <c r="A563" s="8" t="s">
        <v>1806</v>
      </c>
      <c r="B563" s="8">
        <f t="shared" si="80"/>
        <v>1</v>
      </c>
      <c r="C563" s="8" t="str">
        <f t="shared" si="81"/>
        <v>Unique</v>
      </c>
      <c r="D563" s="9">
        <v>45852</v>
      </c>
      <c r="E563" s="8">
        <f t="shared" si="82"/>
        <v>4</v>
      </c>
      <c r="F563" s="10">
        <v>45856</v>
      </c>
      <c r="G563" s="8" t="s">
        <v>1807</v>
      </c>
      <c r="H563" s="8" t="s">
        <v>87</v>
      </c>
      <c r="I563" s="8" t="str">
        <f t="shared" si="89"/>
        <v>Aditi Sen</v>
      </c>
      <c r="J563" s="8" t="s">
        <v>22</v>
      </c>
      <c r="K563" s="8" t="str">
        <f t="shared" si="83"/>
        <v>Consumer</v>
      </c>
      <c r="L563" s="8" t="s">
        <v>23</v>
      </c>
      <c r="M563" s="8" t="str">
        <f t="shared" si="84"/>
        <v>North</v>
      </c>
      <c r="N563" s="8" t="s">
        <v>120</v>
      </c>
      <c r="O563" s="8" t="str">
        <f t="shared" si="85"/>
        <v>Punjab</v>
      </c>
      <c r="P563" s="8" t="s">
        <v>121</v>
      </c>
      <c r="Q563" s="8" t="str">
        <f t="shared" si="86"/>
        <v>Ludhiana</v>
      </c>
      <c r="R563" s="8" t="s">
        <v>72</v>
      </c>
      <c r="S563" s="8" t="str">
        <f t="shared" si="87"/>
        <v>Technology</v>
      </c>
      <c r="T563" s="8" t="s">
        <v>78</v>
      </c>
      <c r="U563" s="8" t="str">
        <f t="shared" si="88"/>
        <v>Copiers</v>
      </c>
      <c r="V563" s="8" t="s">
        <v>1808</v>
      </c>
    </row>
    <row r="564" spans="1:22">
      <c r="A564" s="8" t="s">
        <v>1809</v>
      </c>
      <c r="B564" s="8">
        <f t="shared" si="80"/>
        <v>1</v>
      </c>
      <c r="C564" s="8" t="str">
        <f t="shared" si="81"/>
        <v>Unique</v>
      </c>
      <c r="D564" s="9">
        <v>45570</v>
      </c>
      <c r="E564" s="8">
        <f t="shared" si="82"/>
        <v>-142</v>
      </c>
      <c r="F564" s="10">
        <v>45428</v>
      </c>
      <c r="G564" s="8" t="s">
        <v>1810</v>
      </c>
      <c r="H564" s="8" t="s">
        <v>21</v>
      </c>
      <c r="I564" s="8" t="str">
        <f t="shared" si="89"/>
        <v>Karan Malhotra</v>
      </c>
      <c r="J564" s="8" t="s">
        <v>22</v>
      </c>
      <c r="K564" s="8" t="str">
        <f t="shared" si="83"/>
        <v>Consumer</v>
      </c>
      <c r="L564" s="8" t="s">
        <v>23</v>
      </c>
      <c r="M564" s="8" t="str">
        <f t="shared" si="84"/>
        <v>North</v>
      </c>
      <c r="N564" s="8" t="s">
        <v>120</v>
      </c>
      <c r="O564" s="8" t="str">
        <f t="shared" si="85"/>
        <v>Punjab</v>
      </c>
      <c r="P564" s="8" t="s">
        <v>121</v>
      </c>
      <c r="Q564" s="8" t="str">
        <f t="shared" si="86"/>
        <v>Ludhiana</v>
      </c>
      <c r="R564" s="8" t="s">
        <v>26</v>
      </c>
      <c r="S564" s="8" t="str">
        <f t="shared" si="87"/>
        <v>Office Supplies</v>
      </c>
      <c r="T564" s="8" t="s">
        <v>151</v>
      </c>
      <c r="U564" s="8" t="str">
        <f t="shared" si="88"/>
        <v>Binders</v>
      </c>
      <c r="V564" s="8" t="s">
        <v>1811</v>
      </c>
    </row>
    <row r="565" spans="1:22">
      <c r="A565" s="8" t="s">
        <v>1812</v>
      </c>
      <c r="B565" s="8">
        <f t="shared" si="80"/>
        <v>1</v>
      </c>
      <c r="C565" s="8" t="str">
        <f t="shared" si="81"/>
        <v>Unique</v>
      </c>
      <c r="D565" s="9">
        <v>45418</v>
      </c>
      <c r="E565" s="8">
        <f t="shared" si="82"/>
        <v>213</v>
      </c>
      <c r="F565" s="10">
        <v>45631</v>
      </c>
      <c r="G565" s="8" t="s">
        <v>1813</v>
      </c>
      <c r="H565" s="8" t="s">
        <v>51</v>
      </c>
      <c r="I565" s="8" t="str">
        <f t="shared" si="89"/>
        <v>Arjun Bose</v>
      </c>
      <c r="J565" s="8" t="s">
        <v>88</v>
      </c>
      <c r="K565" s="8" t="str">
        <f t="shared" si="83"/>
        <v>Corporate</v>
      </c>
      <c r="L565" s="8" t="s">
        <v>61</v>
      </c>
      <c r="M565" s="8" t="str">
        <f t="shared" si="84"/>
        <v>West</v>
      </c>
      <c r="N565" s="8" t="s">
        <v>188</v>
      </c>
      <c r="O565" s="8" t="str">
        <f t="shared" si="85"/>
        <v>Goa</v>
      </c>
      <c r="P565" s="8" t="s">
        <v>189</v>
      </c>
      <c r="Q565" s="8" t="str">
        <f t="shared" si="86"/>
        <v>Panaji</v>
      </c>
      <c r="R565" s="8" t="s">
        <v>39</v>
      </c>
      <c r="S565" s="8" t="str">
        <f t="shared" si="87"/>
        <v>Furniture</v>
      </c>
      <c r="T565" s="8" t="s">
        <v>40</v>
      </c>
      <c r="U565" s="8" t="str">
        <f t="shared" si="88"/>
        <v>Tables</v>
      </c>
      <c r="V565" s="8" t="s">
        <v>1814</v>
      </c>
    </row>
    <row r="566" spans="1:22">
      <c r="A566" s="8" t="s">
        <v>1815</v>
      </c>
      <c r="B566" s="8">
        <f t="shared" si="80"/>
        <v>1</v>
      </c>
      <c r="C566" s="8" t="str">
        <f t="shared" si="81"/>
        <v>Unique</v>
      </c>
      <c r="D566" s="9">
        <v>45606</v>
      </c>
      <c r="E566" s="8">
        <f t="shared" si="82"/>
        <v>4</v>
      </c>
      <c r="F566" s="10">
        <v>45610</v>
      </c>
      <c r="G566" s="8" t="s">
        <v>1816</v>
      </c>
      <c r="H566" s="8" t="s">
        <v>130</v>
      </c>
      <c r="I566" s="8" t="str">
        <f t="shared" si="89"/>
        <v>Sneha Kapoor</v>
      </c>
      <c r="J566" s="8" t="s">
        <v>88</v>
      </c>
      <c r="K566" s="8" t="str">
        <f t="shared" si="83"/>
        <v>Corporate</v>
      </c>
      <c r="L566" s="8" t="s">
        <v>52</v>
      </c>
      <c r="M566" s="8" t="str">
        <f t="shared" si="84"/>
        <v>South</v>
      </c>
      <c r="N566" s="8" t="s">
        <v>82</v>
      </c>
      <c r="O566" s="8" t="str">
        <f t="shared" si="85"/>
        <v>Andhra Pradesh</v>
      </c>
      <c r="P566" s="8" t="s">
        <v>83</v>
      </c>
      <c r="Q566" s="8" t="str">
        <f t="shared" si="86"/>
        <v>Vijayawada</v>
      </c>
      <c r="R566" s="8" t="s">
        <v>39</v>
      </c>
      <c r="S566" s="8" t="str">
        <f t="shared" si="87"/>
        <v>Furniture</v>
      </c>
      <c r="T566" s="8" t="s">
        <v>40</v>
      </c>
      <c r="U566" s="8" t="str">
        <f t="shared" si="88"/>
        <v>Tables</v>
      </c>
      <c r="V566" s="8" t="s">
        <v>1817</v>
      </c>
    </row>
    <row r="567" spans="1:22">
      <c r="A567" s="8" t="s">
        <v>1818</v>
      </c>
      <c r="B567" s="8">
        <f t="shared" si="80"/>
        <v>1</v>
      </c>
      <c r="C567" s="8" t="str">
        <f t="shared" si="81"/>
        <v>Unique</v>
      </c>
      <c r="D567" s="9">
        <v>45846</v>
      </c>
      <c r="E567" s="8">
        <f t="shared" si="82"/>
        <v>36</v>
      </c>
      <c r="F567" s="10">
        <v>45882</v>
      </c>
      <c r="G567" s="8" t="s">
        <v>1819</v>
      </c>
      <c r="H567" s="8" t="s">
        <v>34</v>
      </c>
      <c r="I567" s="8" t="str">
        <f t="shared" si="89"/>
        <v>Mira Das</v>
      </c>
      <c r="J567" s="8" t="s">
        <v>88</v>
      </c>
      <c r="K567" s="8" t="str">
        <f t="shared" si="83"/>
        <v>Corporate</v>
      </c>
      <c r="L567" s="8" t="s">
        <v>23</v>
      </c>
      <c r="M567" s="8" t="str">
        <f t="shared" si="84"/>
        <v>North</v>
      </c>
      <c r="N567" s="8" t="s">
        <v>349</v>
      </c>
      <c r="O567" s="8" t="str">
        <f t="shared" si="85"/>
        <v>Delhi</v>
      </c>
      <c r="P567" s="8" t="s">
        <v>350</v>
      </c>
      <c r="Q567" s="8" t="str">
        <f t="shared" si="86"/>
        <v>New Delhi</v>
      </c>
      <c r="R567" s="8" t="s">
        <v>72</v>
      </c>
      <c r="S567" s="8" t="str">
        <f t="shared" si="87"/>
        <v>Technology</v>
      </c>
      <c r="T567" s="8" t="s">
        <v>169</v>
      </c>
      <c r="U567" s="8" t="str">
        <f t="shared" si="88"/>
        <v>Phones</v>
      </c>
      <c r="V567" s="8" t="s">
        <v>1820</v>
      </c>
    </row>
    <row r="568" spans="1:22">
      <c r="A568" s="8" t="s">
        <v>1821</v>
      </c>
      <c r="B568" s="8">
        <f t="shared" si="80"/>
        <v>1</v>
      </c>
      <c r="C568" s="8" t="str">
        <f t="shared" si="81"/>
        <v>Unique</v>
      </c>
      <c r="D568" s="9">
        <v>45604</v>
      </c>
      <c r="E568" s="8">
        <f t="shared" si="82"/>
        <v>-81</v>
      </c>
      <c r="F568" s="10">
        <v>45523</v>
      </c>
      <c r="G568" s="8" t="s">
        <v>1822</v>
      </c>
      <c r="H568" s="8" t="s">
        <v>130</v>
      </c>
      <c r="I568" s="8" t="str">
        <f t="shared" si="89"/>
        <v>Sneha Kapoor</v>
      </c>
      <c r="J568" s="8" t="s">
        <v>35</v>
      </c>
      <c r="K568" s="8" t="str">
        <f t="shared" si="83"/>
        <v>Small Business</v>
      </c>
      <c r="L568" s="8" t="s">
        <v>61</v>
      </c>
      <c r="M568" s="8" t="str">
        <f t="shared" si="84"/>
        <v>West</v>
      </c>
      <c r="N568" s="8" t="s">
        <v>62</v>
      </c>
      <c r="O568" s="8" t="str">
        <f t="shared" si="85"/>
        <v>Maharashtra</v>
      </c>
      <c r="P568" s="8" t="s">
        <v>63</v>
      </c>
      <c r="Q568" s="8" t="str">
        <f t="shared" si="86"/>
        <v>Mumbai</v>
      </c>
      <c r="R568" s="8" t="s">
        <v>26</v>
      </c>
      <c r="S568" s="8" t="str">
        <f t="shared" si="87"/>
        <v>Office Supplies</v>
      </c>
      <c r="T568" s="8" t="s">
        <v>27</v>
      </c>
      <c r="U568" s="8" t="str">
        <f t="shared" si="88"/>
        <v>Paper</v>
      </c>
      <c r="V568" s="8" t="s">
        <v>1823</v>
      </c>
    </row>
    <row r="569" spans="1:22">
      <c r="A569" s="8" t="s">
        <v>1824</v>
      </c>
      <c r="B569" s="8">
        <f t="shared" si="80"/>
        <v>1</v>
      </c>
      <c r="C569" s="8" t="str">
        <f t="shared" si="81"/>
        <v>Unique</v>
      </c>
      <c r="D569" s="9">
        <v>45445</v>
      </c>
      <c r="E569" s="8">
        <f t="shared" si="82"/>
        <v>122</v>
      </c>
      <c r="F569" s="10">
        <v>45567</v>
      </c>
      <c r="G569" s="8" t="s">
        <v>1825</v>
      </c>
      <c r="H569" s="8" t="s">
        <v>51</v>
      </c>
      <c r="I569" s="8" t="str">
        <f t="shared" si="89"/>
        <v>Arjun Bose</v>
      </c>
      <c r="J569" s="8" t="s">
        <v>93</v>
      </c>
      <c r="K569" s="8" t="str">
        <f t="shared" si="83"/>
        <v>Home Office</v>
      </c>
      <c r="L569" s="8" t="s">
        <v>23</v>
      </c>
      <c r="M569" s="8" t="str">
        <f t="shared" si="84"/>
        <v>North</v>
      </c>
      <c r="N569" s="8" t="s">
        <v>134</v>
      </c>
      <c r="O569" s="8" t="str">
        <f t="shared" si="85"/>
        <v>Uttar Pradesh</v>
      </c>
      <c r="P569" s="8" t="s">
        <v>135</v>
      </c>
      <c r="Q569" s="8" t="str">
        <f t="shared" si="86"/>
        <v>Noida</v>
      </c>
      <c r="R569" s="8" t="s">
        <v>39</v>
      </c>
      <c r="S569" s="8" t="str">
        <f t="shared" si="87"/>
        <v>Furniture</v>
      </c>
      <c r="T569" s="8" t="s">
        <v>55</v>
      </c>
      <c r="U569" s="8" t="str">
        <f t="shared" si="88"/>
        <v>Furnishings</v>
      </c>
      <c r="V569" s="8" t="s">
        <v>602</v>
      </c>
    </row>
    <row r="570" spans="1:22">
      <c r="A570" s="8" t="s">
        <v>1826</v>
      </c>
      <c r="B570" s="8">
        <f t="shared" si="80"/>
        <v>1</v>
      </c>
      <c r="C570" s="8" t="str">
        <f t="shared" si="81"/>
        <v>Unique</v>
      </c>
      <c r="D570" s="9">
        <v>45312</v>
      </c>
      <c r="E570" s="8">
        <f t="shared" si="82"/>
        <v>3</v>
      </c>
      <c r="F570" s="10">
        <v>45315</v>
      </c>
      <c r="G570" s="8" t="s">
        <v>1827</v>
      </c>
      <c r="H570" s="8" t="s">
        <v>263</v>
      </c>
      <c r="I570" s="8" t="str">
        <f t="shared" si="89"/>
        <v>Kabir Singh</v>
      </c>
      <c r="J570" s="8" t="s">
        <v>88</v>
      </c>
      <c r="K570" s="8" t="str">
        <f t="shared" si="83"/>
        <v>Corporate</v>
      </c>
      <c r="L570" s="8" t="s">
        <v>23</v>
      </c>
      <c r="M570" s="8" t="str">
        <f t="shared" si="84"/>
        <v>North</v>
      </c>
      <c r="N570" s="8" t="s">
        <v>120</v>
      </c>
      <c r="O570" s="8" t="str">
        <f t="shared" si="85"/>
        <v>Punjab</v>
      </c>
      <c r="P570" s="8" t="s">
        <v>121</v>
      </c>
      <c r="Q570" s="8" t="str">
        <f t="shared" si="86"/>
        <v>Ludhiana</v>
      </c>
      <c r="R570" s="8" t="s">
        <v>72</v>
      </c>
      <c r="S570" s="8" t="str">
        <f t="shared" si="87"/>
        <v>Technology</v>
      </c>
      <c r="T570" s="8" t="s">
        <v>273</v>
      </c>
      <c r="U570" s="8" t="str">
        <f t="shared" si="88"/>
        <v>Machines</v>
      </c>
      <c r="V570" s="8" t="s">
        <v>1828</v>
      </c>
    </row>
    <row r="571" spans="1:22">
      <c r="A571" s="8" t="s">
        <v>1829</v>
      </c>
      <c r="B571" s="8">
        <f t="shared" si="80"/>
        <v>1</v>
      </c>
      <c r="C571" s="8" t="str">
        <f t="shared" si="81"/>
        <v>Unique</v>
      </c>
      <c r="D571" s="9">
        <v>45908</v>
      </c>
      <c r="E571" s="8">
        <f t="shared" si="82"/>
        <v>31</v>
      </c>
      <c r="F571" s="10">
        <v>45939</v>
      </c>
      <c r="G571" s="8" t="s">
        <v>1830</v>
      </c>
      <c r="H571" s="8" t="s">
        <v>116</v>
      </c>
      <c r="I571" s="8" t="str">
        <f t="shared" si="89"/>
        <v>Rahul Verma</v>
      </c>
      <c r="J571" s="8" t="s">
        <v>93</v>
      </c>
      <c r="K571" s="8" t="str">
        <f t="shared" si="83"/>
        <v>Home Office</v>
      </c>
      <c r="L571" s="8" t="s">
        <v>61</v>
      </c>
      <c r="M571" s="8" t="str">
        <f t="shared" si="84"/>
        <v>West</v>
      </c>
      <c r="N571" s="8" t="s">
        <v>62</v>
      </c>
      <c r="O571" s="8" t="str">
        <f t="shared" si="85"/>
        <v>Maharashtra</v>
      </c>
      <c r="P571" s="8" t="s">
        <v>63</v>
      </c>
      <c r="Q571" s="8" t="str">
        <f t="shared" si="86"/>
        <v>Mumbai</v>
      </c>
      <c r="R571" s="8" t="s">
        <v>39</v>
      </c>
      <c r="S571" s="8" t="str">
        <f t="shared" si="87"/>
        <v>Furniture</v>
      </c>
      <c r="T571" s="8" t="s">
        <v>55</v>
      </c>
      <c r="U571" s="8" t="str">
        <f t="shared" si="88"/>
        <v>Furnishings</v>
      </c>
      <c r="V571" s="8" t="s">
        <v>1831</v>
      </c>
    </row>
    <row r="572" spans="1:22">
      <c r="A572" s="8" t="s">
        <v>1832</v>
      </c>
      <c r="B572" s="8">
        <f t="shared" si="80"/>
        <v>1</v>
      </c>
      <c r="C572" s="8" t="str">
        <f t="shared" si="81"/>
        <v>Unique</v>
      </c>
      <c r="D572" s="9">
        <v>45887</v>
      </c>
      <c r="E572" s="8">
        <f t="shared" si="82"/>
        <v>4</v>
      </c>
      <c r="F572" s="10">
        <v>45891</v>
      </c>
      <c r="G572" s="8" t="s">
        <v>1833</v>
      </c>
      <c r="H572" s="8" t="s">
        <v>51</v>
      </c>
      <c r="I572" s="8" t="str">
        <f t="shared" si="89"/>
        <v>Arjun Bose</v>
      </c>
      <c r="J572" s="8" t="s">
        <v>22</v>
      </c>
      <c r="K572" s="8" t="str">
        <f t="shared" si="83"/>
        <v>Consumer</v>
      </c>
      <c r="L572" s="8" t="s">
        <v>36</v>
      </c>
      <c r="M572" s="8" t="str">
        <f t="shared" si="84"/>
        <v>East</v>
      </c>
      <c r="N572" s="8" t="s">
        <v>227</v>
      </c>
      <c r="O572" s="8" t="str">
        <f t="shared" si="85"/>
        <v>Jharkhand</v>
      </c>
      <c r="P572" s="8" t="s">
        <v>228</v>
      </c>
      <c r="Q572" s="8" t="str">
        <f t="shared" si="86"/>
        <v>Ranchi</v>
      </c>
      <c r="R572" s="8" t="s">
        <v>39</v>
      </c>
      <c r="S572" s="8" t="str">
        <f t="shared" si="87"/>
        <v>Furniture</v>
      </c>
      <c r="T572" s="8" t="s">
        <v>55</v>
      </c>
      <c r="U572" s="8" t="str">
        <f t="shared" si="88"/>
        <v>Furnishings</v>
      </c>
      <c r="V572" s="8" t="s">
        <v>1834</v>
      </c>
    </row>
    <row r="573" spans="1:22">
      <c r="A573" s="8" t="s">
        <v>1835</v>
      </c>
      <c r="B573" s="8">
        <f t="shared" si="80"/>
        <v>2</v>
      </c>
      <c r="C573" s="8" t="str">
        <f t="shared" si="81"/>
        <v>Review Duplicate ID</v>
      </c>
      <c r="D573" s="9">
        <v>45932</v>
      </c>
      <c r="E573" s="8">
        <f t="shared" si="82"/>
        <v>-230</v>
      </c>
      <c r="F573" s="10">
        <v>45702</v>
      </c>
      <c r="G573" s="8" t="s">
        <v>1836</v>
      </c>
      <c r="H573" s="8" t="s">
        <v>112</v>
      </c>
      <c r="I573" s="8" t="str">
        <f t="shared" si="89"/>
        <v>Priya Menon</v>
      </c>
      <c r="J573" s="8" t="s">
        <v>35</v>
      </c>
      <c r="K573" s="8" t="str">
        <f t="shared" si="83"/>
        <v>Small Business</v>
      </c>
      <c r="L573" s="8" t="s">
        <v>23</v>
      </c>
      <c r="M573" s="8" t="str">
        <f t="shared" si="84"/>
        <v>North</v>
      </c>
      <c r="N573" s="8" t="s">
        <v>134</v>
      </c>
      <c r="O573" s="8" t="str">
        <f t="shared" si="85"/>
        <v>Uttar Pradesh</v>
      </c>
      <c r="P573" s="8" t="s">
        <v>135</v>
      </c>
      <c r="Q573" s="8" t="str">
        <f t="shared" si="86"/>
        <v>Noida</v>
      </c>
      <c r="R573" s="8" t="s">
        <v>72</v>
      </c>
      <c r="S573" s="8" t="str">
        <f t="shared" si="87"/>
        <v>Technology</v>
      </c>
      <c r="T573" s="8" t="s">
        <v>169</v>
      </c>
      <c r="U573" s="8" t="str">
        <f t="shared" si="88"/>
        <v>Phones</v>
      </c>
      <c r="V573" s="8" t="s">
        <v>1837</v>
      </c>
    </row>
    <row r="574" spans="1:22">
      <c r="A574" s="8" t="s">
        <v>1838</v>
      </c>
      <c r="B574" s="8">
        <f t="shared" si="80"/>
        <v>1</v>
      </c>
      <c r="C574" s="8" t="str">
        <f t="shared" si="81"/>
        <v>Unique</v>
      </c>
      <c r="D574" s="9">
        <v>45293</v>
      </c>
      <c r="E574" s="8">
        <f t="shared" si="82"/>
        <v>243</v>
      </c>
      <c r="F574" s="10">
        <v>45536</v>
      </c>
      <c r="G574" s="8" t="s">
        <v>1839</v>
      </c>
      <c r="H574" s="8" t="s">
        <v>160</v>
      </c>
      <c r="I574" s="8" t="str">
        <f t="shared" si="89"/>
        <v>Diya Patel</v>
      </c>
      <c r="J574" s="8" t="s">
        <v>88</v>
      </c>
      <c r="K574" s="8" t="str">
        <f t="shared" si="83"/>
        <v>Corporate</v>
      </c>
      <c r="L574" s="8" t="s">
        <v>23</v>
      </c>
      <c r="M574" s="8" t="str">
        <f t="shared" si="84"/>
        <v>North</v>
      </c>
      <c r="N574" s="8" t="s">
        <v>349</v>
      </c>
      <c r="O574" s="8" t="str">
        <f t="shared" si="85"/>
        <v>Delhi</v>
      </c>
      <c r="P574" s="8" t="s">
        <v>350</v>
      </c>
      <c r="Q574" s="8" t="str">
        <f t="shared" si="86"/>
        <v>New Delhi</v>
      </c>
      <c r="R574" s="8" t="s">
        <v>72</v>
      </c>
      <c r="S574" s="8" t="str">
        <f t="shared" si="87"/>
        <v>Technology</v>
      </c>
      <c r="T574" s="8" t="s">
        <v>169</v>
      </c>
      <c r="U574" s="8" t="str">
        <f t="shared" si="88"/>
        <v>Phones</v>
      </c>
      <c r="V574" s="8" t="s">
        <v>1840</v>
      </c>
    </row>
    <row r="575" spans="1:22">
      <c r="A575" s="8" t="s">
        <v>1841</v>
      </c>
      <c r="B575" s="8">
        <f t="shared" si="80"/>
        <v>1</v>
      </c>
      <c r="C575" s="8" t="str">
        <f t="shared" si="81"/>
        <v>Unique</v>
      </c>
      <c r="D575" s="9">
        <v>45922</v>
      </c>
      <c r="E575" s="8">
        <f t="shared" si="82"/>
        <v>4</v>
      </c>
      <c r="F575" s="10">
        <v>45926</v>
      </c>
      <c r="G575" s="8" t="s">
        <v>1842</v>
      </c>
      <c r="H575" s="8" t="s">
        <v>45</v>
      </c>
      <c r="I575" s="8" t="str">
        <f t="shared" si="89"/>
        <v>Isha Nair</v>
      </c>
      <c r="J575" s="8" t="s">
        <v>22</v>
      </c>
      <c r="K575" s="8" t="str">
        <f t="shared" si="83"/>
        <v>Consumer</v>
      </c>
      <c r="L575" s="8" t="s">
        <v>52</v>
      </c>
      <c r="M575" s="8" t="str">
        <f t="shared" si="84"/>
        <v>South</v>
      </c>
      <c r="N575" s="8" t="s">
        <v>82</v>
      </c>
      <c r="O575" s="8" t="str">
        <f t="shared" si="85"/>
        <v>Andhra Pradesh</v>
      </c>
      <c r="P575" s="8" t="s">
        <v>83</v>
      </c>
      <c r="Q575" s="8" t="str">
        <f t="shared" si="86"/>
        <v>Vijayawada</v>
      </c>
      <c r="R575" s="8" t="s">
        <v>72</v>
      </c>
      <c r="S575" s="8" t="str">
        <f t="shared" si="87"/>
        <v>Technology</v>
      </c>
      <c r="T575" s="8" t="s">
        <v>169</v>
      </c>
      <c r="U575" s="8" t="str">
        <f t="shared" si="88"/>
        <v>Phones</v>
      </c>
      <c r="V575" s="8" t="s">
        <v>1843</v>
      </c>
    </row>
    <row r="576" spans="1:22">
      <c r="A576" s="8" t="s">
        <v>1844</v>
      </c>
      <c r="B576" s="8">
        <f t="shared" si="80"/>
        <v>1</v>
      </c>
      <c r="C576" s="8" t="str">
        <f t="shared" si="81"/>
        <v>Unique</v>
      </c>
      <c r="D576" s="9">
        <v>45342</v>
      </c>
      <c r="E576" s="8">
        <f t="shared" si="82"/>
        <v>5</v>
      </c>
      <c r="F576" s="10">
        <v>45347</v>
      </c>
      <c r="G576" s="8" t="s">
        <v>813</v>
      </c>
      <c r="H576" s="8" t="s">
        <v>160</v>
      </c>
      <c r="I576" s="8" t="str">
        <f t="shared" si="89"/>
        <v>Diya Patel</v>
      </c>
      <c r="J576" s="8" t="s">
        <v>93</v>
      </c>
      <c r="K576" s="8" t="str">
        <f t="shared" si="83"/>
        <v>Home Office</v>
      </c>
      <c r="L576" s="8" t="s">
        <v>23</v>
      </c>
      <c r="M576" s="8" t="str">
        <f t="shared" si="84"/>
        <v>North</v>
      </c>
      <c r="N576" s="8" t="s">
        <v>120</v>
      </c>
      <c r="O576" s="8" t="str">
        <f t="shared" si="85"/>
        <v>Punjab</v>
      </c>
      <c r="P576" s="8" t="s">
        <v>121</v>
      </c>
      <c r="Q576" s="8" t="str">
        <f t="shared" si="86"/>
        <v>Ludhiana</v>
      </c>
      <c r="R576" s="8" t="s">
        <v>72</v>
      </c>
      <c r="S576" s="8" t="str">
        <f t="shared" si="87"/>
        <v>Technology</v>
      </c>
      <c r="T576" s="8" t="s">
        <v>273</v>
      </c>
      <c r="U576" s="8" t="str">
        <f t="shared" si="88"/>
        <v>Machines</v>
      </c>
      <c r="V576" s="8" t="s">
        <v>1845</v>
      </c>
    </row>
    <row r="577" spans="1:22">
      <c r="A577" s="8" t="s">
        <v>1846</v>
      </c>
      <c r="B577" s="8">
        <f t="shared" si="80"/>
        <v>1</v>
      </c>
      <c r="C577" s="8" t="str">
        <f t="shared" si="81"/>
        <v>Unique</v>
      </c>
      <c r="D577" s="9">
        <v>45964</v>
      </c>
      <c r="E577" s="8">
        <f t="shared" si="82"/>
        <v>-234</v>
      </c>
      <c r="F577" s="10">
        <v>45730</v>
      </c>
      <c r="G577" s="8" t="s">
        <v>1847</v>
      </c>
      <c r="H577" s="8" t="s">
        <v>130</v>
      </c>
      <c r="I577" s="8" t="str">
        <f t="shared" si="89"/>
        <v>Sneha Kapoor</v>
      </c>
      <c r="J577" s="8" t="s">
        <v>93</v>
      </c>
      <c r="K577" s="8" t="str">
        <f t="shared" si="83"/>
        <v>Home Office</v>
      </c>
      <c r="L577" s="8" t="s">
        <v>52</v>
      </c>
      <c r="M577" s="8" t="str">
        <f t="shared" si="84"/>
        <v>South</v>
      </c>
      <c r="N577" s="8" t="s">
        <v>183</v>
      </c>
      <c r="O577" s="8" t="str">
        <f t="shared" si="85"/>
        <v>Kerala</v>
      </c>
      <c r="P577" s="8" t="s">
        <v>184</v>
      </c>
      <c r="Q577" s="8" t="str">
        <f t="shared" si="86"/>
        <v>Kochi</v>
      </c>
      <c r="R577" s="8" t="s">
        <v>39</v>
      </c>
      <c r="S577" s="8" t="str">
        <f t="shared" si="87"/>
        <v>Furniture</v>
      </c>
      <c r="T577" s="8" t="s">
        <v>55</v>
      </c>
      <c r="U577" s="8" t="str">
        <f t="shared" si="88"/>
        <v>Furnishings</v>
      </c>
      <c r="V577" s="8" t="s">
        <v>1848</v>
      </c>
    </row>
    <row r="578" spans="1:22">
      <c r="A578" s="8" t="s">
        <v>1849</v>
      </c>
      <c r="B578" s="8">
        <f t="shared" si="80"/>
        <v>1</v>
      </c>
      <c r="C578" s="8" t="str">
        <f t="shared" si="81"/>
        <v>Unique</v>
      </c>
      <c r="D578" s="9">
        <v>45339</v>
      </c>
      <c r="E578" s="8">
        <f t="shared" si="82"/>
        <v>6</v>
      </c>
      <c r="F578" s="10">
        <v>45345</v>
      </c>
      <c r="G578" s="8" t="s">
        <v>1850</v>
      </c>
      <c r="H578" s="8" t="s">
        <v>139</v>
      </c>
      <c r="I578" s="8" t="str">
        <f t="shared" si="89"/>
        <v>Rohan Mehta</v>
      </c>
      <c r="J578" s="8" t="s">
        <v>93</v>
      </c>
      <c r="K578" s="8" t="str">
        <f t="shared" si="83"/>
        <v>Home Office</v>
      </c>
      <c r="M578" s="8" t="str">
        <f t="shared" si="84"/>
        <v/>
      </c>
      <c r="N578" s="8" t="s">
        <v>143</v>
      </c>
      <c r="O578" s="8" t="str">
        <f t="shared" si="85"/>
        <v>Bihar</v>
      </c>
      <c r="P578" s="8" t="s">
        <v>144</v>
      </c>
      <c r="Q578" s="8" t="str">
        <f t="shared" si="86"/>
        <v>Patna</v>
      </c>
      <c r="R578" s="8" t="s">
        <v>26</v>
      </c>
      <c r="S578" s="8" t="str">
        <f t="shared" si="87"/>
        <v>Office Supplies</v>
      </c>
      <c r="T578" s="8" t="s">
        <v>151</v>
      </c>
      <c r="U578" s="8" t="str">
        <f t="shared" si="88"/>
        <v>Binders</v>
      </c>
      <c r="V578" s="8" t="s">
        <v>1851</v>
      </c>
    </row>
    <row r="579" spans="1:22">
      <c r="A579" s="8" t="s">
        <v>1852</v>
      </c>
      <c r="B579" s="8">
        <f t="shared" ref="B579:B642" si="90">COUNTIF($A:$A,A579)</f>
        <v>1</v>
      </c>
      <c r="C579" s="8" t="str">
        <f t="shared" ref="C579:C642" si="91">IF(B579&gt;1,"Review Duplicate ID","Unique")</f>
        <v>Unique</v>
      </c>
      <c r="D579" s="9">
        <v>45897</v>
      </c>
      <c r="E579" s="8">
        <f t="shared" ref="E579:E642" si="92">F579-D579</f>
        <v>-172</v>
      </c>
      <c r="F579" s="10">
        <v>45725</v>
      </c>
      <c r="G579" s="8" t="s">
        <v>1853</v>
      </c>
      <c r="H579" s="8" t="s">
        <v>112</v>
      </c>
      <c r="I579" s="8" t="str">
        <f t="shared" si="89"/>
        <v>Priya Menon</v>
      </c>
      <c r="J579" s="8" t="s">
        <v>88</v>
      </c>
      <c r="K579" s="8" t="str">
        <f t="shared" ref="K579:K642" si="93">PROPER(TRIM(J579))</f>
        <v>Corporate</v>
      </c>
      <c r="L579" s="8" t="s">
        <v>61</v>
      </c>
      <c r="M579" s="8" t="str">
        <f t="shared" ref="M579:M642" si="94">PROPER(TRIM(L579))</f>
        <v>West</v>
      </c>
      <c r="N579" s="8" t="s">
        <v>70</v>
      </c>
      <c r="O579" s="8" t="str">
        <f t="shared" ref="O579:O642" si="95">PROPER(TRIM(N579))</f>
        <v>Madhya Pradesh</v>
      </c>
      <c r="P579" s="8" t="s">
        <v>71</v>
      </c>
      <c r="Q579" s="8" t="str">
        <f t="shared" ref="Q579:Q642" si="96">PROPER(TRIM(P579))</f>
        <v>Indore</v>
      </c>
      <c r="R579" s="8" t="s">
        <v>39</v>
      </c>
      <c r="S579" s="8" t="str">
        <f t="shared" ref="S579:S642" si="97">PROPER(TRIM(R579))</f>
        <v>Furniture</v>
      </c>
      <c r="T579" s="8" t="s">
        <v>55</v>
      </c>
      <c r="U579" s="8" t="str">
        <f t="shared" ref="U579:U642" si="98">PROPER(TRIM(T579))</f>
        <v>Furnishings</v>
      </c>
      <c r="V579" s="8" t="s">
        <v>1854</v>
      </c>
    </row>
    <row r="580" spans="1:22">
      <c r="A580" s="8" t="s">
        <v>1855</v>
      </c>
      <c r="B580" s="8">
        <f t="shared" si="90"/>
        <v>1</v>
      </c>
      <c r="C580" s="8" t="str">
        <f t="shared" si="91"/>
        <v>Unique</v>
      </c>
      <c r="D580" s="9">
        <v>45343</v>
      </c>
      <c r="E580" s="8">
        <f t="shared" si="92"/>
        <v>2</v>
      </c>
      <c r="F580" s="10">
        <v>45345</v>
      </c>
      <c r="G580" s="8" t="s">
        <v>294</v>
      </c>
      <c r="H580" s="8" t="s">
        <v>77</v>
      </c>
      <c r="I580" s="8" t="str">
        <f t="shared" ref="I580:I643" si="99">PROPER(TRIM(H580))</f>
        <v>Neha Gupta</v>
      </c>
      <c r="J580" s="8" t="s">
        <v>35</v>
      </c>
      <c r="K580" s="8" t="str">
        <f t="shared" si="93"/>
        <v>Small Business</v>
      </c>
      <c r="L580" s="8" t="s">
        <v>61</v>
      </c>
      <c r="M580" s="8" t="str">
        <f t="shared" si="94"/>
        <v>West</v>
      </c>
      <c r="N580" s="8" t="s">
        <v>178</v>
      </c>
      <c r="O580" s="8" t="str">
        <f t="shared" si="95"/>
        <v>Gujarat</v>
      </c>
      <c r="P580" s="8" t="s">
        <v>179</v>
      </c>
      <c r="Q580" s="8" t="str">
        <f t="shared" si="96"/>
        <v>Ahmedabad</v>
      </c>
      <c r="R580" s="8" t="s">
        <v>72</v>
      </c>
      <c r="S580" s="8" t="str">
        <f t="shared" si="97"/>
        <v>Technology</v>
      </c>
      <c r="T580" s="8" t="s">
        <v>78</v>
      </c>
      <c r="U580" s="8" t="str">
        <f t="shared" si="98"/>
        <v>Copiers</v>
      </c>
      <c r="V580" s="8" t="s">
        <v>1856</v>
      </c>
    </row>
    <row r="581" spans="1:22">
      <c r="A581" s="8" t="s">
        <v>1857</v>
      </c>
      <c r="B581" s="8">
        <f t="shared" si="90"/>
        <v>1</v>
      </c>
      <c r="C581" s="8" t="str">
        <f t="shared" si="91"/>
        <v>Unique</v>
      </c>
      <c r="D581" s="9">
        <v>45462</v>
      </c>
      <c r="E581" s="8">
        <f t="shared" si="92"/>
        <v>5</v>
      </c>
      <c r="F581" s="10">
        <v>45467</v>
      </c>
      <c r="G581" s="8" t="s">
        <v>1858</v>
      </c>
      <c r="H581" s="8" t="s">
        <v>126</v>
      </c>
      <c r="I581" s="8" t="str">
        <f t="shared" si="99"/>
        <v>Aarav Sharma</v>
      </c>
      <c r="J581" s="8" t="s">
        <v>35</v>
      </c>
      <c r="K581" s="8" t="str">
        <f t="shared" si="93"/>
        <v>Small Business</v>
      </c>
      <c r="L581" s="8" t="s">
        <v>52</v>
      </c>
      <c r="M581" s="8" t="str">
        <f t="shared" si="94"/>
        <v>South</v>
      </c>
      <c r="N581" s="8" t="s">
        <v>246</v>
      </c>
      <c r="O581" s="8" t="str">
        <f t="shared" si="95"/>
        <v>Tamil Nadu</v>
      </c>
      <c r="P581" s="8" t="s">
        <v>247</v>
      </c>
      <c r="Q581" s="8" t="str">
        <f t="shared" si="96"/>
        <v>Chennai</v>
      </c>
      <c r="R581" s="8" t="s">
        <v>26</v>
      </c>
      <c r="S581" s="8" t="str">
        <f t="shared" si="97"/>
        <v>Office Supplies</v>
      </c>
      <c r="T581" s="8" t="s">
        <v>122</v>
      </c>
      <c r="U581" s="8" t="str">
        <f t="shared" si="98"/>
        <v>Storage</v>
      </c>
      <c r="V581" s="8" t="s">
        <v>1859</v>
      </c>
    </row>
    <row r="582" spans="1:22">
      <c r="A582" s="8" t="s">
        <v>1860</v>
      </c>
      <c r="B582" s="8">
        <f t="shared" si="90"/>
        <v>1</v>
      </c>
      <c r="C582" s="8" t="str">
        <f t="shared" si="91"/>
        <v>Unique</v>
      </c>
      <c r="D582" s="9">
        <v>45811</v>
      </c>
      <c r="E582" s="8">
        <f t="shared" si="92"/>
        <v>-82</v>
      </c>
      <c r="F582" s="10">
        <v>45729</v>
      </c>
      <c r="G582" s="8" t="s">
        <v>1861</v>
      </c>
      <c r="H582" s="8" t="s">
        <v>263</v>
      </c>
      <c r="I582" s="8" t="str">
        <f t="shared" si="99"/>
        <v>Kabir Singh</v>
      </c>
      <c r="J582" s="8" t="s">
        <v>22</v>
      </c>
      <c r="K582" s="8" t="str">
        <f t="shared" si="93"/>
        <v>Consumer</v>
      </c>
      <c r="L582" s="8" t="s">
        <v>52</v>
      </c>
      <c r="M582" s="8" t="str">
        <f t="shared" si="94"/>
        <v>South</v>
      </c>
      <c r="N582" s="8" t="s">
        <v>183</v>
      </c>
      <c r="O582" s="8" t="str">
        <f t="shared" si="95"/>
        <v>Kerala</v>
      </c>
      <c r="P582" s="8" t="s">
        <v>184</v>
      </c>
      <c r="Q582" s="8" t="str">
        <f t="shared" si="96"/>
        <v>Kochi</v>
      </c>
      <c r="R582" s="8" t="s">
        <v>39</v>
      </c>
      <c r="S582" s="8" t="str">
        <f t="shared" si="97"/>
        <v>Furniture</v>
      </c>
      <c r="T582" s="8" t="s">
        <v>64</v>
      </c>
      <c r="U582" s="8" t="str">
        <f t="shared" si="98"/>
        <v>Chairs</v>
      </c>
      <c r="V582" s="8" t="s">
        <v>1862</v>
      </c>
    </row>
    <row r="583" spans="1:22">
      <c r="A583" s="8" t="s">
        <v>1863</v>
      </c>
      <c r="B583" s="8">
        <f t="shared" si="90"/>
        <v>1</v>
      </c>
      <c r="C583" s="8" t="str">
        <f t="shared" si="91"/>
        <v>Unique</v>
      </c>
      <c r="D583" s="9">
        <v>45908</v>
      </c>
      <c r="E583" s="8">
        <f t="shared" si="92"/>
        <v>-29</v>
      </c>
      <c r="F583" s="10">
        <v>45879</v>
      </c>
      <c r="G583" s="8" t="s">
        <v>1864</v>
      </c>
      <c r="H583" s="8" t="s">
        <v>77</v>
      </c>
      <c r="I583" s="8" t="str">
        <f t="shared" si="99"/>
        <v>Neha Gupta</v>
      </c>
      <c r="J583" s="8" t="s">
        <v>22</v>
      </c>
      <c r="K583" s="8" t="str">
        <f t="shared" si="93"/>
        <v>Consumer</v>
      </c>
      <c r="L583" s="8" t="s">
        <v>23</v>
      </c>
      <c r="M583" s="8" t="str">
        <f t="shared" si="94"/>
        <v>North</v>
      </c>
      <c r="N583" s="8" t="s">
        <v>349</v>
      </c>
      <c r="O583" s="8" t="str">
        <f t="shared" si="95"/>
        <v>Delhi</v>
      </c>
      <c r="P583" s="8" t="s">
        <v>350</v>
      </c>
      <c r="Q583" s="8" t="str">
        <f t="shared" si="96"/>
        <v>New Delhi</v>
      </c>
      <c r="R583" s="8" t="s">
        <v>26</v>
      </c>
      <c r="S583" s="8" t="str">
        <f t="shared" si="97"/>
        <v>Office Supplies</v>
      </c>
      <c r="T583" s="8" t="s">
        <v>46</v>
      </c>
      <c r="U583" s="8" t="str">
        <f t="shared" si="98"/>
        <v>Art</v>
      </c>
      <c r="V583" s="8" t="s">
        <v>1865</v>
      </c>
    </row>
    <row r="584" spans="1:22">
      <c r="A584" s="8" t="s">
        <v>1866</v>
      </c>
      <c r="B584" s="8">
        <f t="shared" si="90"/>
        <v>1</v>
      </c>
      <c r="C584" s="8" t="str">
        <f t="shared" si="91"/>
        <v>Unique</v>
      </c>
      <c r="D584" s="9">
        <v>45580</v>
      </c>
      <c r="E584" s="8">
        <f t="shared" si="92"/>
        <v>5</v>
      </c>
      <c r="F584" s="10">
        <v>45585</v>
      </c>
      <c r="G584" s="8" t="s">
        <v>1867</v>
      </c>
      <c r="H584" s="8" t="s">
        <v>60</v>
      </c>
      <c r="I584" s="8" t="str">
        <f t="shared" si="99"/>
        <v>Ananya Rao</v>
      </c>
      <c r="J584" s="8" t="s">
        <v>22</v>
      </c>
      <c r="K584" s="8" t="str">
        <f t="shared" si="93"/>
        <v>Consumer</v>
      </c>
      <c r="L584" s="8" t="s">
        <v>36</v>
      </c>
      <c r="M584" s="8" t="str">
        <f t="shared" si="94"/>
        <v>East</v>
      </c>
      <c r="N584" s="8" t="s">
        <v>37</v>
      </c>
      <c r="O584" s="8" t="str">
        <f t="shared" si="95"/>
        <v>Odisha</v>
      </c>
      <c r="P584" s="8" t="s">
        <v>38</v>
      </c>
      <c r="Q584" s="8" t="str">
        <f t="shared" si="96"/>
        <v>Bhubaneswar</v>
      </c>
      <c r="R584" s="8" t="s">
        <v>26</v>
      </c>
      <c r="S584" s="8" t="str">
        <f t="shared" si="97"/>
        <v>Office Supplies</v>
      </c>
      <c r="T584" s="8" t="s">
        <v>46</v>
      </c>
      <c r="U584" s="8" t="str">
        <f t="shared" si="98"/>
        <v>Art</v>
      </c>
      <c r="V584" s="8" t="s">
        <v>1868</v>
      </c>
    </row>
    <row r="585" spans="1:22">
      <c r="A585" s="8" t="s">
        <v>1869</v>
      </c>
      <c r="B585" s="8">
        <f t="shared" si="90"/>
        <v>1</v>
      </c>
      <c r="C585" s="8" t="str">
        <f t="shared" si="91"/>
        <v>Unique</v>
      </c>
      <c r="D585" s="9">
        <v>45350</v>
      </c>
      <c r="E585" s="8">
        <f t="shared" si="92"/>
        <v>0</v>
      </c>
      <c r="F585" s="10">
        <v>45350</v>
      </c>
      <c r="G585" s="8" t="s">
        <v>1870</v>
      </c>
      <c r="H585" s="8" t="s">
        <v>139</v>
      </c>
      <c r="I585" s="8" t="str">
        <f t="shared" si="99"/>
        <v>Rohan Mehta</v>
      </c>
      <c r="J585" s="8" t="s">
        <v>35</v>
      </c>
      <c r="K585" s="8" t="str">
        <f t="shared" si="93"/>
        <v>Small Business</v>
      </c>
      <c r="L585" s="8" t="s">
        <v>36</v>
      </c>
      <c r="M585" s="8" t="str">
        <f t="shared" si="94"/>
        <v>East</v>
      </c>
      <c r="N585" s="8" t="s">
        <v>97</v>
      </c>
      <c r="O585" s="8" t="str">
        <f t="shared" si="95"/>
        <v>West Bengal</v>
      </c>
      <c r="P585" s="8" t="s">
        <v>98</v>
      </c>
      <c r="Q585" s="8" t="str">
        <f t="shared" si="96"/>
        <v>Kolkata</v>
      </c>
      <c r="R585" s="8" t="s">
        <v>26</v>
      </c>
      <c r="S585" s="8" t="str">
        <f t="shared" si="97"/>
        <v>Office Supplies</v>
      </c>
      <c r="T585" s="8" t="s">
        <v>122</v>
      </c>
      <c r="U585" s="8" t="str">
        <f t="shared" si="98"/>
        <v>Storage</v>
      </c>
      <c r="V585" s="8" t="s">
        <v>1871</v>
      </c>
    </row>
    <row r="586" spans="1:22">
      <c r="A586" s="8" t="s">
        <v>1872</v>
      </c>
      <c r="B586" s="8">
        <f t="shared" si="90"/>
        <v>1</v>
      </c>
      <c r="C586" s="8" t="str">
        <f t="shared" si="91"/>
        <v>Unique</v>
      </c>
      <c r="D586" s="9">
        <v>45508</v>
      </c>
      <c r="E586" s="8">
        <f t="shared" si="92"/>
        <v>65</v>
      </c>
      <c r="F586" s="10">
        <v>45573</v>
      </c>
      <c r="G586" s="8" t="s">
        <v>1873</v>
      </c>
      <c r="H586" s="8" t="s">
        <v>69</v>
      </c>
      <c r="I586" s="8" t="str">
        <f t="shared" si="99"/>
        <v>Vikram Iyer</v>
      </c>
      <c r="J586" s="8" t="s">
        <v>22</v>
      </c>
      <c r="K586" s="8" t="str">
        <f t="shared" si="93"/>
        <v>Consumer</v>
      </c>
      <c r="L586" s="8" t="s">
        <v>36</v>
      </c>
      <c r="M586" s="8" t="str">
        <f t="shared" si="94"/>
        <v>East</v>
      </c>
      <c r="N586" s="8" t="s">
        <v>143</v>
      </c>
      <c r="O586" s="8" t="str">
        <f t="shared" si="95"/>
        <v>Bihar</v>
      </c>
      <c r="P586" s="8" t="s">
        <v>144</v>
      </c>
      <c r="Q586" s="8" t="str">
        <f t="shared" si="96"/>
        <v>Patna</v>
      </c>
      <c r="R586" s="8" t="s">
        <v>26</v>
      </c>
      <c r="S586" s="8" t="str">
        <f t="shared" si="97"/>
        <v>Office Supplies</v>
      </c>
      <c r="T586" s="8" t="s">
        <v>46</v>
      </c>
      <c r="U586" s="8" t="str">
        <f t="shared" si="98"/>
        <v>Art</v>
      </c>
      <c r="V586" s="8" t="s">
        <v>1874</v>
      </c>
    </row>
    <row r="587" spans="1:22">
      <c r="A587" s="8" t="s">
        <v>1875</v>
      </c>
      <c r="B587" s="8">
        <f t="shared" si="90"/>
        <v>1</v>
      </c>
      <c r="C587" s="8" t="str">
        <f t="shared" si="91"/>
        <v>Unique</v>
      </c>
      <c r="D587" s="9">
        <v>45830</v>
      </c>
      <c r="E587" s="8">
        <f t="shared" si="92"/>
        <v>3</v>
      </c>
      <c r="F587" s="10">
        <v>45833</v>
      </c>
      <c r="G587" s="8" t="s">
        <v>1876</v>
      </c>
      <c r="H587" s="8" t="s">
        <v>160</v>
      </c>
      <c r="I587" s="8" t="str">
        <f t="shared" si="99"/>
        <v>Diya Patel</v>
      </c>
      <c r="J587" s="8" t="s">
        <v>35</v>
      </c>
      <c r="K587" s="8" t="str">
        <f t="shared" si="93"/>
        <v>Small Business</v>
      </c>
      <c r="L587" s="8" t="s">
        <v>700</v>
      </c>
      <c r="M587" s="8" t="str">
        <f t="shared" si="94"/>
        <v>West</v>
      </c>
      <c r="N587" s="8" t="s">
        <v>62</v>
      </c>
      <c r="O587" s="8" t="str">
        <f t="shared" si="95"/>
        <v>Maharashtra</v>
      </c>
      <c r="P587" s="8" t="s">
        <v>63</v>
      </c>
      <c r="Q587" s="8" t="str">
        <f t="shared" si="96"/>
        <v>Mumbai</v>
      </c>
      <c r="R587" s="8" t="s">
        <v>72</v>
      </c>
      <c r="S587" s="8" t="str">
        <f t="shared" si="97"/>
        <v>Technology</v>
      </c>
      <c r="T587" s="8" t="s">
        <v>169</v>
      </c>
      <c r="U587" s="8" t="str">
        <f t="shared" si="98"/>
        <v>Phones</v>
      </c>
      <c r="V587" s="8" t="s">
        <v>1877</v>
      </c>
    </row>
    <row r="588" spans="1:22">
      <c r="A588" s="8" t="s">
        <v>1878</v>
      </c>
      <c r="B588" s="8">
        <f t="shared" si="90"/>
        <v>1</v>
      </c>
      <c r="C588" s="8" t="str">
        <f t="shared" si="91"/>
        <v>Unique</v>
      </c>
      <c r="D588" s="9">
        <v>45995</v>
      </c>
      <c r="E588" s="8">
        <f t="shared" si="92"/>
        <v>0</v>
      </c>
      <c r="F588" s="10">
        <v>45995</v>
      </c>
      <c r="G588" s="8" t="s">
        <v>1879</v>
      </c>
      <c r="H588" s="8" t="s">
        <v>34</v>
      </c>
      <c r="I588" s="8" t="str">
        <f t="shared" si="99"/>
        <v>Mira Das</v>
      </c>
      <c r="J588" s="8" t="s">
        <v>93</v>
      </c>
      <c r="K588" s="8" t="str">
        <f t="shared" si="93"/>
        <v>Home Office</v>
      </c>
      <c r="L588" s="8" t="s">
        <v>23</v>
      </c>
      <c r="M588" s="8" t="str">
        <f t="shared" si="94"/>
        <v>North</v>
      </c>
      <c r="N588" s="8" t="s">
        <v>120</v>
      </c>
      <c r="O588" s="8" t="str">
        <f t="shared" si="95"/>
        <v>Punjab</v>
      </c>
      <c r="P588" s="8" t="s">
        <v>121</v>
      </c>
      <c r="Q588" s="8" t="str">
        <f t="shared" si="96"/>
        <v>Ludhiana</v>
      </c>
      <c r="R588" s="8" t="s">
        <v>26</v>
      </c>
      <c r="S588" s="8" t="str">
        <f t="shared" si="97"/>
        <v>Office Supplies</v>
      </c>
      <c r="T588" s="8" t="s">
        <v>151</v>
      </c>
      <c r="U588" s="8" t="str">
        <f t="shared" si="98"/>
        <v>Binders</v>
      </c>
      <c r="V588" s="8" t="s">
        <v>1880</v>
      </c>
    </row>
    <row r="589" spans="1:22">
      <c r="A589" s="8" t="s">
        <v>1881</v>
      </c>
      <c r="B589" s="8">
        <f t="shared" si="90"/>
        <v>1</v>
      </c>
      <c r="C589" s="8" t="str">
        <f t="shared" si="91"/>
        <v>Unique</v>
      </c>
      <c r="D589" s="9">
        <v>45861</v>
      </c>
      <c r="E589" s="8">
        <f t="shared" si="92"/>
        <v>8</v>
      </c>
      <c r="F589" s="10">
        <v>45869</v>
      </c>
      <c r="G589" s="8" t="s">
        <v>1882</v>
      </c>
      <c r="H589" s="8" t="s">
        <v>263</v>
      </c>
      <c r="I589" s="8" t="str">
        <f t="shared" si="99"/>
        <v>Kabir Singh</v>
      </c>
      <c r="J589" s="8" t="s">
        <v>93</v>
      </c>
      <c r="K589" s="8" t="str">
        <f t="shared" si="93"/>
        <v>Home Office</v>
      </c>
      <c r="L589" s="8" t="s">
        <v>61</v>
      </c>
      <c r="M589" s="8" t="str">
        <f t="shared" si="94"/>
        <v>West</v>
      </c>
      <c r="N589" s="8" t="s">
        <v>70</v>
      </c>
      <c r="O589" s="8" t="str">
        <f t="shared" si="95"/>
        <v>Madhya Pradesh</v>
      </c>
      <c r="P589" s="8" t="s">
        <v>71</v>
      </c>
      <c r="Q589" s="8" t="str">
        <f t="shared" si="96"/>
        <v>Indore</v>
      </c>
      <c r="R589" s="8" t="s">
        <v>72</v>
      </c>
      <c r="S589" s="8" t="str">
        <f t="shared" si="97"/>
        <v>Technology</v>
      </c>
      <c r="T589" s="8" t="s">
        <v>73</v>
      </c>
      <c r="U589" s="8" t="str">
        <f t="shared" si="98"/>
        <v>Accessories</v>
      </c>
      <c r="V589" s="8" t="s">
        <v>1883</v>
      </c>
    </row>
    <row r="590" spans="1:22">
      <c r="A590" s="8" t="s">
        <v>1884</v>
      </c>
      <c r="B590" s="8">
        <f t="shared" si="90"/>
        <v>1</v>
      </c>
      <c r="C590" s="8" t="str">
        <f t="shared" si="91"/>
        <v>Unique</v>
      </c>
      <c r="D590" s="9">
        <v>45964</v>
      </c>
      <c r="E590" s="8">
        <f t="shared" si="92"/>
        <v>-233</v>
      </c>
      <c r="F590" s="10">
        <v>45731</v>
      </c>
      <c r="G590" s="8" t="s">
        <v>1885</v>
      </c>
      <c r="H590" s="8" t="s">
        <v>126</v>
      </c>
      <c r="I590" s="8" t="str">
        <f t="shared" si="99"/>
        <v>Aarav Sharma</v>
      </c>
      <c r="J590" s="8" t="s">
        <v>93</v>
      </c>
      <c r="K590" s="8" t="str">
        <f t="shared" si="93"/>
        <v>Home Office</v>
      </c>
      <c r="L590" s="8" t="s">
        <v>52</v>
      </c>
      <c r="M590" s="8" t="str">
        <f t="shared" si="94"/>
        <v>South</v>
      </c>
      <c r="N590" s="8" t="s">
        <v>173</v>
      </c>
      <c r="O590" s="8" t="str">
        <f t="shared" si="95"/>
        <v>Karnataka</v>
      </c>
      <c r="P590" s="8" t="s">
        <v>174</v>
      </c>
      <c r="Q590" s="8" t="str">
        <f t="shared" si="96"/>
        <v>Bengaluru</v>
      </c>
      <c r="R590" s="8" t="s">
        <v>72</v>
      </c>
      <c r="S590" s="8" t="str">
        <f t="shared" si="97"/>
        <v>Technology</v>
      </c>
      <c r="T590" s="8" t="s">
        <v>73</v>
      </c>
      <c r="U590" s="8" t="str">
        <f t="shared" si="98"/>
        <v>Accessories</v>
      </c>
      <c r="V590" s="8" t="s">
        <v>1886</v>
      </c>
    </row>
    <row r="591" spans="1:22">
      <c r="A591" s="8" t="s">
        <v>1887</v>
      </c>
      <c r="B591" s="8">
        <f t="shared" si="90"/>
        <v>1</v>
      </c>
      <c r="C591" s="8" t="str">
        <f t="shared" si="91"/>
        <v>Unique</v>
      </c>
      <c r="D591" s="9">
        <v>45455</v>
      </c>
      <c r="E591" s="8">
        <f t="shared" si="92"/>
        <v>183</v>
      </c>
      <c r="F591" s="10">
        <v>45638</v>
      </c>
      <c r="G591" s="8" t="s">
        <v>1888</v>
      </c>
      <c r="H591" s="8" t="s">
        <v>139</v>
      </c>
      <c r="I591" s="8" t="str">
        <f t="shared" si="99"/>
        <v>Rohan Mehta</v>
      </c>
      <c r="J591" s="8" t="s">
        <v>88</v>
      </c>
      <c r="K591" s="8" t="str">
        <f t="shared" si="93"/>
        <v>Corporate</v>
      </c>
      <c r="L591" s="8" t="s">
        <v>23</v>
      </c>
      <c r="M591" s="8" t="str">
        <f t="shared" si="94"/>
        <v>North</v>
      </c>
      <c r="N591" s="8" t="s">
        <v>134</v>
      </c>
      <c r="O591" s="8" t="str">
        <f t="shared" si="95"/>
        <v>Uttar Pradesh</v>
      </c>
      <c r="P591" s="8" t="s">
        <v>135</v>
      </c>
      <c r="Q591" s="8" t="str">
        <f t="shared" si="96"/>
        <v>Noida</v>
      </c>
      <c r="R591" s="8" t="s">
        <v>72</v>
      </c>
      <c r="S591" s="8" t="str">
        <f t="shared" si="97"/>
        <v>Technology</v>
      </c>
      <c r="T591" s="8" t="s">
        <v>169</v>
      </c>
      <c r="U591" s="8" t="str">
        <f t="shared" si="98"/>
        <v>Phones</v>
      </c>
      <c r="V591" s="8" t="s">
        <v>1889</v>
      </c>
    </row>
    <row r="592" spans="1:22">
      <c r="A592" s="8" t="s">
        <v>1890</v>
      </c>
      <c r="B592" s="8">
        <f t="shared" si="90"/>
        <v>1</v>
      </c>
      <c r="C592" s="8" t="str">
        <f t="shared" si="91"/>
        <v>Unique</v>
      </c>
      <c r="D592" s="9">
        <v>45441</v>
      </c>
      <c r="E592" s="8">
        <f t="shared" si="92"/>
        <v>0</v>
      </c>
      <c r="F592" s="10">
        <v>45441</v>
      </c>
      <c r="G592" s="8" t="s">
        <v>1891</v>
      </c>
      <c r="H592" s="8" t="s">
        <v>126</v>
      </c>
      <c r="I592" s="8" t="str">
        <f t="shared" si="99"/>
        <v>Aarav Sharma</v>
      </c>
      <c r="J592" s="8" t="s">
        <v>93</v>
      </c>
      <c r="K592" s="8" t="str">
        <f t="shared" si="93"/>
        <v>Home Office</v>
      </c>
      <c r="L592" s="8" t="s">
        <v>23</v>
      </c>
      <c r="M592" s="8" t="str">
        <f t="shared" si="94"/>
        <v>North</v>
      </c>
      <c r="N592" s="8" t="s">
        <v>349</v>
      </c>
      <c r="O592" s="8" t="str">
        <f t="shared" si="95"/>
        <v>Delhi</v>
      </c>
      <c r="P592" s="8" t="s">
        <v>350</v>
      </c>
      <c r="Q592" s="8" t="str">
        <f t="shared" si="96"/>
        <v>New Delhi</v>
      </c>
      <c r="R592" s="8" t="s">
        <v>39</v>
      </c>
      <c r="S592" s="8" t="str">
        <f t="shared" si="97"/>
        <v>Furniture</v>
      </c>
      <c r="T592" s="8" t="s">
        <v>64</v>
      </c>
      <c r="U592" s="8" t="str">
        <f t="shared" si="98"/>
        <v>Chairs</v>
      </c>
      <c r="V592" s="8" t="s">
        <v>1892</v>
      </c>
    </row>
    <row r="593" spans="1:22">
      <c r="A593" s="8" t="s">
        <v>1893</v>
      </c>
      <c r="B593" s="8">
        <f t="shared" si="90"/>
        <v>1</v>
      </c>
      <c r="C593" s="8" t="str">
        <f t="shared" si="91"/>
        <v>Unique</v>
      </c>
      <c r="D593" s="9">
        <v>45344</v>
      </c>
      <c r="E593" s="8">
        <f t="shared" si="92"/>
        <v>2</v>
      </c>
      <c r="F593" s="10">
        <v>45346</v>
      </c>
      <c r="G593" s="8" t="s">
        <v>1894</v>
      </c>
      <c r="H593" s="8" t="s">
        <v>130</v>
      </c>
      <c r="I593" s="8" t="str">
        <f t="shared" si="99"/>
        <v>Sneha Kapoor</v>
      </c>
      <c r="J593" s="8" t="s">
        <v>22</v>
      </c>
      <c r="K593" s="8" t="str">
        <f t="shared" si="93"/>
        <v>Consumer</v>
      </c>
      <c r="L593" s="8" t="s">
        <v>52</v>
      </c>
      <c r="M593" s="8" t="str">
        <f t="shared" si="94"/>
        <v>South</v>
      </c>
      <c r="N593" s="8" t="s">
        <v>173</v>
      </c>
      <c r="O593" s="8" t="str">
        <f t="shared" si="95"/>
        <v>Karnataka</v>
      </c>
      <c r="P593" s="8" t="s">
        <v>174</v>
      </c>
      <c r="Q593" s="8" t="str">
        <f t="shared" si="96"/>
        <v>Bengaluru</v>
      </c>
      <c r="R593" s="8" t="s">
        <v>72</v>
      </c>
      <c r="S593" s="8" t="str">
        <f t="shared" si="97"/>
        <v>Technology</v>
      </c>
      <c r="T593" s="8" t="s">
        <v>78</v>
      </c>
      <c r="U593" s="8" t="str">
        <f t="shared" si="98"/>
        <v>Copiers</v>
      </c>
      <c r="V593" s="8" t="s">
        <v>1895</v>
      </c>
    </row>
    <row r="594" spans="1:22">
      <c r="A594" s="8" t="s">
        <v>1896</v>
      </c>
      <c r="B594" s="8">
        <f t="shared" si="90"/>
        <v>1</v>
      </c>
      <c r="C594" s="8" t="str">
        <f t="shared" si="91"/>
        <v>Unique</v>
      </c>
      <c r="D594" s="9">
        <v>45385</v>
      </c>
      <c r="E594" s="8">
        <f t="shared" si="92"/>
        <v>153</v>
      </c>
      <c r="F594" s="10">
        <v>45538</v>
      </c>
      <c r="G594" s="8" t="s">
        <v>1897</v>
      </c>
      <c r="H594" s="8" t="s">
        <v>34</v>
      </c>
      <c r="I594" s="8" t="str">
        <f t="shared" si="99"/>
        <v>Mira Das</v>
      </c>
      <c r="J594" s="8" t="s">
        <v>22</v>
      </c>
      <c r="K594" s="8" t="str">
        <f t="shared" si="93"/>
        <v>Consumer</v>
      </c>
      <c r="L594" s="8" t="s">
        <v>36</v>
      </c>
      <c r="M594" s="8" t="str">
        <f t="shared" si="94"/>
        <v>East</v>
      </c>
      <c r="N594" s="8" t="s">
        <v>97</v>
      </c>
      <c r="O594" s="8" t="str">
        <f t="shared" si="95"/>
        <v>West Bengal</v>
      </c>
      <c r="P594" s="8" t="s">
        <v>98</v>
      </c>
      <c r="Q594" s="8" t="str">
        <f t="shared" si="96"/>
        <v>Kolkata</v>
      </c>
      <c r="R594" s="8" t="s">
        <v>72</v>
      </c>
      <c r="S594" s="8" t="str">
        <f t="shared" si="97"/>
        <v>Technology</v>
      </c>
      <c r="T594" s="8" t="s">
        <v>73</v>
      </c>
      <c r="U594" s="8" t="str">
        <f t="shared" si="98"/>
        <v>Accessories</v>
      </c>
      <c r="V594" s="8" t="s">
        <v>1898</v>
      </c>
    </row>
    <row r="595" spans="1:22">
      <c r="A595" s="8" t="s">
        <v>1899</v>
      </c>
      <c r="B595" s="8">
        <f t="shared" si="90"/>
        <v>1</v>
      </c>
      <c r="C595" s="8" t="str">
        <f t="shared" si="91"/>
        <v>Unique</v>
      </c>
      <c r="D595" s="9">
        <v>45927</v>
      </c>
      <c r="E595" s="8">
        <f t="shared" si="92"/>
        <v>2</v>
      </c>
      <c r="F595" s="10">
        <v>45929</v>
      </c>
      <c r="G595" s="8" t="s">
        <v>1689</v>
      </c>
      <c r="H595" s="8" t="s">
        <v>51</v>
      </c>
      <c r="I595" s="8" t="str">
        <f t="shared" si="99"/>
        <v>Arjun Bose</v>
      </c>
      <c r="J595" s="8" t="s">
        <v>93</v>
      </c>
      <c r="K595" s="8" t="str">
        <f t="shared" si="93"/>
        <v>Home Office</v>
      </c>
      <c r="L595" s="8" t="s">
        <v>23</v>
      </c>
      <c r="M595" s="8" t="str">
        <f t="shared" si="94"/>
        <v>North</v>
      </c>
      <c r="N595" s="8" t="s">
        <v>134</v>
      </c>
      <c r="O595" s="8" t="str">
        <f t="shared" si="95"/>
        <v>Uttar Pradesh</v>
      </c>
      <c r="P595" s="8" t="s">
        <v>135</v>
      </c>
      <c r="Q595" s="8" t="str">
        <f t="shared" si="96"/>
        <v>Noida</v>
      </c>
      <c r="R595" s="8" t="s">
        <v>39</v>
      </c>
      <c r="S595" s="8" t="str">
        <f t="shared" si="97"/>
        <v>Furniture</v>
      </c>
      <c r="T595" s="8" t="s">
        <v>40</v>
      </c>
      <c r="U595" s="8" t="str">
        <f t="shared" si="98"/>
        <v>Tables</v>
      </c>
      <c r="V595" s="8" t="s">
        <v>1900</v>
      </c>
    </row>
    <row r="596" spans="1:22">
      <c r="A596" s="8" t="s">
        <v>1901</v>
      </c>
      <c r="B596" s="8">
        <f t="shared" si="90"/>
        <v>1</v>
      </c>
      <c r="C596" s="8" t="str">
        <f t="shared" si="91"/>
        <v>Unique</v>
      </c>
      <c r="D596" s="9">
        <v>45554</v>
      </c>
      <c r="E596" s="8">
        <f t="shared" si="92"/>
        <v>2</v>
      </c>
      <c r="F596" s="10">
        <v>45556</v>
      </c>
      <c r="G596" s="8" t="s">
        <v>1902</v>
      </c>
      <c r="H596" s="8" t="s">
        <v>21</v>
      </c>
      <c r="I596" s="8" t="str">
        <f t="shared" si="99"/>
        <v>Karan Malhotra</v>
      </c>
      <c r="J596" s="8" t="s">
        <v>35</v>
      </c>
      <c r="K596" s="8" t="str">
        <f t="shared" si="93"/>
        <v>Small Business</v>
      </c>
      <c r="L596" s="8" t="s">
        <v>36</v>
      </c>
      <c r="M596" s="8" t="str">
        <f t="shared" si="94"/>
        <v>East</v>
      </c>
      <c r="N596" s="8" t="s">
        <v>97</v>
      </c>
      <c r="O596" s="8" t="str">
        <f t="shared" si="95"/>
        <v>West Bengal</v>
      </c>
      <c r="P596" s="8" t="s">
        <v>98</v>
      </c>
      <c r="Q596" s="8" t="str">
        <f t="shared" si="96"/>
        <v>Kolkata</v>
      </c>
      <c r="R596" s="8" t="s">
        <v>39</v>
      </c>
      <c r="S596" s="8" t="str">
        <f t="shared" si="97"/>
        <v>Furniture</v>
      </c>
      <c r="T596" s="8" t="s">
        <v>64</v>
      </c>
      <c r="U596" s="8" t="str">
        <f t="shared" si="98"/>
        <v>Chairs</v>
      </c>
      <c r="V596" s="8" t="s">
        <v>1903</v>
      </c>
    </row>
    <row r="597" spans="1:22">
      <c r="A597" s="8" t="s">
        <v>1904</v>
      </c>
      <c r="B597" s="8">
        <f t="shared" si="90"/>
        <v>1</v>
      </c>
      <c r="C597" s="8" t="str">
        <f t="shared" si="91"/>
        <v>Unique</v>
      </c>
      <c r="D597" s="9">
        <v>45699</v>
      </c>
      <c r="E597" s="8">
        <f t="shared" si="92"/>
        <v>5</v>
      </c>
      <c r="F597" s="10">
        <v>45704</v>
      </c>
      <c r="G597" s="8" t="s">
        <v>1905</v>
      </c>
      <c r="H597" s="8" t="s">
        <v>34</v>
      </c>
      <c r="I597" s="8" t="str">
        <f t="shared" si="99"/>
        <v>Mira Das</v>
      </c>
      <c r="J597" s="8" t="s">
        <v>88</v>
      </c>
      <c r="K597" s="8" t="str">
        <f t="shared" si="93"/>
        <v>Corporate</v>
      </c>
      <c r="L597" s="8" t="s">
        <v>23</v>
      </c>
      <c r="M597" s="8" t="str">
        <f t="shared" si="94"/>
        <v>North</v>
      </c>
      <c r="N597" s="8" t="s">
        <v>134</v>
      </c>
      <c r="O597" s="8" t="str">
        <f t="shared" si="95"/>
        <v>Uttar Pradesh</v>
      </c>
      <c r="P597" s="8" t="s">
        <v>135</v>
      </c>
      <c r="Q597" s="8" t="str">
        <f t="shared" si="96"/>
        <v>Noida</v>
      </c>
      <c r="R597" s="8" t="s">
        <v>72</v>
      </c>
      <c r="S597" s="8" t="str">
        <f t="shared" si="97"/>
        <v>Technology</v>
      </c>
      <c r="T597" s="8" t="s">
        <v>169</v>
      </c>
      <c r="U597" s="8" t="str">
        <f t="shared" si="98"/>
        <v>Phones</v>
      </c>
      <c r="V597" s="8" t="s">
        <v>1906</v>
      </c>
    </row>
    <row r="598" spans="1:22">
      <c r="A598" s="8" t="s">
        <v>1907</v>
      </c>
      <c r="B598" s="8">
        <f t="shared" si="90"/>
        <v>1</v>
      </c>
      <c r="C598" s="8" t="str">
        <f t="shared" si="91"/>
        <v>Unique</v>
      </c>
      <c r="D598" s="9">
        <v>45569</v>
      </c>
      <c r="E598" s="8">
        <f t="shared" si="92"/>
        <v>-171</v>
      </c>
      <c r="F598" s="10">
        <v>45398</v>
      </c>
      <c r="G598" s="8" t="s">
        <v>1908</v>
      </c>
      <c r="H598" s="8" t="s">
        <v>87</v>
      </c>
      <c r="I598" s="8" t="str">
        <f t="shared" si="99"/>
        <v>Aditi Sen</v>
      </c>
      <c r="J598" s="8" t="s">
        <v>22</v>
      </c>
      <c r="K598" s="8" t="str">
        <f t="shared" si="93"/>
        <v>Consumer</v>
      </c>
      <c r="L598" s="8" t="s">
        <v>52</v>
      </c>
      <c r="M598" s="8" t="str">
        <f t="shared" si="94"/>
        <v>South</v>
      </c>
      <c r="N598" s="8" t="s">
        <v>183</v>
      </c>
      <c r="O598" s="8" t="str">
        <f t="shared" si="95"/>
        <v>Kerala</v>
      </c>
      <c r="P598" s="8" t="s">
        <v>184</v>
      </c>
      <c r="Q598" s="8" t="str">
        <f t="shared" si="96"/>
        <v>Kochi</v>
      </c>
      <c r="R598" s="8" t="s">
        <v>39</v>
      </c>
      <c r="S598" s="8" t="str">
        <f t="shared" si="97"/>
        <v>Furniture</v>
      </c>
      <c r="T598" s="8" t="s">
        <v>64</v>
      </c>
      <c r="U598" s="8" t="str">
        <f t="shared" si="98"/>
        <v>Chairs</v>
      </c>
      <c r="V598" s="8" t="s">
        <v>1909</v>
      </c>
    </row>
    <row r="599" spans="1:22">
      <c r="A599" s="8" t="s">
        <v>1910</v>
      </c>
      <c r="B599" s="8">
        <f t="shared" si="90"/>
        <v>1</v>
      </c>
      <c r="C599" s="8" t="str">
        <f t="shared" si="91"/>
        <v>Unique</v>
      </c>
      <c r="D599" s="9">
        <v>45876</v>
      </c>
      <c r="E599" s="8">
        <f t="shared" si="92"/>
        <v>-30</v>
      </c>
      <c r="F599" s="10">
        <v>45846</v>
      </c>
      <c r="G599" s="8" t="s">
        <v>1911</v>
      </c>
      <c r="H599" s="8" t="s">
        <v>87</v>
      </c>
      <c r="I599" s="8" t="str">
        <f t="shared" si="99"/>
        <v>Aditi Sen</v>
      </c>
      <c r="J599" s="8" t="s">
        <v>22</v>
      </c>
      <c r="K599" s="8" t="str">
        <f t="shared" si="93"/>
        <v>Consumer</v>
      </c>
      <c r="L599" s="8" t="s">
        <v>52</v>
      </c>
      <c r="M599" s="8" t="str">
        <f t="shared" si="94"/>
        <v>South</v>
      </c>
      <c r="N599" s="8" t="s">
        <v>53</v>
      </c>
      <c r="O599" s="8" t="str">
        <f t="shared" si="95"/>
        <v>Telangana</v>
      </c>
      <c r="P599" s="8" t="s">
        <v>54</v>
      </c>
      <c r="Q599" s="8" t="str">
        <f t="shared" si="96"/>
        <v>Hyderabad</v>
      </c>
      <c r="R599" s="8" t="s">
        <v>72</v>
      </c>
      <c r="S599" s="8" t="str">
        <f t="shared" si="97"/>
        <v>Technology</v>
      </c>
      <c r="T599" s="8" t="s">
        <v>78</v>
      </c>
      <c r="U599" s="8" t="str">
        <f t="shared" si="98"/>
        <v>Copiers</v>
      </c>
      <c r="V599" s="8" t="s">
        <v>1912</v>
      </c>
    </row>
    <row r="600" spans="1:22">
      <c r="A600" s="8" t="s">
        <v>1913</v>
      </c>
      <c r="B600" s="8">
        <f t="shared" si="90"/>
        <v>2</v>
      </c>
      <c r="C600" s="8" t="str">
        <f t="shared" si="91"/>
        <v>Review Duplicate ID</v>
      </c>
      <c r="D600" s="9">
        <v>45521</v>
      </c>
      <c r="E600" s="8">
        <f t="shared" si="92"/>
        <v>7</v>
      </c>
      <c r="F600" s="10">
        <v>45528</v>
      </c>
      <c r="G600" s="8" t="s">
        <v>1914</v>
      </c>
      <c r="H600" s="8" t="s">
        <v>60</v>
      </c>
      <c r="I600" s="8" t="str">
        <f t="shared" si="99"/>
        <v>Ananya Rao</v>
      </c>
      <c r="J600" s="8" t="s">
        <v>88</v>
      </c>
      <c r="K600" s="8" t="str">
        <f t="shared" si="93"/>
        <v>Corporate</v>
      </c>
      <c r="L600" s="8" t="s">
        <v>36</v>
      </c>
      <c r="M600" s="8" t="str">
        <f t="shared" si="94"/>
        <v>East</v>
      </c>
      <c r="N600" s="8" t="s">
        <v>97</v>
      </c>
      <c r="O600" s="8" t="str">
        <f t="shared" si="95"/>
        <v>West Bengal</v>
      </c>
      <c r="P600" s="8" t="s">
        <v>98</v>
      </c>
      <c r="Q600" s="8" t="str">
        <f t="shared" si="96"/>
        <v>Kolkata</v>
      </c>
      <c r="R600" s="8" t="s">
        <v>72</v>
      </c>
      <c r="S600" s="8" t="str">
        <f t="shared" si="97"/>
        <v>Technology</v>
      </c>
      <c r="T600" s="8" t="s">
        <v>78</v>
      </c>
      <c r="U600" s="8" t="str">
        <f t="shared" si="98"/>
        <v>Copiers</v>
      </c>
      <c r="V600" s="8" t="s">
        <v>1915</v>
      </c>
    </row>
    <row r="601" spans="1:22">
      <c r="A601" s="8" t="s">
        <v>1916</v>
      </c>
      <c r="B601" s="8">
        <f t="shared" si="90"/>
        <v>1</v>
      </c>
      <c r="C601" s="8" t="str">
        <f t="shared" si="91"/>
        <v>Unique</v>
      </c>
      <c r="D601" s="9">
        <v>45523</v>
      </c>
      <c r="E601" s="8">
        <f t="shared" si="92"/>
        <v>2</v>
      </c>
      <c r="F601" s="10">
        <v>45525</v>
      </c>
      <c r="G601" s="8" t="s">
        <v>1917</v>
      </c>
      <c r="H601" s="8" t="s">
        <v>51</v>
      </c>
      <c r="I601" s="8" t="str">
        <f t="shared" si="99"/>
        <v>Arjun Bose</v>
      </c>
      <c r="J601" s="8" t="s">
        <v>22</v>
      </c>
      <c r="K601" s="8" t="str">
        <f t="shared" si="93"/>
        <v>Consumer</v>
      </c>
      <c r="L601" s="8" t="s">
        <v>23</v>
      </c>
      <c r="M601" s="8" t="str">
        <f t="shared" si="94"/>
        <v>North</v>
      </c>
      <c r="N601" s="8" t="s">
        <v>120</v>
      </c>
      <c r="O601" s="8" t="str">
        <f t="shared" si="95"/>
        <v>Punjab</v>
      </c>
      <c r="P601" s="8" t="s">
        <v>121</v>
      </c>
      <c r="Q601" s="8" t="str">
        <f t="shared" si="96"/>
        <v>Ludhiana</v>
      </c>
      <c r="R601" s="8" t="s">
        <v>72</v>
      </c>
      <c r="S601" s="8" t="str">
        <f t="shared" si="97"/>
        <v>Technology</v>
      </c>
      <c r="T601" s="8" t="s">
        <v>169</v>
      </c>
      <c r="U601" s="8" t="str">
        <f t="shared" si="98"/>
        <v>Phones</v>
      </c>
      <c r="V601" s="8" t="s">
        <v>1918</v>
      </c>
    </row>
    <row r="602" spans="1:22">
      <c r="A602" s="8" t="s">
        <v>1919</v>
      </c>
      <c r="B602" s="8">
        <f t="shared" si="90"/>
        <v>1</v>
      </c>
      <c r="C602" s="8" t="str">
        <f t="shared" si="91"/>
        <v>Unique</v>
      </c>
      <c r="D602" s="9">
        <v>45780</v>
      </c>
      <c r="E602" s="8">
        <f t="shared" si="92"/>
        <v>214</v>
      </c>
      <c r="F602" s="10">
        <v>45994</v>
      </c>
      <c r="G602" s="8" t="s">
        <v>1920</v>
      </c>
      <c r="H602" s="8" t="s">
        <v>60</v>
      </c>
      <c r="I602" s="8" t="str">
        <f t="shared" si="99"/>
        <v>Ananya Rao</v>
      </c>
      <c r="J602" s="8" t="s">
        <v>88</v>
      </c>
      <c r="K602" s="8" t="str">
        <f t="shared" si="93"/>
        <v>Corporate</v>
      </c>
      <c r="L602" s="8" t="s">
        <v>61</v>
      </c>
      <c r="M602" s="8" t="str">
        <f t="shared" si="94"/>
        <v>West</v>
      </c>
      <c r="N602" s="8" t="s">
        <v>70</v>
      </c>
      <c r="O602" s="8" t="str">
        <f t="shared" si="95"/>
        <v>Madhya Pradesh</v>
      </c>
      <c r="P602" s="8" t="s">
        <v>71</v>
      </c>
      <c r="Q602" s="8" t="str">
        <f t="shared" si="96"/>
        <v>Indore</v>
      </c>
      <c r="R602" s="8" t="s">
        <v>26</v>
      </c>
      <c r="S602" s="8" t="str">
        <f t="shared" si="97"/>
        <v>Office Supplies</v>
      </c>
      <c r="T602" s="8" t="s">
        <v>122</v>
      </c>
      <c r="U602" s="8" t="str">
        <f t="shared" si="98"/>
        <v>Storage</v>
      </c>
      <c r="V602" s="8" t="s">
        <v>1921</v>
      </c>
    </row>
    <row r="603" spans="1:22">
      <c r="A603" s="8" t="s">
        <v>1922</v>
      </c>
      <c r="B603" s="8">
        <f t="shared" si="90"/>
        <v>1</v>
      </c>
      <c r="C603" s="8" t="str">
        <f t="shared" si="91"/>
        <v>Unique</v>
      </c>
      <c r="D603" s="9">
        <v>45317</v>
      </c>
      <c r="E603" s="8">
        <f t="shared" si="92"/>
        <v>5</v>
      </c>
      <c r="F603" s="10">
        <v>45322</v>
      </c>
      <c r="G603" s="8" t="s">
        <v>1923</v>
      </c>
      <c r="H603" s="8" t="s">
        <v>60</v>
      </c>
      <c r="I603" s="8" t="str">
        <f t="shared" si="99"/>
        <v>Ananya Rao</v>
      </c>
      <c r="J603" s="8" t="s">
        <v>93</v>
      </c>
      <c r="K603" s="8" t="str">
        <f t="shared" si="93"/>
        <v>Home Office</v>
      </c>
      <c r="L603" s="8" t="s">
        <v>36</v>
      </c>
      <c r="M603" s="8" t="str">
        <f t="shared" si="94"/>
        <v>East</v>
      </c>
      <c r="N603" s="8" t="s">
        <v>97</v>
      </c>
      <c r="O603" s="8" t="str">
        <f t="shared" si="95"/>
        <v>West Bengal</v>
      </c>
      <c r="P603" s="8" t="s">
        <v>98</v>
      </c>
      <c r="Q603" s="8" t="str">
        <f t="shared" si="96"/>
        <v>Kolkata</v>
      </c>
      <c r="R603" s="8" t="s">
        <v>26</v>
      </c>
      <c r="S603" s="8" t="str">
        <f t="shared" si="97"/>
        <v>Office Supplies</v>
      </c>
      <c r="T603" s="8" t="s">
        <v>27</v>
      </c>
      <c r="U603" s="8" t="str">
        <f t="shared" si="98"/>
        <v>Paper</v>
      </c>
      <c r="V603" s="8" t="s">
        <v>1924</v>
      </c>
    </row>
    <row r="604" spans="1:22">
      <c r="A604" s="8" t="s">
        <v>1925</v>
      </c>
      <c r="B604" s="8">
        <f t="shared" si="90"/>
        <v>1</v>
      </c>
      <c r="C604" s="8" t="str">
        <f t="shared" si="91"/>
        <v>Unique</v>
      </c>
      <c r="D604" s="9">
        <v>45588</v>
      </c>
      <c r="E604" s="8">
        <f t="shared" si="92"/>
        <v>7</v>
      </c>
      <c r="F604" s="10">
        <v>45595</v>
      </c>
      <c r="G604" s="8" t="s">
        <v>1926</v>
      </c>
      <c r="H604" s="8" t="s">
        <v>126</v>
      </c>
      <c r="I604" s="8" t="str">
        <f t="shared" si="99"/>
        <v>Aarav Sharma</v>
      </c>
      <c r="J604" s="8" t="s">
        <v>22</v>
      </c>
      <c r="K604" s="8" t="str">
        <f t="shared" si="93"/>
        <v>Consumer</v>
      </c>
      <c r="L604" s="8" t="s">
        <v>36</v>
      </c>
      <c r="M604" s="8" t="str">
        <f t="shared" si="94"/>
        <v>East</v>
      </c>
      <c r="N604" s="8" t="s">
        <v>227</v>
      </c>
      <c r="O604" s="8" t="str">
        <f t="shared" si="95"/>
        <v>Jharkhand</v>
      </c>
      <c r="P604" s="8" t="s">
        <v>228</v>
      </c>
      <c r="Q604" s="8" t="str">
        <f t="shared" si="96"/>
        <v>Ranchi</v>
      </c>
      <c r="R604" s="8" t="s">
        <v>72</v>
      </c>
      <c r="S604" s="8" t="str">
        <f t="shared" si="97"/>
        <v>Technology</v>
      </c>
      <c r="T604" s="8" t="s">
        <v>78</v>
      </c>
      <c r="U604" s="8" t="str">
        <f t="shared" si="98"/>
        <v>Copiers</v>
      </c>
      <c r="V604" s="8" t="s">
        <v>1927</v>
      </c>
    </row>
    <row r="605" spans="1:22">
      <c r="A605" s="8" t="s">
        <v>1928</v>
      </c>
      <c r="B605" s="8">
        <f t="shared" si="90"/>
        <v>1</v>
      </c>
      <c r="C605" s="8" t="str">
        <f t="shared" si="91"/>
        <v>Unique</v>
      </c>
      <c r="D605" s="9">
        <v>45660</v>
      </c>
      <c r="E605" s="8">
        <f t="shared" si="92"/>
        <v>302</v>
      </c>
      <c r="F605" s="10">
        <v>45962</v>
      </c>
      <c r="G605" s="8" t="s">
        <v>333</v>
      </c>
      <c r="H605" s="8" t="s">
        <v>69</v>
      </c>
      <c r="I605" s="8" t="str">
        <f t="shared" si="99"/>
        <v>Vikram Iyer</v>
      </c>
      <c r="J605" s="8" t="s">
        <v>88</v>
      </c>
      <c r="K605" s="8" t="str">
        <f t="shared" si="93"/>
        <v>Corporate</v>
      </c>
      <c r="L605" s="8" t="s">
        <v>36</v>
      </c>
      <c r="M605" s="8" t="str">
        <f t="shared" si="94"/>
        <v>East</v>
      </c>
      <c r="N605" s="8" t="s">
        <v>143</v>
      </c>
      <c r="O605" s="8" t="str">
        <f t="shared" si="95"/>
        <v>Bihar</v>
      </c>
      <c r="P605" s="8" t="s">
        <v>144</v>
      </c>
      <c r="Q605" s="8" t="str">
        <f t="shared" si="96"/>
        <v>Patna</v>
      </c>
      <c r="R605" s="8" t="s">
        <v>72</v>
      </c>
      <c r="S605" s="8" t="str">
        <f t="shared" si="97"/>
        <v>Technology</v>
      </c>
      <c r="T605" s="8" t="s">
        <v>73</v>
      </c>
      <c r="U605" s="8" t="str">
        <f t="shared" si="98"/>
        <v>Accessories</v>
      </c>
      <c r="V605" s="8" t="s">
        <v>1929</v>
      </c>
    </row>
    <row r="606" spans="1:22">
      <c r="A606" s="8" t="s">
        <v>1930</v>
      </c>
      <c r="B606" s="8">
        <f t="shared" si="90"/>
        <v>1</v>
      </c>
      <c r="C606" s="8" t="str">
        <f t="shared" si="91"/>
        <v>Unique</v>
      </c>
      <c r="D606" s="9">
        <v>45779</v>
      </c>
      <c r="E606" s="8">
        <f t="shared" si="92"/>
        <v>-85</v>
      </c>
      <c r="F606" s="10">
        <v>45694</v>
      </c>
      <c r="G606" s="8" t="s">
        <v>1931</v>
      </c>
      <c r="H606" s="8" t="s">
        <v>60</v>
      </c>
      <c r="I606" s="8" t="str">
        <f t="shared" si="99"/>
        <v>Ananya Rao</v>
      </c>
      <c r="J606" s="8" t="s">
        <v>22</v>
      </c>
      <c r="K606" s="8" t="str">
        <f t="shared" si="93"/>
        <v>Consumer</v>
      </c>
      <c r="L606" s="8" t="s">
        <v>61</v>
      </c>
      <c r="M606" s="8" t="str">
        <f t="shared" si="94"/>
        <v>West</v>
      </c>
      <c r="N606" s="8" t="s">
        <v>70</v>
      </c>
      <c r="O606" s="8" t="str">
        <f t="shared" si="95"/>
        <v>Madhya Pradesh</v>
      </c>
      <c r="P606" s="8" t="s">
        <v>71</v>
      </c>
      <c r="Q606" s="8" t="str">
        <f t="shared" si="96"/>
        <v>Indore</v>
      </c>
      <c r="R606" s="8" t="s">
        <v>26</v>
      </c>
      <c r="S606" s="8" t="str">
        <f t="shared" si="97"/>
        <v>Office Supplies</v>
      </c>
      <c r="T606" s="8" t="s">
        <v>151</v>
      </c>
      <c r="U606" s="8" t="str">
        <f t="shared" si="98"/>
        <v>Binders</v>
      </c>
      <c r="V606" s="8" t="s">
        <v>1932</v>
      </c>
    </row>
    <row r="607" spans="1:22">
      <c r="A607" s="8" t="s">
        <v>1933</v>
      </c>
      <c r="B607" s="8">
        <f t="shared" si="90"/>
        <v>1</v>
      </c>
      <c r="C607" s="8" t="str">
        <f t="shared" si="91"/>
        <v>Unique</v>
      </c>
      <c r="D607" s="9">
        <v>45907</v>
      </c>
      <c r="E607" s="8">
        <f t="shared" si="92"/>
        <v>-56</v>
      </c>
      <c r="F607" s="10">
        <v>45851</v>
      </c>
      <c r="G607" s="8" t="s">
        <v>1934</v>
      </c>
      <c r="H607" s="8" t="s">
        <v>263</v>
      </c>
      <c r="I607" s="8" t="str">
        <f t="shared" si="99"/>
        <v>Kabir Singh</v>
      </c>
      <c r="J607" s="8" t="s">
        <v>88</v>
      </c>
      <c r="K607" s="8" t="str">
        <f t="shared" si="93"/>
        <v>Corporate</v>
      </c>
      <c r="L607" s="8" t="s">
        <v>61</v>
      </c>
      <c r="M607" s="8" t="str">
        <f t="shared" si="94"/>
        <v>West</v>
      </c>
      <c r="N607" s="8" t="s">
        <v>188</v>
      </c>
      <c r="O607" s="8" t="str">
        <f t="shared" si="95"/>
        <v>Goa</v>
      </c>
      <c r="P607" s="8" t="s">
        <v>189</v>
      </c>
      <c r="Q607" s="8" t="str">
        <f t="shared" si="96"/>
        <v>Panaji</v>
      </c>
      <c r="R607" s="8" t="s">
        <v>39</v>
      </c>
      <c r="S607" s="8" t="str">
        <f t="shared" si="97"/>
        <v>Furniture</v>
      </c>
      <c r="T607" s="8" t="s">
        <v>55</v>
      </c>
      <c r="U607" s="8" t="str">
        <f t="shared" si="98"/>
        <v>Furnishings</v>
      </c>
      <c r="V607" s="8" t="s">
        <v>1935</v>
      </c>
    </row>
    <row r="608" spans="1:22">
      <c r="A608" s="8" t="s">
        <v>1936</v>
      </c>
      <c r="B608" s="8">
        <f t="shared" si="90"/>
        <v>1</v>
      </c>
      <c r="C608" s="8" t="str">
        <f t="shared" si="91"/>
        <v>Unique</v>
      </c>
      <c r="D608" s="9">
        <v>45710</v>
      </c>
      <c r="E608" s="8">
        <f t="shared" si="92"/>
        <v>6</v>
      </c>
      <c r="F608" s="10">
        <v>45716</v>
      </c>
      <c r="G608" s="8" t="s">
        <v>1937</v>
      </c>
      <c r="H608" s="8" t="s">
        <v>116</v>
      </c>
      <c r="I608" s="8" t="str">
        <f t="shared" si="99"/>
        <v>Rahul Verma</v>
      </c>
      <c r="J608" s="8" t="s">
        <v>93</v>
      </c>
      <c r="K608" s="8" t="str">
        <f t="shared" si="93"/>
        <v>Home Office</v>
      </c>
      <c r="L608" s="8" t="s">
        <v>61</v>
      </c>
      <c r="M608" s="8" t="str">
        <f t="shared" si="94"/>
        <v>West</v>
      </c>
      <c r="N608" s="8" t="s">
        <v>70</v>
      </c>
      <c r="O608" s="8" t="str">
        <f t="shared" si="95"/>
        <v>Madhya Pradesh</v>
      </c>
      <c r="P608" s="8" t="s">
        <v>71</v>
      </c>
      <c r="Q608" s="8" t="str">
        <f t="shared" si="96"/>
        <v>Indore</v>
      </c>
      <c r="R608" s="8" t="s">
        <v>72</v>
      </c>
      <c r="S608" s="8" t="str">
        <f t="shared" si="97"/>
        <v>Technology</v>
      </c>
      <c r="T608" s="8" t="s">
        <v>78</v>
      </c>
      <c r="U608" s="8" t="str">
        <f t="shared" si="98"/>
        <v>Copiers</v>
      </c>
      <c r="V608" s="8" t="s">
        <v>1938</v>
      </c>
    </row>
    <row r="609" spans="1:22">
      <c r="A609" s="8" t="s">
        <v>1939</v>
      </c>
      <c r="B609" s="8">
        <f t="shared" si="90"/>
        <v>1</v>
      </c>
      <c r="C609" s="8" t="str">
        <f t="shared" si="91"/>
        <v>Unique</v>
      </c>
      <c r="D609" s="9">
        <v>45704</v>
      </c>
      <c r="E609" s="8">
        <f t="shared" si="92"/>
        <v>6</v>
      </c>
      <c r="F609" s="10">
        <v>45710</v>
      </c>
      <c r="G609" s="8" t="s">
        <v>1940</v>
      </c>
      <c r="H609" s="8" t="s">
        <v>130</v>
      </c>
      <c r="I609" s="8" t="str">
        <f t="shared" si="99"/>
        <v>Sneha Kapoor</v>
      </c>
      <c r="J609" s="8" t="s">
        <v>93</v>
      </c>
      <c r="K609" s="8" t="str">
        <f t="shared" si="93"/>
        <v>Home Office</v>
      </c>
      <c r="L609" s="8" t="s">
        <v>36</v>
      </c>
      <c r="M609" s="8" t="str">
        <f t="shared" si="94"/>
        <v>East</v>
      </c>
      <c r="N609" s="8" t="s">
        <v>143</v>
      </c>
      <c r="O609" s="8" t="str">
        <f t="shared" si="95"/>
        <v>Bihar</v>
      </c>
      <c r="P609" s="8" t="s">
        <v>144</v>
      </c>
      <c r="Q609" s="8" t="str">
        <f t="shared" si="96"/>
        <v>Patna</v>
      </c>
      <c r="R609" s="8" t="s">
        <v>26</v>
      </c>
      <c r="S609" s="8" t="str">
        <f t="shared" si="97"/>
        <v>Office Supplies</v>
      </c>
      <c r="T609" s="8" t="s">
        <v>122</v>
      </c>
      <c r="U609" s="8" t="str">
        <f t="shared" si="98"/>
        <v>Storage</v>
      </c>
      <c r="V609" s="8" t="s">
        <v>1941</v>
      </c>
    </row>
    <row r="610" spans="1:22">
      <c r="A610" s="8" t="s">
        <v>1942</v>
      </c>
      <c r="B610" s="8">
        <f t="shared" si="90"/>
        <v>1</v>
      </c>
      <c r="C610" s="8" t="str">
        <f t="shared" si="91"/>
        <v>Unique</v>
      </c>
      <c r="D610" s="9">
        <v>45464</v>
      </c>
      <c r="E610" s="8">
        <f t="shared" si="92"/>
        <v>2</v>
      </c>
      <c r="F610" s="10">
        <v>45466</v>
      </c>
      <c r="G610" s="8" t="s">
        <v>1718</v>
      </c>
      <c r="H610" s="8" t="s">
        <v>21</v>
      </c>
      <c r="I610" s="8" t="str">
        <f t="shared" si="99"/>
        <v>Karan Malhotra</v>
      </c>
      <c r="J610" s="8" t="s">
        <v>93</v>
      </c>
      <c r="K610" s="8" t="str">
        <f t="shared" si="93"/>
        <v>Home Office</v>
      </c>
      <c r="L610" s="8" t="s">
        <v>61</v>
      </c>
      <c r="M610" s="8" t="str">
        <f t="shared" si="94"/>
        <v>West</v>
      </c>
      <c r="N610" s="8" t="s">
        <v>188</v>
      </c>
      <c r="O610" s="8" t="str">
        <f t="shared" si="95"/>
        <v>Goa</v>
      </c>
      <c r="P610" s="8" t="s">
        <v>189</v>
      </c>
      <c r="Q610" s="8" t="str">
        <f t="shared" si="96"/>
        <v>Panaji</v>
      </c>
      <c r="R610" s="8" t="s">
        <v>39</v>
      </c>
      <c r="S610" s="8" t="str">
        <f t="shared" si="97"/>
        <v>Furniture</v>
      </c>
      <c r="T610" s="8" t="s">
        <v>55</v>
      </c>
      <c r="U610" s="8" t="str">
        <f t="shared" si="98"/>
        <v>Furnishings</v>
      </c>
      <c r="V610" s="8" t="s">
        <v>1943</v>
      </c>
    </row>
    <row r="611" spans="1:22">
      <c r="A611" s="8" t="s">
        <v>1944</v>
      </c>
      <c r="B611" s="8">
        <f t="shared" si="90"/>
        <v>1</v>
      </c>
      <c r="C611" s="8" t="str">
        <f t="shared" si="91"/>
        <v>Unique</v>
      </c>
      <c r="D611" s="9">
        <v>45870</v>
      </c>
      <c r="E611" s="8">
        <f t="shared" si="92"/>
        <v>122</v>
      </c>
      <c r="F611" s="10">
        <v>45992</v>
      </c>
      <c r="G611" s="8" t="s">
        <v>1945</v>
      </c>
      <c r="H611" s="8" t="s">
        <v>130</v>
      </c>
      <c r="I611" s="8" t="str">
        <f t="shared" si="99"/>
        <v>Sneha Kapoor</v>
      </c>
      <c r="J611" s="8" t="s">
        <v>93</v>
      </c>
      <c r="K611" s="8" t="str">
        <f t="shared" si="93"/>
        <v>Home Office</v>
      </c>
      <c r="L611" s="8" t="s">
        <v>52</v>
      </c>
      <c r="M611" s="8" t="str">
        <f t="shared" si="94"/>
        <v>South</v>
      </c>
      <c r="N611" s="8" t="s">
        <v>173</v>
      </c>
      <c r="O611" s="8" t="str">
        <f t="shared" si="95"/>
        <v>Karnataka</v>
      </c>
      <c r="P611" s="8" t="s">
        <v>174</v>
      </c>
      <c r="Q611" s="8" t="str">
        <f t="shared" si="96"/>
        <v>Bengaluru</v>
      </c>
      <c r="R611" s="8" t="s">
        <v>39</v>
      </c>
      <c r="S611" s="8" t="str">
        <f t="shared" si="97"/>
        <v>Furniture</v>
      </c>
      <c r="T611" s="8" t="s">
        <v>64</v>
      </c>
      <c r="U611" s="8" t="str">
        <f t="shared" si="98"/>
        <v>Chairs</v>
      </c>
      <c r="V611" s="8" t="s">
        <v>1946</v>
      </c>
    </row>
    <row r="612" spans="1:22">
      <c r="A612" s="8" t="s">
        <v>1947</v>
      </c>
      <c r="B612" s="8">
        <f t="shared" si="90"/>
        <v>1</v>
      </c>
      <c r="C612" s="8" t="str">
        <f t="shared" si="91"/>
        <v>Unique</v>
      </c>
      <c r="D612" s="9">
        <v>45432</v>
      </c>
      <c r="E612" s="8">
        <f t="shared" si="92"/>
        <v>0</v>
      </c>
      <c r="F612" s="10">
        <v>45432</v>
      </c>
      <c r="G612" s="8" t="s">
        <v>1386</v>
      </c>
      <c r="H612" s="8" t="s">
        <v>21</v>
      </c>
      <c r="I612" s="8" t="str">
        <f t="shared" si="99"/>
        <v>Karan Malhotra</v>
      </c>
      <c r="J612" s="8" t="s">
        <v>93</v>
      </c>
      <c r="K612" s="8" t="str">
        <f t="shared" si="93"/>
        <v>Home Office</v>
      </c>
      <c r="L612" s="8" t="s">
        <v>61</v>
      </c>
      <c r="M612" s="8" t="str">
        <f t="shared" si="94"/>
        <v>West</v>
      </c>
      <c r="N612" s="8" t="s">
        <v>70</v>
      </c>
      <c r="O612" s="8" t="str">
        <f t="shared" si="95"/>
        <v>Madhya Pradesh</v>
      </c>
      <c r="P612" s="8" t="s">
        <v>71</v>
      </c>
      <c r="Q612" s="8" t="str">
        <f t="shared" si="96"/>
        <v>Indore</v>
      </c>
      <c r="R612" s="8" t="s">
        <v>39</v>
      </c>
      <c r="S612" s="8" t="str">
        <f t="shared" si="97"/>
        <v>Furniture</v>
      </c>
      <c r="T612" s="8" t="s">
        <v>64</v>
      </c>
      <c r="U612" s="8" t="str">
        <f t="shared" si="98"/>
        <v>Chairs</v>
      </c>
      <c r="V612" s="8" t="s">
        <v>1948</v>
      </c>
    </row>
    <row r="613" spans="1:22">
      <c r="A613" s="8" t="s">
        <v>1949</v>
      </c>
      <c r="B613" s="8">
        <f t="shared" si="90"/>
        <v>1</v>
      </c>
      <c r="C613" s="8" t="str">
        <f t="shared" si="91"/>
        <v>Unique</v>
      </c>
      <c r="D613" s="9">
        <v>45876</v>
      </c>
      <c r="E613" s="8">
        <f t="shared" si="92"/>
        <v>-23</v>
      </c>
      <c r="F613" s="10">
        <v>45853</v>
      </c>
      <c r="G613" s="8" t="s">
        <v>1950</v>
      </c>
      <c r="H613" s="8" t="s">
        <v>60</v>
      </c>
      <c r="I613" s="8" t="str">
        <f t="shared" si="99"/>
        <v>Ananya Rao</v>
      </c>
      <c r="J613" s="8" t="s">
        <v>35</v>
      </c>
      <c r="K613" s="8" t="str">
        <f t="shared" si="93"/>
        <v>Small Business</v>
      </c>
      <c r="L613" s="8" t="s">
        <v>23</v>
      </c>
      <c r="M613" s="8" t="str">
        <f t="shared" si="94"/>
        <v>North</v>
      </c>
      <c r="N613" s="8" t="s">
        <v>24</v>
      </c>
      <c r="O613" s="8" t="str">
        <f t="shared" si="95"/>
        <v>Rajasthan</v>
      </c>
      <c r="P613" s="8" t="s">
        <v>25</v>
      </c>
      <c r="Q613" s="8" t="str">
        <f t="shared" si="96"/>
        <v>Jaipur</v>
      </c>
      <c r="R613" s="8" t="s">
        <v>26</v>
      </c>
      <c r="S613" s="8" t="str">
        <f t="shared" si="97"/>
        <v>Office Supplies</v>
      </c>
      <c r="T613" s="8" t="s">
        <v>151</v>
      </c>
      <c r="U613" s="8" t="str">
        <f t="shared" si="98"/>
        <v>Binders</v>
      </c>
      <c r="V613" s="8" t="s">
        <v>1951</v>
      </c>
    </row>
    <row r="614" spans="1:22">
      <c r="A614" s="8" t="s">
        <v>1952</v>
      </c>
      <c r="B614" s="8">
        <f t="shared" si="90"/>
        <v>1</v>
      </c>
      <c r="C614" s="8" t="str">
        <f t="shared" si="91"/>
        <v>Unique</v>
      </c>
      <c r="D614" s="9">
        <v>45812</v>
      </c>
      <c r="E614" s="8">
        <f t="shared" si="92"/>
        <v>-52</v>
      </c>
      <c r="F614" s="10">
        <v>45760</v>
      </c>
      <c r="G614" s="8" t="s">
        <v>1953</v>
      </c>
      <c r="H614" s="8" t="s">
        <v>87</v>
      </c>
      <c r="I614" s="8" t="str">
        <f t="shared" si="99"/>
        <v>Aditi Sen</v>
      </c>
      <c r="J614" s="8" t="s">
        <v>22</v>
      </c>
      <c r="K614" s="8" t="str">
        <f t="shared" si="93"/>
        <v>Consumer</v>
      </c>
      <c r="M614" s="8" t="str">
        <f t="shared" si="94"/>
        <v/>
      </c>
      <c r="N614" s="8" t="s">
        <v>37</v>
      </c>
      <c r="O614" s="8" t="str">
        <f t="shared" si="95"/>
        <v>Odisha</v>
      </c>
      <c r="P614" s="8" t="s">
        <v>38</v>
      </c>
      <c r="Q614" s="8" t="str">
        <f t="shared" si="96"/>
        <v>Bhubaneswar</v>
      </c>
      <c r="R614" s="8" t="s">
        <v>72</v>
      </c>
      <c r="S614" s="8" t="str">
        <f t="shared" si="97"/>
        <v>Technology</v>
      </c>
      <c r="T614" s="8" t="s">
        <v>169</v>
      </c>
      <c r="U614" s="8" t="str">
        <f t="shared" si="98"/>
        <v>Phones</v>
      </c>
      <c r="V614" s="8" t="s">
        <v>1954</v>
      </c>
    </row>
    <row r="615" spans="1:22">
      <c r="A615" s="8" t="s">
        <v>1955</v>
      </c>
      <c r="B615" s="8">
        <f t="shared" si="90"/>
        <v>1</v>
      </c>
      <c r="C615" s="8" t="str">
        <f t="shared" si="91"/>
        <v>Unique</v>
      </c>
      <c r="D615" s="9">
        <v>45422</v>
      </c>
      <c r="E615" s="8">
        <f t="shared" si="92"/>
        <v>153</v>
      </c>
      <c r="F615" s="10">
        <v>45575</v>
      </c>
      <c r="G615" s="8" t="s">
        <v>1956</v>
      </c>
      <c r="H615" s="8" t="s">
        <v>160</v>
      </c>
      <c r="I615" s="8" t="str">
        <f t="shared" si="99"/>
        <v>Diya Patel</v>
      </c>
      <c r="J615" s="8" t="s">
        <v>93</v>
      </c>
      <c r="K615" s="8" t="str">
        <f t="shared" si="93"/>
        <v>Home Office</v>
      </c>
      <c r="L615" s="8" t="s">
        <v>61</v>
      </c>
      <c r="M615" s="8" t="str">
        <f t="shared" si="94"/>
        <v>West</v>
      </c>
      <c r="N615" s="8" t="s">
        <v>178</v>
      </c>
      <c r="O615" s="8" t="str">
        <f t="shared" si="95"/>
        <v>Gujarat</v>
      </c>
      <c r="P615" s="8" t="s">
        <v>179</v>
      </c>
      <c r="Q615" s="8" t="str">
        <f t="shared" si="96"/>
        <v>Ahmedabad</v>
      </c>
      <c r="R615" s="8" t="s">
        <v>72</v>
      </c>
      <c r="S615" s="8" t="str">
        <f t="shared" si="97"/>
        <v>Technology</v>
      </c>
      <c r="T615" s="8" t="s">
        <v>273</v>
      </c>
      <c r="U615" s="8" t="str">
        <f t="shared" si="98"/>
        <v>Machines</v>
      </c>
      <c r="V615" s="8" t="s">
        <v>1957</v>
      </c>
    </row>
    <row r="616" spans="1:22">
      <c r="A616" s="8" t="s">
        <v>1958</v>
      </c>
      <c r="B616" s="8">
        <f t="shared" si="90"/>
        <v>1</v>
      </c>
      <c r="C616" s="8" t="str">
        <f t="shared" si="91"/>
        <v>Unique</v>
      </c>
      <c r="D616" s="9">
        <v>45598</v>
      </c>
      <c r="E616" s="8">
        <f t="shared" si="92"/>
        <v>-257</v>
      </c>
      <c r="F616" s="10">
        <v>45341</v>
      </c>
      <c r="G616" s="8" t="s">
        <v>1959</v>
      </c>
      <c r="H616" s="8" t="s">
        <v>60</v>
      </c>
      <c r="I616" s="8" t="str">
        <f t="shared" si="99"/>
        <v>Ananya Rao</v>
      </c>
      <c r="J616" s="8" t="s">
        <v>93</v>
      </c>
      <c r="K616" s="8" t="str">
        <f t="shared" si="93"/>
        <v>Home Office</v>
      </c>
      <c r="L616" s="8" t="s">
        <v>52</v>
      </c>
      <c r="M616" s="8" t="str">
        <f t="shared" si="94"/>
        <v>South</v>
      </c>
      <c r="N616" s="8" t="s">
        <v>53</v>
      </c>
      <c r="O616" s="8" t="str">
        <f t="shared" si="95"/>
        <v>Telangana</v>
      </c>
      <c r="P616" s="8" t="s">
        <v>54</v>
      </c>
      <c r="Q616" s="8" t="str">
        <f t="shared" si="96"/>
        <v>Hyderabad</v>
      </c>
      <c r="R616" s="8" t="s">
        <v>39</v>
      </c>
      <c r="S616" s="8" t="str">
        <f t="shared" si="97"/>
        <v>Furniture</v>
      </c>
      <c r="T616" s="8" t="s">
        <v>64</v>
      </c>
      <c r="U616" s="8" t="str">
        <f t="shared" si="98"/>
        <v>Chairs</v>
      </c>
      <c r="V616" s="8" t="s">
        <v>1960</v>
      </c>
    </row>
    <row r="617" spans="1:22">
      <c r="A617" s="8" t="s">
        <v>1961</v>
      </c>
      <c r="B617" s="8">
        <f t="shared" si="90"/>
        <v>1</v>
      </c>
      <c r="C617" s="8" t="str">
        <f t="shared" si="91"/>
        <v>Unique</v>
      </c>
      <c r="D617" s="9">
        <v>45392</v>
      </c>
      <c r="E617" s="8">
        <f t="shared" si="92"/>
        <v>180</v>
      </c>
      <c r="F617" s="10">
        <v>45572</v>
      </c>
      <c r="G617" s="8" t="s">
        <v>1962</v>
      </c>
      <c r="H617" s="8" t="s">
        <v>116</v>
      </c>
      <c r="I617" s="8" t="str">
        <f t="shared" si="99"/>
        <v>Rahul Verma</v>
      </c>
      <c r="J617" s="8" t="s">
        <v>88</v>
      </c>
      <c r="K617" s="8" t="str">
        <f t="shared" si="93"/>
        <v>Corporate</v>
      </c>
      <c r="L617" s="8" t="s">
        <v>52</v>
      </c>
      <c r="M617" s="8" t="str">
        <f t="shared" si="94"/>
        <v>South</v>
      </c>
      <c r="N617" s="8" t="s">
        <v>183</v>
      </c>
      <c r="O617" s="8" t="str">
        <f t="shared" si="95"/>
        <v>Kerala</v>
      </c>
      <c r="P617" s="8" t="s">
        <v>184</v>
      </c>
      <c r="Q617" s="8" t="str">
        <f t="shared" si="96"/>
        <v>Kochi</v>
      </c>
      <c r="R617" s="8" t="s">
        <v>26</v>
      </c>
      <c r="S617" s="8" t="str">
        <f t="shared" si="97"/>
        <v>Office Supplies</v>
      </c>
      <c r="T617" s="8" t="s">
        <v>46</v>
      </c>
      <c r="U617" s="8" t="str">
        <f t="shared" si="98"/>
        <v>Art</v>
      </c>
      <c r="V617" s="8" t="s">
        <v>1963</v>
      </c>
    </row>
    <row r="618" spans="1:22">
      <c r="A618" s="8" t="s">
        <v>1964</v>
      </c>
      <c r="B618" s="8">
        <f t="shared" si="90"/>
        <v>1</v>
      </c>
      <c r="C618" s="8" t="str">
        <f t="shared" si="91"/>
        <v>Unique</v>
      </c>
      <c r="D618" s="9">
        <v>45520</v>
      </c>
      <c r="E618" s="8">
        <f t="shared" si="92"/>
        <v>3</v>
      </c>
      <c r="F618" s="10">
        <v>45523</v>
      </c>
      <c r="G618" s="8" t="s">
        <v>1965</v>
      </c>
      <c r="H618" s="8" t="s">
        <v>263</v>
      </c>
      <c r="I618" s="8" t="str">
        <f t="shared" si="99"/>
        <v>Kabir Singh</v>
      </c>
      <c r="J618" s="8" t="s">
        <v>22</v>
      </c>
      <c r="K618" s="8" t="str">
        <f t="shared" si="93"/>
        <v>Consumer</v>
      </c>
      <c r="L618" s="8" t="s">
        <v>52</v>
      </c>
      <c r="M618" s="8" t="str">
        <f t="shared" si="94"/>
        <v>South</v>
      </c>
      <c r="N618" s="8" t="s">
        <v>53</v>
      </c>
      <c r="O618" s="8" t="str">
        <f t="shared" si="95"/>
        <v>Telangana</v>
      </c>
      <c r="P618" s="8" t="s">
        <v>54</v>
      </c>
      <c r="Q618" s="8" t="str">
        <f t="shared" si="96"/>
        <v>Hyderabad</v>
      </c>
      <c r="R618" s="8" t="s">
        <v>26</v>
      </c>
      <c r="S618" s="8" t="str">
        <f t="shared" si="97"/>
        <v>Office Supplies</v>
      </c>
      <c r="T618" s="8" t="s">
        <v>27</v>
      </c>
      <c r="U618" s="8" t="str">
        <f t="shared" si="98"/>
        <v>Paper</v>
      </c>
      <c r="V618" s="8" t="s">
        <v>1966</v>
      </c>
    </row>
    <row r="619" spans="1:22">
      <c r="A619" s="8" t="s">
        <v>1967</v>
      </c>
      <c r="B619" s="8">
        <f t="shared" si="90"/>
        <v>1</v>
      </c>
      <c r="C619" s="8" t="str">
        <f t="shared" si="91"/>
        <v>Unique</v>
      </c>
      <c r="D619" s="9">
        <v>45564</v>
      </c>
      <c r="E619" s="8">
        <f t="shared" si="92"/>
        <v>1</v>
      </c>
      <c r="F619" s="10">
        <v>45565</v>
      </c>
      <c r="G619" s="8" t="s">
        <v>1968</v>
      </c>
      <c r="H619" s="8" t="s">
        <v>34</v>
      </c>
      <c r="I619" s="8" t="str">
        <f t="shared" si="99"/>
        <v>Mira Das</v>
      </c>
      <c r="J619" s="8" t="s">
        <v>93</v>
      </c>
      <c r="K619" s="8" t="str">
        <f t="shared" si="93"/>
        <v>Home Office</v>
      </c>
      <c r="L619" s="8" t="s">
        <v>52</v>
      </c>
      <c r="M619" s="8" t="str">
        <f t="shared" si="94"/>
        <v>South</v>
      </c>
      <c r="N619" s="8" t="s">
        <v>53</v>
      </c>
      <c r="O619" s="8" t="str">
        <f t="shared" si="95"/>
        <v>Telangana</v>
      </c>
      <c r="P619" s="8" t="s">
        <v>54</v>
      </c>
      <c r="Q619" s="8" t="str">
        <f t="shared" si="96"/>
        <v>Hyderabad</v>
      </c>
      <c r="R619" s="8" t="s">
        <v>72</v>
      </c>
      <c r="S619" s="8" t="str">
        <f t="shared" si="97"/>
        <v>Technology</v>
      </c>
      <c r="T619" s="8" t="s">
        <v>169</v>
      </c>
      <c r="U619" s="8" t="str">
        <f t="shared" si="98"/>
        <v>Phones</v>
      </c>
      <c r="V619" s="8" t="s">
        <v>1969</v>
      </c>
    </row>
    <row r="620" spans="1:22">
      <c r="A620" s="8" t="s">
        <v>1970</v>
      </c>
      <c r="B620" s="8">
        <f t="shared" si="90"/>
        <v>1</v>
      </c>
      <c r="C620" s="8" t="str">
        <f t="shared" si="91"/>
        <v>Unique</v>
      </c>
      <c r="D620" s="9">
        <v>45496</v>
      </c>
      <c r="E620" s="8">
        <f t="shared" si="92"/>
        <v>7</v>
      </c>
      <c r="F620" s="10">
        <v>45503</v>
      </c>
      <c r="G620" s="8" t="s">
        <v>1971</v>
      </c>
      <c r="H620" s="8" t="s">
        <v>263</v>
      </c>
      <c r="I620" s="8" t="str">
        <f t="shared" si="99"/>
        <v>Kabir Singh</v>
      </c>
      <c r="J620" s="8" t="s">
        <v>88</v>
      </c>
      <c r="K620" s="8" t="str">
        <f t="shared" si="93"/>
        <v>Corporate</v>
      </c>
      <c r="L620" s="8" t="s">
        <v>23</v>
      </c>
      <c r="M620" s="8" t="str">
        <f t="shared" si="94"/>
        <v>North</v>
      </c>
      <c r="N620" s="8" t="s">
        <v>24</v>
      </c>
      <c r="O620" s="8" t="str">
        <f t="shared" si="95"/>
        <v>Rajasthan</v>
      </c>
      <c r="P620" s="8" t="s">
        <v>25</v>
      </c>
      <c r="Q620" s="8" t="str">
        <f t="shared" si="96"/>
        <v>Jaipur</v>
      </c>
      <c r="R620" s="8" t="s">
        <v>39</v>
      </c>
      <c r="S620" s="8" t="str">
        <f t="shared" si="97"/>
        <v>Furniture</v>
      </c>
      <c r="T620" s="8" t="s">
        <v>40</v>
      </c>
      <c r="U620" s="8" t="str">
        <f t="shared" si="98"/>
        <v>Tables</v>
      </c>
      <c r="V620" s="8" t="s">
        <v>1972</v>
      </c>
    </row>
    <row r="621" spans="1:22">
      <c r="A621" s="8" t="s">
        <v>1973</v>
      </c>
      <c r="B621" s="8">
        <f t="shared" si="90"/>
        <v>1</v>
      </c>
      <c r="C621" s="8" t="str">
        <f t="shared" si="91"/>
        <v>Unique</v>
      </c>
      <c r="D621" s="9">
        <v>45618</v>
      </c>
      <c r="E621" s="8">
        <f t="shared" si="92"/>
        <v>5</v>
      </c>
      <c r="F621" s="10">
        <v>45623</v>
      </c>
      <c r="G621" s="8" t="s">
        <v>1974</v>
      </c>
      <c r="H621" s="8" t="s">
        <v>112</v>
      </c>
      <c r="I621" s="8" t="str">
        <f t="shared" si="99"/>
        <v>Priya Menon</v>
      </c>
      <c r="J621" s="8" t="s">
        <v>88</v>
      </c>
      <c r="K621" s="8" t="str">
        <f t="shared" si="93"/>
        <v>Corporate</v>
      </c>
      <c r="L621" s="8" t="s">
        <v>52</v>
      </c>
      <c r="M621" s="8" t="str">
        <f t="shared" si="94"/>
        <v>South</v>
      </c>
      <c r="N621" s="8" t="s">
        <v>246</v>
      </c>
      <c r="O621" s="8" t="str">
        <f t="shared" si="95"/>
        <v>Tamil Nadu</v>
      </c>
      <c r="P621" s="8" t="s">
        <v>247</v>
      </c>
      <c r="Q621" s="8" t="str">
        <f t="shared" si="96"/>
        <v>Chennai</v>
      </c>
      <c r="R621" s="8" t="s">
        <v>26</v>
      </c>
      <c r="S621" s="8" t="str">
        <f t="shared" si="97"/>
        <v>Office Supplies</v>
      </c>
      <c r="T621" s="8" t="s">
        <v>151</v>
      </c>
      <c r="U621" s="8" t="str">
        <f t="shared" si="98"/>
        <v>Binders</v>
      </c>
      <c r="V621" s="8" t="s">
        <v>1975</v>
      </c>
    </row>
    <row r="622" spans="1:22">
      <c r="A622" s="8" t="s">
        <v>1976</v>
      </c>
      <c r="B622" s="8">
        <f t="shared" si="90"/>
        <v>1</v>
      </c>
      <c r="C622" s="8" t="str">
        <f t="shared" si="91"/>
        <v>Unique</v>
      </c>
      <c r="D622" s="9">
        <v>45522</v>
      </c>
      <c r="E622" s="8">
        <f t="shared" si="92"/>
        <v>3</v>
      </c>
      <c r="F622" s="10">
        <v>45525</v>
      </c>
      <c r="G622" s="8" t="s">
        <v>1977</v>
      </c>
      <c r="H622" s="8" t="s">
        <v>69</v>
      </c>
      <c r="I622" s="8" t="str">
        <f t="shared" si="99"/>
        <v>Vikram Iyer</v>
      </c>
      <c r="J622" s="8" t="s">
        <v>22</v>
      </c>
      <c r="K622" s="8" t="str">
        <f t="shared" si="93"/>
        <v>Consumer</v>
      </c>
      <c r="L622" s="8" t="s">
        <v>23</v>
      </c>
      <c r="M622" s="8" t="str">
        <f t="shared" si="94"/>
        <v>North</v>
      </c>
      <c r="N622" s="8" t="s">
        <v>134</v>
      </c>
      <c r="O622" s="8" t="str">
        <f t="shared" si="95"/>
        <v>Uttar Pradesh</v>
      </c>
      <c r="P622" s="8" t="s">
        <v>135</v>
      </c>
      <c r="Q622" s="8" t="str">
        <f t="shared" si="96"/>
        <v>Noida</v>
      </c>
      <c r="R622" s="8" t="s">
        <v>72</v>
      </c>
      <c r="S622" s="8" t="str">
        <f t="shared" si="97"/>
        <v>Technology</v>
      </c>
      <c r="T622" s="8" t="s">
        <v>273</v>
      </c>
      <c r="U622" s="8" t="str">
        <f t="shared" si="98"/>
        <v>Machines</v>
      </c>
      <c r="V622" s="8" t="s">
        <v>1978</v>
      </c>
    </row>
    <row r="623" spans="1:22">
      <c r="A623" s="8" t="s">
        <v>1979</v>
      </c>
      <c r="B623" s="8">
        <f t="shared" si="90"/>
        <v>1</v>
      </c>
      <c r="C623" s="8" t="str">
        <f t="shared" si="91"/>
        <v>Unique</v>
      </c>
      <c r="D623" s="9">
        <v>45624</v>
      </c>
      <c r="E623" s="8">
        <f t="shared" si="92"/>
        <v>-169</v>
      </c>
      <c r="F623" s="10">
        <v>45455</v>
      </c>
      <c r="G623" s="8" t="s">
        <v>1980</v>
      </c>
      <c r="H623" s="8" t="s">
        <v>87</v>
      </c>
      <c r="I623" s="8" t="str">
        <f t="shared" si="99"/>
        <v>Aditi Sen</v>
      </c>
      <c r="J623" s="8" t="s">
        <v>22</v>
      </c>
      <c r="K623" s="8" t="str">
        <f t="shared" si="93"/>
        <v>Consumer</v>
      </c>
      <c r="L623" s="8" t="s">
        <v>61</v>
      </c>
      <c r="M623" s="8" t="str">
        <f t="shared" si="94"/>
        <v>West</v>
      </c>
      <c r="N623" s="8" t="s">
        <v>62</v>
      </c>
      <c r="O623" s="8" t="str">
        <f t="shared" si="95"/>
        <v>Maharashtra</v>
      </c>
      <c r="P623" s="8" t="s">
        <v>63</v>
      </c>
      <c r="Q623" s="8" t="str">
        <f t="shared" si="96"/>
        <v>Mumbai</v>
      </c>
      <c r="R623" s="8" t="s">
        <v>39</v>
      </c>
      <c r="S623" s="8" t="str">
        <f t="shared" si="97"/>
        <v>Furniture</v>
      </c>
      <c r="T623" s="8" t="s">
        <v>64</v>
      </c>
      <c r="U623" s="8" t="str">
        <f t="shared" si="98"/>
        <v>Chairs</v>
      </c>
      <c r="V623" s="8" t="s">
        <v>1981</v>
      </c>
    </row>
    <row r="624" spans="1:22">
      <c r="A624" s="8" t="s">
        <v>1982</v>
      </c>
      <c r="B624" s="8">
        <f t="shared" si="90"/>
        <v>1</v>
      </c>
      <c r="C624" s="8" t="str">
        <f t="shared" si="91"/>
        <v>Unique</v>
      </c>
      <c r="D624" s="9">
        <v>45686</v>
      </c>
      <c r="E624" s="8">
        <f t="shared" si="92"/>
        <v>124</v>
      </c>
      <c r="F624" s="10">
        <v>45810</v>
      </c>
      <c r="G624" s="8" t="s">
        <v>1983</v>
      </c>
      <c r="H624" s="8" t="s">
        <v>69</v>
      </c>
      <c r="I624" s="8" t="str">
        <f t="shared" si="99"/>
        <v>Vikram Iyer</v>
      </c>
      <c r="J624" s="8" t="s">
        <v>22</v>
      </c>
      <c r="K624" s="8" t="str">
        <f t="shared" si="93"/>
        <v>Consumer</v>
      </c>
      <c r="L624" s="8" t="s">
        <v>36</v>
      </c>
      <c r="M624" s="8" t="str">
        <f t="shared" si="94"/>
        <v>East</v>
      </c>
      <c r="N624" s="8" t="s">
        <v>143</v>
      </c>
      <c r="O624" s="8" t="str">
        <f t="shared" si="95"/>
        <v>Bihar</v>
      </c>
      <c r="P624" s="8" t="s">
        <v>144</v>
      </c>
      <c r="Q624" s="8" t="str">
        <f t="shared" si="96"/>
        <v>Patna</v>
      </c>
      <c r="R624" s="8" t="s">
        <v>26</v>
      </c>
      <c r="S624" s="8" t="str">
        <f t="shared" si="97"/>
        <v>Office Supplies</v>
      </c>
      <c r="T624" s="8" t="s">
        <v>122</v>
      </c>
      <c r="U624" s="8" t="str">
        <f t="shared" si="98"/>
        <v>Storage</v>
      </c>
      <c r="V624" s="8" t="s">
        <v>1984</v>
      </c>
    </row>
    <row r="625" spans="1:22">
      <c r="A625" s="8" t="s">
        <v>1985</v>
      </c>
      <c r="B625" s="8">
        <f t="shared" si="90"/>
        <v>1</v>
      </c>
      <c r="C625" s="8" t="str">
        <f t="shared" si="91"/>
        <v>Unique</v>
      </c>
      <c r="D625" s="9">
        <v>45512</v>
      </c>
      <c r="E625" s="8">
        <f t="shared" si="92"/>
        <v>6</v>
      </c>
      <c r="F625" s="10">
        <v>45518</v>
      </c>
      <c r="G625" s="8" t="s">
        <v>1986</v>
      </c>
      <c r="H625" s="8" t="s">
        <v>69</v>
      </c>
      <c r="I625" s="8" t="str">
        <f t="shared" si="99"/>
        <v>Vikram Iyer</v>
      </c>
      <c r="J625" s="8" t="s">
        <v>93</v>
      </c>
      <c r="K625" s="8" t="str">
        <f t="shared" si="93"/>
        <v>Home Office</v>
      </c>
      <c r="L625" s="8" t="s">
        <v>23</v>
      </c>
      <c r="M625" s="8" t="str">
        <f t="shared" si="94"/>
        <v>North</v>
      </c>
      <c r="N625" s="8" t="s">
        <v>120</v>
      </c>
      <c r="O625" s="8" t="str">
        <f t="shared" si="95"/>
        <v>Punjab</v>
      </c>
      <c r="P625" s="8" t="s">
        <v>121</v>
      </c>
      <c r="Q625" s="8" t="str">
        <f t="shared" si="96"/>
        <v>Ludhiana</v>
      </c>
      <c r="R625" s="8" t="s">
        <v>26</v>
      </c>
      <c r="S625" s="8" t="str">
        <f t="shared" si="97"/>
        <v>Office Supplies</v>
      </c>
      <c r="T625" s="8" t="s">
        <v>122</v>
      </c>
      <c r="U625" s="8" t="str">
        <f t="shared" si="98"/>
        <v>Storage</v>
      </c>
      <c r="V625" s="8" t="s">
        <v>1987</v>
      </c>
    </row>
    <row r="626" spans="1:22">
      <c r="A626" s="8" t="s">
        <v>1988</v>
      </c>
      <c r="B626" s="8">
        <f t="shared" si="90"/>
        <v>1</v>
      </c>
      <c r="C626" s="8" t="str">
        <f t="shared" si="91"/>
        <v>Unique</v>
      </c>
      <c r="D626" s="9">
        <v>45321</v>
      </c>
      <c r="E626" s="8">
        <f t="shared" si="92"/>
        <v>-28</v>
      </c>
      <c r="F626" s="10">
        <v>45293</v>
      </c>
      <c r="G626" s="8" t="s">
        <v>1989</v>
      </c>
      <c r="H626" s="8" t="s">
        <v>77</v>
      </c>
      <c r="I626" s="8" t="str">
        <f t="shared" si="99"/>
        <v>Neha Gupta</v>
      </c>
      <c r="J626" s="8" t="s">
        <v>93</v>
      </c>
      <c r="K626" s="8" t="str">
        <f t="shared" si="93"/>
        <v>Home Office</v>
      </c>
      <c r="L626" s="8" t="s">
        <v>36</v>
      </c>
      <c r="M626" s="8" t="str">
        <f t="shared" si="94"/>
        <v>East</v>
      </c>
      <c r="N626" s="8" t="s">
        <v>164</v>
      </c>
      <c r="O626" s="8" t="str">
        <f t="shared" si="95"/>
        <v>Assam</v>
      </c>
      <c r="P626" s="8" t="s">
        <v>165</v>
      </c>
      <c r="Q626" s="8" t="str">
        <f t="shared" si="96"/>
        <v>Guwahati</v>
      </c>
      <c r="R626" s="8" t="s">
        <v>39</v>
      </c>
      <c r="S626" s="8" t="str">
        <f t="shared" si="97"/>
        <v>Furniture</v>
      </c>
      <c r="T626" s="8" t="s">
        <v>64</v>
      </c>
      <c r="U626" s="8" t="str">
        <f t="shared" si="98"/>
        <v>Chairs</v>
      </c>
      <c r="V626" s="8" t="s">
        <v>1990</v>
      </c>
    </row>
    <row r="627" spans="1:22">
      <c r="A627" s="8" t="s">
        <v>1991</v>
      </c>
      <c r="B627" s="8">
        <f t="shared" si="90"/>
        <v>1</v>
      </c>
      <c r="C627" s="8" t="str">
        <f t="shared" si="91"/>
        <v>Unique</v>
      </c>
      <c r="D627" s="9">
        <v>45641</v>
      </c>
      <c r="E627" s="8">
        <f t="shared" si="92"/>
        <v>6</v>
      </c>
      <c r="F627" s="10">
        <v>45647</v>
      </c>
      <c r="G627" s="8" t="s">
        <v>1992</v>
      </c>
      <c r="H627" s="8" t="s">
        <v>160</v>
      </c>
      <c r="I627" s="8" t="str">
        <f t="shared" si="99"/>
        <v>Diya Patel</v>
      </c>
      <c r="J627" s="8" t="s">
        <v>88</v>
      </c>
      <c r="K627" s="8" t="str">
        <f t="shared" si="93"/>
        <v>Corporate</v>
      </c>
      <c r="L627" s="8" t="s">
        <v>61</v>
      </c>
      <c r="M627" s="8" t="str">
        <f t="shared" si="94"/>
        <v>West</v>
      </c>
      <c r="N627" s="8" t="s">
        <v>24</v>
      </c>
      <c r="O627" s="8" t="str">
        <f t="shared" si="95"/>
        <v>Rajasthan</v>
      </c>
      <c r="P627" s="8" t="s">
        <v>107</v>
      </c>
      <c r="Q627" s="8" t="str">
        <f t="shared" si="96"/>
        <v>Udaipur</v>
      </c>
      <c r="R627" s="8" t="s">
        <v>39</v>
      </c>
      <c r="S627" s="8" t="str">
        <f t="shared" si="97"/>
        <v>Furniture</v>
      </c>
      <c r="T627" s="8" t="s">
        <v>64</v>
      </c>
      <c r="U627" s="8" t="str">
        <f t="shared" si="98"/>
        <v>Chairs</v>
      </c>
      <c r="V627" s="8" t="s">
        <v>1993</v>
      </c>
    </row>
    <row r="628" spans="1:22">
      <c r="A628" s="8" t="s">
        <v>1994</v>
      </c>
      <c r="B628" s="8">
        <f t="shared" si="90"/>
        <v>1</v>
      </c>
      <c r="C628" s="8" t="str">
        <f t="shared" si="91"/>
        <v>Unique</v>
      </c>
      <c r="D628" s="9">
        <v>45753</v>
      </c>
      <c r="E628" s="8">
        <f t="shared" si="92"/>
        <v>62</v>
      </c>
      <c r="F628" s="10">
        <v>45815</v>
      </c>
      <c r="G628" s="8" t="s">
        <v>1995</v>
      </c>
      <c r="H628" s="8" t="s">
        <v>130</v>
      </c>
      <c r="I628" s="8" t="str">
        <f t="shared" si="99"/>
        <v>Sneha Kapoor</v>
      </c>
      <c r="J628" s="8" t="s">
        <v>93</v>
      </c>
      <c r="K628" s="8" t="str">
        <f t="shared" si="93"/>
        <v>Home Office</v>
      </c>
      <c r="L628" s="8" t="s">
        <v>36</v>
      </c>
      <c r="M628" s="8" t="str">
        <f t="shared" si="94"/>
        <v>East</v>
      </c>
      <c r="N628" s="8" t="s">
        <v>164</v>
      </c>
      <c r="O628" s="8" t="str">
        <f t="shared" si="95"/>
        <v>Assam</v>
      </c>
      <c r="P628" s="8" t="s">
        <v>165</v>
      </c>
      <c r="Q628" s="8" t="str">
        <f t="shared" si="96"/>
        <v>Guwahati</v>
      </c>
      <c r="R628" s="8" t="s">
        <v>72</v>
      </c>
      <c r="S628" s="8" t="str">
        <f t="shared" si="97"/>
        <v>Technology</v>
      </c>
      <c r="T628" s="8" t="s">
        <v>273</v>
      </c>
      <c r="U628" s="8" t="str">
        <f t="shared" si="98"/>
        <v>Machines</v>
      </c>
      <c r="V628" s="8" t="s">
        <v>1996</v>
      </c>
    </row>
    <row r="629" spans="1:22">
      <c r="A629" s="8" t="s">
        <v>1997</v>
      </c>
      <c r="B629" s="8">
        <f t="shared" si="90"/>
        <v>1</v>
      </c>
      <c r="C629" s="8" t="str">
        <f t="shared" si="91"/>
        <v>Unique</v>
      </c>
      <c r="D629" s="9">
        <v>45701</v>
      </c>
      <c r="E629" s="8">
        <f t="shared" si="92"/>
        <v>8</v>
      </c>
      <c r="F629" s="10">
        <v>45709</v>
      </c>
      <c r="G629" s="8" t="s">
        <v>1998</v>
      </c>
      <c r="H629" s="8" t="s">
        <v>21</v>
      </c>
      <c r="I629" s="8" t="str">
        <f t="shared" si="99"/>
        <v>Karan Malhotra</v>
      </c>
      <c r="J629" s="8" t="s">
        <v>35</v>
      </c>
      <c r="K629" s="8" t="str">
        <f t="shared" si="93"/>
        <v>Small Business</v>
      </c>
      <c r="L629" s="8" t="s">
        <v>52</v>
      </c>
      <c r="M629" s="8" t="str">
        <f t="shared" si="94"/>
        <v>South</v>
      </c>
      <c r="N629" s="8" t="s">
        <v>183</v>
      </c>
      <c r="O629" s="8" t="str">
        <f t="shared" si="95"/>
        <v>Kerala</v>
      </c>
      <c r="P629" s="8" t="s">
        <v>184</v>
      </c>
      <c r="Q629" s="8" t="str">
        <f t="shared" si="96"/>
        <v>Kochi</v>
      </c>
      <c r="R629" s="8" t="s">
        <v>72</v>
      </c>
      <c r="S629" s="8" t="str">
        <f t="shared" si="97"/>
        <v>Technology</v>
      </c>
      <c r="T629" s="8" t="s">
        <v>169</v>
      </c>
      <c r="U629" s="8" t="str">
        <f t="shared" si="98"/>
        <v>Phones</v>
      </c>
      <c r="V629" s="8" t="s">
        <v>1999</v>
      </c>
    </row>
    <row r="630" spans="1:22">
      <c r="A630" s="8" t="s">
        <v>2000</v>
      </c>
      <c r="B630" s="8">
        <f t="shared" si="90"/>
        <v>1</v>
      </c>
      <c r="C630" s="8" t="str">
        <f t="shared" si="91"/>
        <v>Unique</v>
      </c>
      <c r="D630" s="9">
        <v>45787</v>
      </c>
      <c r="E630" s="8">
        <f t="shared" si="92"/>
        <v>214</v>
      </c>
      <c r="F630" s="10">
        <v>46001</v>
      </c>
      <c r="G630" s="8" t="s">
        <v>2001</v>
      </c>
      <c r="H630" s="8" t="s">
        <v>60</v>
      </c>
      <c r="I630" s="8" t="str">
        <f t="shared" si="99"/>
        <v>Ananya Rao</v>
      </c>
      <c r="J630" s="8" t="s">
        <v>93</v>
      </c>
      <c r="K630" s="8" t="str">
        <f t="shared" si="93"/>
        <v>Home Office</v>
      </c>
      <c r="L630" s="8" t="s">
        <v>36</v>
      </c>
      <c r="M630" s="8" t="str">
        <f t="shared" si="94"/>
        <v>East</v>
      </c>
      <c r="N630" s="8" t="s">
        <v>227</v>
      </c>
      <c r="O630" s="8" t="str">
        <f t="shared" si="95"/>
        <v>Jharkhand</v>
      </c>
      <c r="P630" s="8" t="s">
        <v>228</v>
      </c>
      <c r="Q630" s="8" t="str">
        <f t="shared" si="96"/>
        <v>Ranchi</v>
      </c>
      <c r="R630" s="8" t="s">
        <v>72</v>
      </c>
      <c r="S630" s="8" t="str">
        <f t="shared" si="97"/>
        <v>Technology</v>
      </c>
      <c r="T630" s="8" t="s">
        <v>73</v>
      </c>
      <c r="U630" s="8" t="str">
        <f t="shared" si="98"/>
        <v>Accessories</v>
      </c>
      <c r="V630" s="8" t="s">
        <v>2002</v>
      </c>
    </row>
    <row r="631" spans="1:22">
      <c r="A631" s="8" t="s">
        <v>2003</v>
      </c>
      <c r="B631" s="8">
        <f t="shared" si="90"/>
        <v>1</v>
      </c>
      <c r="C631" s="8" t="str">
        <f t="shared" si="91"/>
        <v>Unique</v>
      </c>
      <c r="D631" s="9">
        <v>45910</v>
      </c>
      <c r="E631" s="8">
        <f t="shared" si="92"/>
        <v>4</v>
      </c>
      <c r="F631" s="10">
        <v>45914</v>
      </c>
      <c r="G631" s="8" t="s">
        <v>2004</v>
      </c>
      <c r="H631" s="8" t="s">
        <v>51</v>
      </c>
      <c r="I631" s="8" t="str">
        <f t="shared" si="99"/>
        <v>Arjun Bose</v>
      </c>
      <c r="J631" s="8" t="s">
        <v>93</v>
      </c>
      <c r="K631" s="8" t="str">
        <f t="shared" si="93"/>
        <v>Home Office</v>
      </c>
      <c r="L631" s="8" t="s">
        <v>61</v>
      </c>
      <c r="M631" s="8" t="str">
        <f t="shared" si="94"/>
        <v>West</v>
      </c>
      <c r="N631" s="8" t="s">
        <v>178</v>
      </c>
      <c r="O631" s="8" t="str">
        <f t="shared" si="95"/>
        <v>Gujarat</v>
      </c>
      <c r="P631" s="8" t="s">
        <v>179</v>
      </c>
      <c r="Q631" s="8" t="str">
        <f t="shared" si="96"/>
        <v>Ahmedabad</v>
      </c>
      <c r="R631" s="8" t="s">
        <v>39</v>
      </c>
      <c r="S631" s="8" t="str">
        <f t="shared" si="97"/>
        <v>Furniture</v>
      </c>
      <c r="T631" s="8" t="s">
        <v>40</v>
      </c>
      <c r="U631" s="8" t="str">
        <f t="shared" si="98"/>
        <v>Tables</v>
      </c>
      <c r="V631" s="8" t="s">
        <v>2005</v>
      </c>
    </row>
    <row r="632" spans="1:22">
      <c r="A632" s="8" t="s">
        <v>2006</v>
      </c>
      <c r="B632" s="8">
        <f t="shared" si="90"/>
        <v>1</v>
      </c>
      <c r="C632" s="8" t="str">
        <f t="shared" si="91"/>
        <v>Unique</v>
      </c>
      <c r="D632" s="9">
        <v>45539</v>
      </c>
      <c r="E632" s="8">
        <f t="shared" si="92"/>
        <v>30</v>
      </c>
      <c r="F632" s="10">
        <v>45569</v>
      </c>
      <c r="G632" s="8" t="s">
        <v>2007</v>
      </c>
      <c r="H632" s="8" t="s">
        <v>112</v>
      </c>
      <c r="I632" s="8" t="str">
        <f t="shared" si="99"/>
        <v>Priya Menon</v>
      </c>
      <c r="J632" s="8" t="s">
        <v>88</v>
      </c>
      <c r="K632" s="8" t="str">
        <f t="shared" si="93"/>
        <v>Corporate</v>
      </c>
      <c r="L632" s="8" t="s">
        <v>36</v>
      </c>
      <c r="M632" s="8" t="str">
        <f t="shared" si="94"/>
        <v>East</v>
      </c>
      <c r="N632" s="8" t="s">
        <v>164</v>
      </c>
      <c r="O632" s="8" t="str">
        <f t="shared" si="95"/>
        <v>Assam</v>
      </c>
      <c r="P632" s="8" t="s">
        <v>165</v>
      </c>
      <c r="Q632" s="8" t="str">
        <f t="shared" si="96"/>
        <v>Guwahati</v>
      </c>
      <c r="R632" s="8" t="s">
        <v>26</v>
      </c>
      <c r="S632" s="8" t="str">
        <f t="shared" si="97"/>
        <v>Office Supplies</v>
      </c>
      <c r="T632" s="8" t="s">
        <v>27</v>
      </c>
      <c r="U632" s="8" t="str">
        <f t="shared" si="98"/>
        <v>Paper</v>
      </c>
      <c r="V632" s="8" t="s">
        <v>2008</v>
      </c>
    </row>
    <row r="633" spans="1:22">
      <c r="A633" s="8" t="s">
        <v>2009</v>
      </c>
      <c r="B633" s="8">
        <f t="shared" si="90"/>
        <v>1</v>
      </c>
      <c r="C633" s="8" t="str">
        <f t="shared" si="91"/>
        <v>Unique</v>
      </c>
      <c r="D633" s="9">
        <v>45569</v>
      </c>
      <c r="E633" s="8">
        <f t="shared" si="92"/>
        <v>-172</v>
      </c>
      <c r="F633" s="10">
        <v>45397</v>
      </c>
      <c r="G633" s="8" t="s">
        <v>2010</v>
      </c>
      <c r="H633" s="8" t="s">
        <v>126</v>
      </c>
      <c r="I633" s="8" t="str">
        <f t="shared" si="99"/>
        <v>Aarav Sharma</v>
      </c>
      <c r="J633" s="8" t="s">
        <v>93</v>
      </c>
      <c r="K633" s="8" t="str">
        <f t="shared" si="93"/>
        <v>Home Office</v>
      </c>
      <c r="L633" s="8" t="s">
        <v>61</v>
      </c>
      <c r="M633" s="8" t="str">
        <f t="shared" si="94"/>
        <v>West</v>
      </c>
      <c r="N633" s="8" t="s">
        <v>24</v>
      </c>
      <c r="O633" s="8" t="str">
        <f t="shared" si="95"/>
        <v>Rajasthan</v>
      </c>
      <c r="P633" s="8" t="s">
        <v>107</v>
      </c>
      <c r="Q633" s="8" t="str">
        <f t="shared" si="96"/>
        <v>Udaipur</v>
      </c>
      <c r="R633" s="8" t="s">
        <v>39</v>
      </c>
      <c r="S633" s="8" t="str">
        <f t="shared" si="97"/>
        <v>Furniture</v>
      </c>
      <c r="T633" s="8" t="s">
        <v>64</v>
      </c>
      <c r="U633" s="8" t="str">
        <f t="shared" si="98"/>
        <v>Chairs</v>
      </c>
      <c r="V633" s="8" t="s">
        <v>2011</v>
      </c>
    </row>
    <row r="634" spans="1:22">
      <c r="A634" s="8" t="s">
        <v>2012</v>
      </c>
      <c r="B634" s="8">
        <f t="shared" si="90"/>
        <v>2</v>
      </c>
      <c r="C634" s="8" t="str">
        <f t="shared" si="91"/>
        <v>Review Duplicate ID</v>
      </c>
      <c r="D634" s="9">
        <v>45762</v>
      </c>
      <c r="E634" s="8">
        <f t="shared" si="92"/>
        <v>1</v>
      </c>
      <c r="F634" s="10">
        <v>45763</v>
      </c>
      <c r="G634" s="8" t="s">
        <v>2013</v>
      </c>
      <c r="H634" s="8" t="s">
        <v>130</v>
      </c>
      <c r="I634" s="8" t="str">
        <f t="shared" si="99"/>
        <v>Sneha Kapoor</v>
      </c>
      <c r="J634" s="8" t="s">
        <v>35</v>
      </c>
      <c r="K634" s="8" t="str">
        <f t="shared" si="93"/>
        <v>Small Business</v>
      </c>
      <c r="L634" s="8" t="s">
        <v>52</v>
      </c>
      <c r="M634" s="8" t="str">
        <f t="shared" si="94"/>
        <v>South</v>
      </c>
      <c r="N634" s="8" t="s">
        <v>173</v>
      </c>
      <c r="O634" s="8" t="str">
        <f t="shared" si="95"/>
        <v>Karnataka</v>
      </c>
      <c r="P634" s="8" t="s">
        <v>174</v>
      </c>
      <c r="Q634" s="8" t="str">
        <f t="shared" si="96"/>
        <v>Bengaluru</v>
      </c>
      <c r="R634" s="8" t="s">
        <v>39</v>
      </c>
      <c r="S634" s="8" t="str">
        <f t="shared" si="97"/>
        <v>Furniture</v>
      </c>
      <c r="T634" s="8" t="s">
        <v>55</v>
      </c>
      <c r="U634" s="8" t="str">
        <f t="shared" si="98"/>
        <v>Furnishings</v>
      </c>
      <c r="V634" s="8" t="s">
        <v>2014</v>
      </c>
    </row>
    <row r="635" spans="1:22">
      <c r="A635" s="8" t="s">
        <v>2015</v>
      </c>
      <c r="B635" s="8">
        <f t="shared" si="90"/>
        <v>1</v>
      </c>
      <c r="C635" s="8" t="str">
        <f t="shared" si="91"/>
        <v>Unique</v>
      </c>
      <c r="D635" s="9">
        <v>45765</v>
      </c>
      <c r="E635" s="8">
        <f t="shared" si="92"/>
        <v>2</v>
      </c>
      <c r="F635" s="10">
        <v>45767</v>
      </c>
      <c r="G635" s="8" t="s">
        <v>2016</v>
      </c>
      <c r="H635" s="8" t="s">
        <v>126</v>
      </c>
      <c r="I635" s="8" t="str">
        <f t="shared" si="99"/>
        <v>Aarav Sharma</v>
      </c>
      <c r="J635" s="8" t="s">
        <v>35</v>
      </c>
      <c r="K635" s="8" t="str">
        <f t="shared" si="93"/>
        <v>Small Business</v>
      </c>
      <c r="L635" s="8" t="s">
        <v>52</v>
      </c>
      <c r="M635" s="8" t="str">
        <f t="shared" si="94"/>
        <v>South</v>
      </c>
      <c r="N635" s="8" t="s">
        <v>246</v>
      </c>
      <c r="O635" s="8" t="str">
        <f t="shared" si="95"/>
        <v>Tamil Nadu</v>
      </c>
      <c r="P635" s="8" t="s">
        <v>247</v>
      </c>
      <c r="Q635" s="8" t="str">
        <f t="shared" si="96"/>
        <v>Chennai</v>
      </c>
      <c r="R635" s="8" t="s">
        <v>72</v>
      </c>
      <c r="S635" s="8" t="str">
        <f t="shared" si="97"/>
        <v>Technology</v>
      </c>
      <c r="T635" s="8" t="s">
        <v>73</v>
      </c>
      <c r="U635" s="8" t="str">
        <f t="shared" si="98"/>
        <v>Accessories</v>
      </c>
      <c r="V635" s="8" t="s">
        <v>2017</v>
      </c>
    </row>
    <row r="636" spans="1:22">
      <c r="A636" s="8" t="s">
        <v>2018</v>
      </c>
      <c r="B636" s="8">
        <f t="shared" si="90"/>
        <v>1</v>
      </c>
      <c r="C636" s="8" t="str">
        <f t="shared" si="91"/>
        <v>Unique</v>
      </c>
      <c r="D636" s="9">
        <v>45668</v>
      </c>
      <c r="E636" s="8">
        <f t="shared" si="92"/>
        <v>324</v>
      </c>
      <c r="F636" s="10">
        <v>45992</v>
      </c>
      <c r="G636" s="8" t="s">
        <v>2019</v>
      </c>
      <c r="H636" s="8" t="s">
        <v>87</v>
      </c>
      <c r="I636" s="8" t="str">
        <f t="shared" si="99"/>
        <v>Aditi Sen</v>
      </c>
      <c r="J636" s="8" t="s">
        <v>22</v>
      </c>
      <c r="K636" s="8" t="str">
        <f t="shared" si="93"/>
        <v>Consumer</v>
      </c>
      <c r="L636" s="8" t="s">
        <v>52</v>
      </c>
      <c r="M636" s="8" t="str">
        <f t="shared" si="94"/>
        <v>South</v>
      </c>
      <c r="N636" s="8" t="s">
        <v>53</v>
      </c>
      <c r="O636" s="8" t="str">
        <f t="shared" si="95"/>
        <v>Telangana</v>
      </c>
      <c r="P636" s="8" t="s">
        <v>54</v>
      </c>
      <c r="Q636" s="8" t="str">
        <f t="shared" si="96"/>
        <v>Hyderabad</v>
      </c>
      <c r="R636" s="8" t="s">
        <v>39</v>
      </c>
      <c r="S636" s="8" t="str">
        <f t="shared" si="97"/>
        <v>Furniture</v>
      </c>
      <c r="T636" s="8" t="s">
        <v>64</v>
      </c>
      <c r="U636" s="8" t="str">
        <f t="shared" si="98"/>
        <v>Chairs</v>
      </c>
      <c r="V636" s="8" t="s">
        <v>2020</v>
      </c>
    </row>
    <row r="637" spans="1:22">
      <c r="A637" s="8" t="s">
        <v>2021</v>
      </c>
      <c r="B637" s="8">
        <f t="shared" si="90"/>
        <v>1</v>
      </c>
      <c r="C637" s="8" t="str">
        <f t="shared" si="91"/>
        <v>Unique</v>
      </c>
      <c r="D637" s="9">
        <v>45432</v>
      </c>
      <c r="E637" s="8">
        <f t="shared" si="92"/>
        <v>5</v>
      </c>
      <c r="F637" s="10">
        <v>45437</v>
      </c>
      <c r="G637" s="8" t="s">
        <v>2022</v>
      </c>
      <c r="H637" s="8" t="s">
        <v>34</v>
      </c>
      <c r="I637" s="8" t="str">
        <f t="shared" si="99"/>
        <v>Mira Das</v>
      </c>
      <c r="J637" s="8" t="s">
        <v>88</v>
      </c>
      <c r="K637" s="8" t="str">
        <f t="shared" si="93"/>
        <v>Corporate</v>
      </c>
      <c r="L637" s="8" t="s">
        <v>52</v>
      </c>
      <c r="M637" s="8" t="str">
        <f t="shared" si="94"/>
        <v>South</v>
      </c>
      <c r="N637" s="8" t="s">
        <v>82</v>
      </c>
      <c r="O637" s="8" t="str">
        <f t="shared" si="95"/>
        <v>Andhra Pradesh</v>
      </c>
      <c r="P637" s="8" t="s">
        <v>83</v>
      </c>
      <c r="Q637" s="8" t="str">
        <f t="shared" si="96"/>
        <v>Vijayawada</v>
      </c>
      <c r="R637" s="8" t="s">
        <v>39</v>
      </c>
      <c r="S637" s="8" t="str">
        <f t="shared" si="97"/>
        <v>Furniture</v>
      </c>
      <c r="T637" s="8" t="s">
        <v>64</v>
      </c>
      <c r="U637" s="8" t="str">
        <f t="shared" si="98"/>
        <v>Chairs</v>
      </c>
      <c r="V637" s="8" t="s">
        <v>2023</v>
      </c>
    </row>
    <row r="638" spans="1:22">
      <c r="A638" s="8" t="s">
        <v>2024</v>
      </c>
      <c r="B638" s="8">
        <f t="shared" si="90"/>
        <v>1</v>
      </c>
      <c r="C638" s="8" t="str">
        <f t="shared" si="91"/>
        <v>Unique</v>
      </c>
      <c r="D638" s="9">
        <v>45332</v>
      </c>
      <c r="E638" s="8">
        <f t="shared" si="92"/>
        <v>213</v>
      </c>
      <c r="F638" s="10">
        <v>45545</v>
      </c>
      <c r="G638" s="8" t="s">
        <v>2025</v>
      </c>
      <c r="H638" s="8" t="s">
        <v>60</v>
      </c>
      <c r="I638" s="8" t="str">
        <f t="shared" si="99"/>
        <v>Ananya Rao</v>
      </c>
      <c r="J638" s="8" t="s">
        <v>22</v>
      </c>
      <c r="K638" s="8" t="str">
        <f t="shared" si="93"/>
        <v>Consumer</v>
      </c>
      <c r="L638" s="8" t="s">
        <v>52</v>
      </c>
      <c r="M638" s="8" t="str">
        <f t="shared" si="94"/>
        <v>South</v>
      </c>
      <c r="N638" s="8" t="s">
        <v>246</v>
      </c>
      <c r="O638" s="8" t="str">
        <f t="shared" si="95"/>
        <v>Tamil Nadu</v>
      </c>
      <c r="P638" s="8" t="s">
        <v>247</v>
      </c>
      <c r="Q638" s="8" t="str">
        <f t="shared" si="96"/>
        <v>Chennai</v>
      </c>
      <c r="R638" s="8" t="s">
        <v>26</v>
      </c>
      <c r="S638" s="8" t="str">
        <f t="shared" si="97"/>
        <v>Office Supplies</v>
      </c>
      <c r="T638" s="8" t="s">
        <v>27</v>
      </c>
      <c r="U638" s="8" t="str">
        <f t="shared" si="98"/>
        <v>Paper</v>
      </c>
      <c r="V638" s="8" t="s">
        <v>2026</v>
      </c>
    </row>
    <row r="639" spans="1:22">
      <c r="A639" s="8" t="s">
        <v>2027</v>
      </c>
      <c r="B639" s="8">
        <f t="shared" si="90"/>
        <v>1</v>
      </c>
      <c r="C639" s="8" t="str">
        <f t="shared" si="91"/>
        <v>Unique</v>
      </c>
      <c r="D639" s="9">
        <v>45438</v>
      </c>
      <c r="E639" s="8">
        <f t="shared" si="92"/>
        <v>0</v>
      </c>
      <c r="F639" s="10">
        <v>45438</v>
      </c>
      <c r="G639" s="8" t="s">
        <v>2028</v>
      </c>
      <c r="H639" s="8" t="s">
        <v>116</v>
      </c>
      <c r="I639" s="8" t="str">
        <f t="shared" si="99"/>
        <v>Rahul Verma</v>
      </c>
      <c r="J639" s="8" t="s">
        <v>35</v>
      </c>
      <c r="K639" s="8" t="str">
        <f t="shared" si="93"/>
        <v>Small Business</v>
      </c>
      <c r="L639" s="8" t="s">
        <v>61</v>
      </c>
      <c r="M639" s="8" t="str">
        <f t="shared" si="94"/>
        <v>West</v>
      </c>
      <c r="N639" s="8" t="s">
        <v>188</v>
      </c>
      <c r="O639" s="8" t="str">
        <f t="shared" si="95"/>
        <v>Goa</v>
      </c>
      <c r="P639" s="8" t="s">
        <v>189</v>
      </c>
      <c r="Q639" s="8" t="str">
        <f t="shared" si="96"/>
        <v>Panaji</v>
      </c>
      <c r="R639" s="8" t="s">
        <v>72</v>
      </c>
      <c r="S639" s="8" t="str">
        <f t="shared" si="97"/>
        <v>Technology</v>
      </c>
      <c r="T639" s="8" t="s">
        <v>78</v>
      </c>
      <c r="U639" s="8" t="str">
        <f t="shared" si="98"/>
        <v>Copiers</v>
      </c>
      <c r="V639" s="8" t="s">
        <v>2029</v>
      </c>
    </row>
    <row r="640" spans="1:22">
      <c r="A640" s="8" t="s">
        <v>2030</v>
      </c>
      <c r="B640" s="8">
        <f t="shared" si="90"/>
        <v>1</v>
      </c>
      <c r="C640" s="8" t="str">
        <f t="shared" si="91"/>
        <v>Unique</v>
      </c>
      <c r="D640" s="9">
        <v>45317</v>
      </c>
      <c r="E640" s="8">
        <f t="shared" si="92"/>
        <v>5</v>
      </c>
      <c r="F640" s="10">
        <v>45322</v>
      </c>
      <c r="G640" s="8" t="s">
        <v>2031</v>
      </c>
      <c r="H640" s="8" t="s">
        <v>21</v>
      </c>
      <c r="I640" s="8" t="str">
        <f t="shared" si="99"/>
        <v>Karan Malhotra</v>
      </c>
      <c r="J640" s="8" t="s">
        <v>88</v>
      </c>
      <c r="K640" s="8" t="str">
        <f t="shared" si="93"/>
        <v>Corporate</v>
      </c>
      <c r="L640" s="8" t="s">
        <v>52</v>
      </c>
      <c r="M640" s="8" t="str">
        <f t="shared" si="94"/>
        <v>South</v>
      </c>
      <c r="N640" s="8" t="s">
        <v>183</v>
      </c>
      <c r="O640" s="8" t="str">
        <f t="shared" si="95"/>
        <v>Kerala</v>
      </c>
      <c r="P640" s="8" t="s">
        <v>184</v>
      </c>
      <c r="Q640" s="8" t="str">
        <f t="shared" si="96"/>
        <v>Kochi</v>
      </c>
      <c r="R640" s="8" t="s">
        <v>26</v>
      </c>
      <c r="S640" s="8" t="str">
        <f t="shared" si="97"/>
        <v>Office Supplies</v>
      </c>
      <c r="T640" s="8" t="s">
        <v>122</v>
      </c>
      <c r="U640" s="8" t="str">
        <f t="shared" si="98"/>
        <v>Storage</v>
      </c>
      <c r="V640" s="8" t="s">
        <v>2032</v>
      </c>
    </row>
    <row r="641" spans="1:22">
      <c r="A641" s="8" t="s">
        <v>2033</v>
      </c>
      <c r="B641" s="8">
        <f t="shared" si="90"/>
        <v>1</v>
      </c>
      <c r="C641" s="8" t="str">
        <f t="shared" si="91"/>
        <v>Unique</v>
      </c>
      <c r="D641" s="9">
        <v>45653</v>
      </c>
      <c r="E641" s="8">
        <f t="shared" si="92"/>
        <v>4</v>
      </c>
      <c r="F641" s="10">
        <v>45657</v>
      </c>
      <c r="G641" s="8" t="s">
        <v>2034</v>
      </c>
      <c r="H641" s="8" t="s">
        <v>45</v>
      </c>
      <c r="I641" s="8" t="str">
        <f t="shared" si="99"/>
        <v>Isha Nair</v>
      </c>
      <c r="J641" s="8" t="s">
        <v>35</v>
      </c>
      <c r="K641" s="8" t="str">
        <f t="shared" si="93"/>
        <v>Small Business</v>
      </c>
      <c r="L641" s="8" t="s">
        <v>36</v>
      </c>
      <c r="M641" s="8" t="str">
        <f t="shared" si="94"/>
        <v>East</v>
      </c>
      <c r="N641" s="8" t="s">
        <v>37</v>
      </c>
      <c r="O641" s="8" t="str">
        <f t="shared" si="95"/>
        <v>Odisha</v>
      </c>
      <c r="P641" s="8" t="s">
        <v>38</v>
      </c>
      <c r="Q641" s="8" t="str">
        <f t="shared" si="96"/>
        <v>Bhubaneswar</v>
      </c>
      <c r="R641" s="8" t="s">
        <v>39</v>
      </c>
      <c r="S641" s="8" t="str">
        <f t="shared" si="97"/>
        <v>Furniture</v>
      </c>
      <c r="T641" s="8" t="s">
        <v>64</v>
      </c>
      <c r="U641" s="8" t="str">
        <f t="shared" si="98"/>
        <v>Chairs</v>
      </c>
      <c r="V641" s="8" t="s">
        <v>2035</v>
      </c>
    </row>
    <row r="642" spans="1:22">
      <c r="A642" s="8" t="s">
        <v>2036</v>
      </c>
      <c r="B642" s="8">
        <f t="shared" si="90"/>
        <v>1</v>
      </c>
      <c r="C642" s="8" t="str">
        <f t="shared" si="91"/>
        <v>Unique</v>
      </c>
      <c r="D642" s="9">
        <v>45671</v>
      </c>
      <c r="E642" s="8">
        <f t="shared" si="92"/>
        <v>3</v>
      </c>
      <c r="F642" s="10">
        <v>45674</v>
      </c>
      <c r="G642" s="8" t="s">
        <v>2037</v>
      </c>
      <c r="H642" s="8" t="s">
        <v>69</v>
      </c>
      <c r="I642" s="8" t="str">
        <f t="shared" si="99"/>
        <v>Vikram Iyer</v>
      </c>
      <c r="J642" s="8" t="s">
        <v>22</v>
      </c>
      <c r="K642" s="8" t="str">
        <f t="shared" si="93"/>
        <v>Consumer</v>
      </c>
      <c r="L642" s="8" t="s">
        <v>61</v>
      </c>
      <c r="M642" s="8" t="str">
        <f t="shared" si="94"/>
        <v>West</v>
      </c>
      <c r="N642" s="8" t="s">
        <v>188</v>
      </c>
      <c r="O642" s="8" t="str">
        <f t="shared" si="95"/>
        <v>Goa</v>
      </c>
      <c r="P642" s="8" t="s">
        <v>189</v>
      </c>
      <c r="Q642" s="8" t="str">
        <f t="shared" si="96"/>
        <v>Panaji</v>
      </c>
      <c r="R642" s="8" t="s">
        <v>26</v>
      </c>
      <c r="S642" s="8" t="str">
        <f t="shared" si="97"/>
        <v>Office Supplies</v>
      </c>
      <c r="T642" s="8" t="s">
        <v>122</v>
      </c>
      <c r="U642" s="8" t="str">
        <f t="shared" si="98"/>
        <v>Storage</v>
      </c>
      <c r="V642" s="8" t="s">
        <v>2038</v>
      </c>
    </row>
    <row r="643" spans="1:22">
      <c r="A643" s="8" t="s">
        <v>2039</v>
      </c>
      <c r="B643" s="8">
        <f t="shared" ref="B643:B706" si="100">COUNTIF($A:$A,A643)</f>
        <v>1</v>
      </c>
      <c r="C643" s="8" t="str">
        <f t="shared" ref="C643:C706" si="101">IF(B643&gt;1,"Review Duplicate ID","Unique")</f>
        <v>Unique</v>
      </c>
      <c r="D643" s="9">
        <v>45904</v>
      </c>
      <c r="E643" s="8">
        <f t="shared" ref="E643:E706" si="102">F643-D643</f>
        <v>-143</v>
      </c>
      <c r="F643" s="10">
        <v>45761</v>
      </c>
      <c r="G643" s="8" t="s">
        <v>2040</v>
      </c>
      <c r="H643" s="8" t="s">
        <v>21</v>
      </c>
      <c r="I643" s="8" t="str">
        <f t="shared" si="99"/>
        <v>Karan Malhotra</v>
      </c>
      <c r="J643" s="8" t="s">
        <v>22</v>
      </c>
      <c r="K643" s="8" t="str">
        <f t="shared" ref="K643:K706" si="103">PROPER(TRIM(J643))</f>
        <v>Consumer</v>
      </c>
      <c r="L643" s="8" t="s">
        <v>23</v>
      </c>
      <c r="M643" s="8" t="str">
        <f t="shared" ref="M643:M706" si="104">PROPER(TRIM(L643))</f>
        <v>North</v>
      </c>
      <c r="N643" s="8" t="s">
        <v>349</v>
      </c>
      <c r="O643" s="8" t="str">
        <f t="shared" ref="O643:O706" si="105">PROPER(TRIM(N643))</f>
        <v>Delhi</v>
      </c>
      <c r="P643" s="8" t="s">
        <v>350</v>
      </c>
      <c r="Q643" s="8" t="str">
        <f t="shared" ref="Q643:Q706" si="106">PROPER(TRIM(P643))</f>
        <v>New Delhi</v>
      </c>
      <c r="R643" s="8" t="s">
        <v>39</v>
      </c>
      <c r="S643" s="8" t="str">
        <f t="shared" ref="S643:S706" si="107">PROPER(TRIM(R643))</f>
        <v>Furniture</v>
      </c>
      <c r="T643" s="8" t="s">
        <v>55</v>
      </c>
      <c r="U643" s="8" t="str">
        <f t="shared" ref="U643:U706" si="108">PROPER(TRIM(T643))</f>
        <v>Furnishings</v>
      </c>
      <c r="V643" s="8" t="s">
        <v>2041</v>
      </c>
    </row>
    <row r="644" spans="1:22">
      <c r="A644" s="8" t="s">
        <v>2042</v>
      </c>
      <c r="B644" s="8">
        <f t="shared" si="100"/>
        <v>1</v>
      </c>
      <c r="C644" s="8" t="str">
        <f t="shared" si="101"/>
        <v>Unique</v>
      </c>
      <c r="D644" s="9">
        <v>45533</v>
      </c>
      <c r="E644" s="8">
        <f t="shared" si="102"/>
        <v>2</v>
      </c>
      <c r="F644" s="10">
        <v>45535</v>
      </c>
      <c r="G644" s="8" t="s">
        <v>2043</v>
      </c>
      <c r="H644" s="8" t="s">
        <v>45</v>
      </c>
      <c r="I644" s="8" t="str">
        <f t="shared" ref="I644:I707" si="109">PROPER(TRIM(H644))</f>
        <v>Isha Nair</v>
      </c>
      <c r="J644" s="8" t="s">
        <v>93</v>
      </c>
      <c r="K644" s="8" t="str">
        <f t="shared" si="103"/>
        <v>Home Office</v>
      </c>
      <c r="L644" s="8" t="s">
        <v>36</v>
      </c>
      <c r="M644" s="8" t="str">
        <f t="shared" si="104"/>
        <v>East</v>
      </c>
      <c r="N644" s="8" t="s">
        <v>164</v>
      </c>
      <c r="O644" s="8" t="str">
        <f t="shared" si="105"/>
        <v>Assam</v>
      </c>
      <c r="P644" s="8" t="s">
        <v>165</v>
      </c>
      <c r="Q644" s="8" t="str">
        <f t="shared" si="106"/>
        <v>Guwahati</v>
      </c>
      <c r="R644" s="8" t="s">
        <v>26</v>
      </c>
      <c r="S644" s="8" t="str">
        <f t="shared" si="107"/>
        <v>Office Supplies</v>
      </c>
      <c r="T644" s="8" t="s">
        <v>2044</v>
      </c>
      <c r="U644" s="8" t="str">
        <f t="shared" si="108"/>
        <v>Binders</v>
      </c>
      <c r="V644" s="8" t="s">
        <v>2045</v>
      </c>
    </row>
    <row r="645" spans="1:22">
      <c r="A645" s="8" t="s">
        <v>2046</v>
      </c>
      <c r="B645" s="8">
        <f t="shared" si="100"/>
        <v>1</v>
      </c>
      <c r="C645" s="8" t="str">
        <f t="shared" si="101"/>
        <v>Unique</v>
      </c>
      <c r="D645" s="9">
        <v>45414</v>
      </c>
      <c r="E645" s="8">
        <f t="shared" si="102"/>
        <v>-79</v>
      </c>
      <c r="F645" s="10">
        <v>45335</v>
      </c>
      <c r="G645" s="8" t="s">
        <v>729</v>
      </c>
      <c r="H645" s="8" t="s">
        <v>126</v>
      </c>
      <c r="I645" s="8" t="str">
        <f t="shared" si="109"/>
        <v>Aarav Sharma</v>
      </c>
      <c r="J645" s="8" t="s">
        <v>93</v>
      </c>
      <c r="K645" s="8" t="str">
        <f t="shared" si="103"/>
        <v>Home Office</v>
      </c>
      <c r="L645" s="8" t="s">
        <v>23</v>
      </c>
      <c r="M645" s="8" t="str">
        <f t="shared" si="104"/>
        <v>North</v>
      </c>
      <c r="N645" s="8" t="s">
        <v>134</v>
      </c>
      <c r="O645" s="8" t="str">
        <f t="shared" si="105"/>
        <v>Uttar Pradesh</v>
      </c>
      <c r="P645" s="8" t="s">
        <v>135</v>
      </c>
      <c r="Q645" s="8" t="str">
        <f t="shared" si="106"/>
        <v>Noida</v>
      </c>
      <c r="R645" s="8" t="s">
        <v>26</v>
      </c>
      <c r="S645" s="8" t="str">
        <f t="shared" si="107"/>
        <v>Office Supplies</v>
      </c>
      <c r="T645" s="8" t="s">
        <v>89</v>
      </c>
      <c r="U645" s="8" t="str">
        <f t="shared" si="108"/>
        <v>Labels</v>
      </c>
      <c r="V645" s="8" t="s">
        <v>2047</v>
      </c>
    </row>
    <row r="646" spans="1:22">
      <c r="A646" s="8" t="s">
        <v>2048</v>
      </c>
      <c r="B646" s="8">
        <f t="shared" si="100"/>
        <v>1</v>
      </c>
      <c r="C646" s="8" t="str">
        <f t="shared" si="101"/>
        <v>Unique</v>
      </c>
      <c r="D646" s="9">
        <v>45934</v>
      </c>
      <c r="E646" s="8">
        <f t="shared" si="102"/>
        <v>-170</v>
      </c>
      <c r="F646" s="10">
        <v>45764</v>
      </c>
      <c r="G646" s="8" t="s">
        <v>2049</v>
      </c>
      <c r="H646" s="8" t="s">
        <v>69</v>
      </c>
      <c r="I646" s="8" t="str">
        <f t="shared" si="109"/>
        <v>Vikram Iyer</v>
      </c>
      <c r="J646" s="8" t="s">
        <v>22</v>
      </c>
      <c r="K646" s="8" t="str">
        <f t="shared" si="103"/>
        <v>Consumer</v>
      </c>
      <c r="L646" s="8" t="s">
        <v>36</v>
      </c>
      <c r="M646" s="8" t="str">
        <f t="shared" si="104"/>
        <v>East</v>
      </c>
      <c r="N646" s="8" t="s">
        <v>97</v>
      </c>
      <c r="O646" s="8" t="str">
        <f t="shared" si="105"/>
        <v>West Bengal</v>
      </c>
      <c r="P646" s="8" t="s">
        <v>98</v>
      </c>
      <c r="Q646" s="8" t="str">
        <f t="shared" si="106"/>
        <v>Kolkata</v>
      </c>
      <c r="R646" s="8" t="s">
        <v>39</v>
      </c>
      <c r="S646" s="8" t="str">
        <f t="shared" si="107"/>
        <v>Furniture</v>
      </c>
      <c r="T646" s="8" t="s">
        <v>64</v>
      </c>
      <c r="U646" s="8" t="str">
        <f t="shared" si="108"/>
        <v>Chairs</v>
      </c>
      <c r="V646" s="8" t="s">
        <v>2050</v>
      </c>
    </row>
    <row r="647" spans="1:22">
      <c r="A647" s="8" t="s">
        <v>2051</v>
      </c>
      <c r="B647" s="8">
        <f t="shared" si="100"/>
        <v>1</v>
      </c>
      <c r="C647" s="8" t="str">
        <f t="shared" si="101"/>
        <v>Unique</v>
      </c>
      <c r="D647" s="9">
        <v>45383</v>
      </c>
      <c r="E647" s="8">
        <f t="shared" si="102"/>
        <v>153</v>
      </c>
      <c r="F647" s="10">
        <v>45536</v>
      </c>
      <c r="G647" s="8" t="s">
        <v>2052</v>
      </c>
      <c r="H647" s="8" t="s">
        <v>263</v>
      </c>
      <c r="I647" s="8" t="str">
        <f t="shared" si="109"/>
        <v>Kabir Singh</v>
      </c>
      <c r="J647" s="8" t="s">
        <v>22</v>
      </c>
      <c r="K647" s="8" t="str">
        <f t="shared" si="103"/>
        <v>Consumer</v>
      </c>
      <c r="L647" s="8" t="s">
        <v>36</v>
      </c>
      <c r="M647" s="8" t="str">
        <f t="shared" si="104"/>
        <v>East</v>
      </c>
      <c r="N647" s="8" t="s">
        <v>143</v>
      </c>
      <c r="O647" s="8" t="str">
        <f t="shared" si="105"/>
        <v>Bihar</v>
      </c>
      <c r="P647" s="8" t="s">
        <v>144</v>
      </c>
      <c r="Q647" s="8" t="str">
        <f t="shared" si="106"/>
        <v>Patna</v>
      </c>
      <c r="R647" s="8" t="s">
        <v>39</v>
      </c>
      <c r="S647" s="8" t="str">
        <f t="shared" si="107"/>
        <v>Furniture</v>
      </c>
      <c r="T647" s="8" t="s">
        <v>64</v>
      </c>
      <c r="U647" s="8" t="str">
        <f t="shared" si="108"/>
        <v>Chairs</v>
      </c>
      <c r="V647" s="8" t="s">
        <v>2053</v>
      </c>
    </row>
    <row r="648" spans="1:22">
      <c r="A648" s="8" t="s">
        <v>2054</v>
      </c>
      <c r="B648" s="8">
        <f t="shared" si="100"/>
        <v>1</v>
      </c>
      <c r="C648" s="8" t="str">
        <f t="shared" si="101"/>
        <v>Unique</v>
      </c>
      <c r="D648" s="9">
        <v>45553</v>
      </c>
      <c r="E648" s="8">
        <f t="shared" si="102"/>
        <v>6</v>
      </c>
      <c r="F648" s="10">
        <v>45559</v>
      </c>
      <c r="G648" s="8" t="s">
        <v>2055</v>
      </c>
      <c r="H648" s="8" t="s">
        <v>69</v>
      </c>
      <c r="I648" s="8" t="str">
        <f t="shared" si="109"/>
        <v>Vikram Iyer</v>
      </c>
      <c r="J648" s="8" t="s">
        <v>35</v>
      </c>
      <c r="K648" s="8" t="str">
        <f t="shared" si="103"/>
        <v>Small Business</v>
      </c>
      <c r="L648" s="8" t="s">
        <v>36</v>
      </c>
      <c r="M648" s="8" t="str">
        <f t="shared" si="104"/>
        <v>East</v>
      </c>
      <c r="N648" s="8" t="s">
        <v>227</v>
      </c>
      <c r="O648" s="8" t="str">
        <f t="shared" si="105"/>
        <v>Jharkhand</v>
      </c>
      <c r="P648" s="8" t="s">
        <v>228</v>
      </c>
      <c r="Q648" s="8" t="str">
        <f t="shared" si="106"/>
        <v>Ranchi</v>
      </c>
      <c r="R648" s="8" t="s">
        <v>72</v>
      </c>
      <c r="S648" s="8" t="str">
        <f t="shared" si="107"/>
        <v>Technology</v>
      </c>
      <c r="T648" s="8" t="s">
        <v>273</v>
      </c>
      <c r="U648" s="8" t="str">
        <f t="shared" si="108"/>
        <v>Machines</v>
      </c>
      <c r="V648" s="8" t="s">
        <v>2056</v>
      </c>
    </row>
    <row r="649" spans="1:22">
      <c r="A649" s="8" t="s">
        <v>2057</v>
      </c>
      <c r="B649" s="8">
        <f t="shared" si="100"/>
        <v>1</v>
      </c>
      <c r="C649" s="8" t="str">
        <f t="shared" si="101"/>
        <v>Unique</v>
      </c>
      <c r="D649" s="9">
        <v>45658</v>
      </c>
      <c r="E649" s="8">
        <f t="shared" si="102"/>
        <v>243</v>
      </c>
      <c r="F649" s="10">
        <v>45901</v>
      </c>
      <c r="G649" s="8" t="s">
        <v>2058</v>
      </c>
      <c r="H649" s="8" t="s">
        <v>2059</v>
      </c>
      <c r="I649" s="8" t="str">
        <f t="shared" si="109"/>
        <v>Rohan Mehta</v>
      </c>
      <c r="J649" s="8" t="s">
        <v>35</v>
      </c>
      <c r="K649" s="8" t="str">
        <f t="shared" si="103"/>
        <v>Small Business</v>
      </c>
      <c r="L649" s="8" t="s">
        <v>23</v>
      </c>
      <c r="M649" s="8" t="str">
        <f t="shared" si="104"/>
        <v>North</v>
      </c>
      <c r="N649" s="8" t="s">
        <v>120</v>
      </c>
      <c r="O649" s="8" t="str">
        <f t="shared" si="105"/>
        <v>Punjab</v>
      </c>
      <c r="P649" s="8" t="s">
        <v>121</v>
      </c>
      <c r="Q649" s="8" t="str">
        <f t="shared" si="106"/>
        <v>Ludhiana</v>
      </c>
      <c r="R649" s="8" t="s">
        <v>26</v>
      </c>
      <c r="S649" s="8" t="str">
        <f t="shared" si="107"/>
        <v>Office Supplies</v>
      </c>
      <c r="T649" s="8" t="s">
        <v>46</v>
      </c>
      <c r="U649" s="8" t="str">
        <f t="shared" si="108"/>
        <v>Art</v>
      </c>
      <c r="V649" s="8" t="s">
        <v>2060</v>
      </c>
    </row>
    <row r="650" spans="1:22">
      <c r="A650" s="8" t="s">
        <v>2061</v>
      </c>
      <c r="B650" s="8">
        <f t="shared" si="100"/>
        <v>1</v>
      </c>
      <c r="C650" s="8" t="str">
        <f t="shared" si="101"/>
        <v>Unique</v>
      </c>
      <c r="D650" s="9">
        <v>45403</v>
      </c>
      <c r="E650" s="8">
        <f t="shared" si="102"/>
        <v>3</v>
      </c>
      <c r="F650" s="10">
        <v>45406</v>
      </c>
      <c r="G650" s="8" t="s">
        <v>2062</v>
      </c>
      <c r="H650" s="8" t="s">
        <v>77</v>
      </c>
      <c r="I650" s="8" t="str">
        <f t="shared" si="109"/>
        <v>Neha Gupta</v>
      </c>
      <c r="J650" s="8" t="s">
        <v>35</v>
      </c>
      <c r="K650" s="8" t="str">
        <f t="shared" si="103"/>
        <v>Small Business</v>
      </c>
      <c r="L650" s="8" t="s">
        <v>52</v>
      </c>
      <c r="M650" s="8" t="str">
        <f t="shared" si="104"/>
        <v>South</v>
      </c>
      <c r="N650" s="8" t="s">
        <v>82</v>
      </c>
      <c r="O650" s="8" t="str">
        <f t="shared" si="105"/>
        <v>Andhra Pradesh</v>
      </c>
      <c r="P650" s="8" t="s">
        <v>83</v>
      </c>
      <c r="Q650" s="8" t="str">
        <f t="shared" si="106"/>
        <v>Vijayawada</v>
      </c>
      <c r="R650" s="8" t="s">
        <v>26</v>
      </c>
      <c r="S650" s="8" t="str">
        <f t="shared" si="107"/>
        <v>Office Supplies</v>
      </c>
      <c r="T650" s="8" t="s">
        <v>46</v>
      </c>
      <c r="U650" s="8" t="str">
        <f t="shared" si="108"/>
        <v>Art</v>
      </c>
      <c r="V650" s="8" t="s">
        <v>2063</v>
      </c>
    </row>
    <row r="651" spans="1:22">
      <c r="A651" s="8" t="s">
        <v>2064</v>
      </c>
      <c r="B651" s="8">
        <f t="shared" si="100"/>
        <v>1</v>
      </c>
      <c r="C651" s="8" t="str">
        <f t="shared" si="101"/>
        <v>Unique</v>
      </c>
      <c r="D651" s="9">
        <v>45969</v>
      </c>
      <c r="E651" s="8">
        <f t="shared" si="102"/>
        <v>-81</v>
      </c>
      <c r="F651" s="10">
        <v>45888</v>
      </c>
      <c r="G651" s="8" t="s">
        <v>2065</v>
      </c>
      <c r="H651" s="8" t="s">
        <v>263</v>
      </c>
      <c r="I651" s="8" t="str">
        <f t="shared" si="109"/>
        <v>Kabir Singh</v>
      </c>
      <c r="J651" s="8" t="s">
        <v>35</v>
      </c>
      <c r="K651" s="8" t="str">
        <f t="shared" si="103"/>
        <v>Small Business</v>
      </c>
      <c r="L651" s="8" t="s">
        <v>52</v>
      </c>
      <c r="M651" s="8" t="str">
        <f t="shared" si="104"/>
        <v>South</v>
      </c>
      <c r="N651" s="8" t="s">
        <v>183</v>
      </c>
      <c r="O651" s="8" t="str">
        <f t="shared" si="105"/>
        <v>Kerala</v>
      </c>
      <c r="P651" s="8" t="s">
        <v>184</v>
      </c>
      <c r="Q651" s="8" t="str">
        <f t="shared" si="106"/>
        <v>Kochi</v>
      </c>
      <c r="R651" s="8" t="s">
        <v>72</v>
      </c>
      <c r="S651" s="8" t="str">
        <f t="shared" si="107"/>
        <v>Technology</v>
      </c>
      <c r="T651" s="8" t="s">
        <v>73</v>
      </c>
      <c r="U651" s="8" t="str">
        <f t="shared" si="108"/>
        <v>Accessories</v>
      </c>
      <c r="V651" s="8" t="s">
        <v>2066</v>
      </c>
    </row>
    <row r="652" spans="1:22">
      <c r="A652" s="8" t="s">
        <v>2067</v>
      </c>
      <c r="B652" s="8">
        <f t="shared" si="100"/>
        <v>1</v>
      </c>
      <c r="C652" s="8" t="str">
        <f t="shared" si="101"/>
        <v>Unique</v>
      </c>
      <c r="D652" s="9">
        <v>45395</v>
      </c>
      <c r="E652" s="8">
        <f t="shared" si="102"/>
        <v>8</v>
      </c>
      <c r="F652" s="10">
        <v>45403</v>
      </c>
      <c r="G652" s="8" t="s">
        <v>377</v>
      </c>
      <c r="H652" s="8" t="s">
        <v>126</v>
      </c>
      <c r="I652" s="8" t="str">
        <f t="shared" si="109"/>
        <v>Aarav Sharma</v>
      </c>
      <c r="J652" s="8" t="s">
        <v>93</v>
      </c>
      <c r="K652" s="8" t="str">
        <f t="shared" si="103"/>
        <v>Home Office</v>
      </c>
      <c r="L652" s="8" t="s">
        <v>36</v>
      </c>
      <c r="M652" s="8" t="str">
        <f t="shared" si="104"/>
        <v>East</v>
      </c>
      <c r="N652" s="8" t="s">
        <v>143</v>
      </c>
      <c r="O652" s="8" t="str">
        <f t="shared" si="105"/>
        <v>Bihar</v>
      </c>
      <c r="P652" s="8" t="s">
        <v>144</v>
      </c>
      <c r="Q652" s="8" t="str">
        <f t="shared" si="106"/>
        <v>Patna</v>
      </c>
      <c r="R652" s="8" t="s">
        <v>72</v>
      </c>
      <c r="S652" s="8" t="str">
        <f t="shared" si="107"/>
        <v>Technology</v>
      </c>
      <c r="T652" s="8" t="s">
        <v>73</v>
      </c>
      <c r="U652" s="8" t="str">
        <f t="shared" si="108"/>
        <v>Accessories</v>
      </c>
      <c r="V652" s="8" t="s">
        <v>2068</v>
      </c>
    </row>
    <row r="653" spans="1:22">
      <c r="A653" s="8" t="s">
        <v>2069</v>
      </c>
      <c r="B653" s="8">
        <f t="shared" si="100"/>
        <v>1</v>
      </c>
      <c r="C653" s="8" t="str">
        <f t="shared" si="101"/>
        <v>Unique</v>
      </c>
      <c r="D653" s="9">
        <v>45816</v>
      </c>
      <c r="E653" s="8">
        <f t="shared" si="102"/>
        <v>92</v>
      </c>
      <c r="F653" s="10">
        <v>45908</v>
      </c>
      <c r="G653" s="8" t="s">
        <v>2070</v>
      </c>
      <c r="H653" s="8" t="s">
        <v>34</v>
      </c>
      <c r="I653" s="8" t="str">
        <f t="shared" si="109"/>
        <v>Mira Das</v>
      </c>
      <c r="J653" s="8" t="s">
        <v>35</v>
      </c>
      <c r="K653" s="8" t="str">
        <f t="shared" si="103"/>
        <v>Small Business</v>
      </c>
      <c r="L653" s="8" t="s">
        <v>52</v>
      </c>
      <c r="M653" s="8" t="str">
        <f t="shared" si="104"/>
        <v>South</v>
      </c>
      <c r="N653" s="8" t="s">
        <v>82</v>
      </c>
      <c r="O653" s="8" t="str">
        <f t="shared" si="105"/>
        <v>Andhra Pradesh</v>
      </c>
      <c r="P653" s="8" t="s">
        <v>83</v>
      </c>
      <c r="Q653" s="8" t="str">
        <f t="shared" si="106"/>
        <v>Vijayawada</v>
      </c>
      <c r="R653" s="8" t="s">
        <v>26</v>
      </c>
      <c r="S653" s="8" t="str">
        <f t="shared" si="107"/>
        <v>Office Supplies</v>
      </c>
      <c r="T653" s="8" t="s">
        <v>27</v>
      </c>
      <c r="U653" s="8" t="str">
        <f t="shared" si="108"/>
        <v>Paper</v>
      </c>
      <c r="V653" s="8" t="s">
        <v>2071</v>
      </c>
    </row>
    <row r="654" spans="1:22">
      <c r="A654" s="8" t="s">
        <v>2072</v>
      </c>
      <c r="B654" s="8">
        <f t="shared" si="100"/>
        <v>1</v>
      </c>
      <c r="C654" s="8" t="str">
        <f t="shared" si="101"/>
        <v>Unique</v>
      </c>
      <c r="D654" s="9">
        <v>45733</v>
      </c>
      <c r="E654" s="8">
        <f t="shared" si="102"/>
        <v>4</v>
      </c>
      <c r="F654" s="10">
        <v>45737</v>
      </c>
      <c r="G654" s="8" t="s">
        <v>1712</v>
      </c>
      <c r="H654" s="8" t="s">
        <v>130</v>
      </c>
      <c r="I654" s="8" t="str">
        <f t="shared" si="109"/>
        <v>Sneha Kapoor</v>
      </c>
      <c r="J654" s="8" t="s">
        <v>22</v>
      </c>
      <c r="K654" s="8" t="str">
        <f t="shared" si="103"/>
        <v>Consumer</v>
      </c>
      <c r="L654" s="8" t="s">
        <v>23</v>
      </c>
      <c r="M654" s="8" t="str">
        <f t="shared" si="104"/>
        <v>North</v>
      </c>
      <c r="N654" s="8" t="s">
        <v>134</v>
      </c>
      <c r="O654" s="8" t="str">
        <f t="shared" si="105"/>
        <v>Uttar Pradesh</v>
      </c>
      <c r="P654" s="8" t="s">
        <v>135</v>
      </c>
      <c r="Q654" s="8" t="str">
        <f t="shared" si="106"/>
        <v>Noida</v>
      </c>
      <c r="R654" s="8" t="s">
        <v>26</v>
      </c>
      <c r="S654" s="8" t="str">
        <f t="shared" si="107"/>
        <v>Office Supplies</v>
      </c>
      <c r="T654" s="8" t="s">
        <v>151</v>
      </c>
      <c r="U654" s="8" t="str">
        <f t="shared" si="108"/>
        <v>Binders</v>
      </c>
      <c r="V654" s="8" t="s">
        <v>2073</v>
      </c>
    </row>
    <row r="655" spans="1:22">
      <c r="A655" s="8" t="s">
        <v>2074</v>
      </c>
      <c r="B655" s="8">
        <f t="shared" si="100"/>
        <v>1</v>
      </c>
      <c r="C655" s="8" t="str">
        <f t="shared" si="101"/>
        <v>Unique</v>
      </c>
      <c r="D655" s="9">
        <v>45751</v>
      </c>
      <c r="E655" s="8">
        <f t="shared" si="102"/>
        <v>3</v>
      </c>
      <c r="F655" s="10">
        <v>45754</v>
      </c>
      <c r="G655" s="8" t="s">
        <v>2075</v>
      </c>
      <c r="H655" s="8" t="s">
        <v>112</v>
      </c>
      <c r="I655" s="8" t="str">
        <f t="shared" si="109"/>
        <v>Priya Menon</v>
      </c>
      <c r="J655" s="8" t="s">
        <v>35</v>
      </c>
      <c r="K655" s="8" t="str">
        <f t="shared" si="103"/>
        <v>Small Business</v>
      </c>
      <c r="L655" s="8" t="s">
        <v>52</v>
      </c>
      <c r="M655" s="8" t="str">
        <f t="shared" si="104"/>
        <v>South</v>
      </c>
      <c r="N655" s="8" t="s">
        <v>246</v>
      </c>
      <c r="O655" s="8" t="str">
        <f t="shared" si="105"/>
        <v>Tamil Nadu</v>
      </c>
      <c r="P655" s="8" t="s">
        <v>247</v>
      </c>
      <c r="Q655" s="8" t="str">
        <f t="shared" si="106"/>
        <v>Chennai</v>
      </c>
      <c r="R655" s="8" t="s">
        <v>72</v>
      </c>
      <c r="S655" s="8" t="str">
        <f t="shared" si="107"/>
        <v>Technology</v>
      </c>
      <c r="T655" s="8" t="s">
        <v>78</v>
      </c>
      <c r="U655" s="8" t="str">
        <f t="shared" si="108"/>
        <v>Copiers</v>
      </c>
      <c r="V655" s="8" t="s">
        <v>2076</v>
      </c>
    </row>
    <row r="656" spans="1:22">
      <c r="A656" s="8" t="s">
        <v>2077</v>
      </c>
      <c r="B656" s="8">
        <f t="shared" si="100"/>
        <v>1</v>
      </c>
      <c r="C656" s="8" t="str">
        <f t="shared" si="101"/>
        <v>Unique</v>
      </c>
      <c r="D656" s="9">
        <v>45942</v>
      </c>
      <c r="E656" s="8">
        <f t="shared" si="102"/>
        <v>4</v>
      </c>
      <c r="F656" s="10">
        <v>45946</v>
      </c>
      <c r="G656" s="8" t="s">
        <v>940</v>
      </c>
      <c r="H656" s="8" t="s">
        <v>160</v>
      </c>
      <c r="I656" s="8" t="str">
        <f t="shared" si="109"/>
        <v>Diya Patel</v>
      </c>
      <c r="J656" s="8" t="s">
        <v>88</v>
      </c>
      <c r="K656" s="8" t="str">
        <f t="shared" si="103"/>
        <v>Corporate</v>
      </c>
      <c r="L656" s="8" t="s">
        <v>36</v>
      </c>
      <c r="M656" s="8" t="str">
        <f t="shared" si="104"/>
        <v>East</v>
      </c>
      <c r="N656" s="8" t="s">
        <v>143</v>
      </c>
      <c r="O656" s="8" t="str">
        <f t="shared" si="105"/>
        <v>Bihar</v>
      </c>
      <c r="P656" s="8" t="s">
        <v>144</v>
      </c>
      <c r="Q656" s="8" t="str">
        <f t="shared" si="106"/>
        <v>Patna</v>
      </c>
      <c r="R656" s="8" t="s">
        <v>72</v>
      </c>
      <c r="S656" s="8" t="str">
        <f t="shared" si="107"/>
        <v>Technology</v>
      </c>
      <c r="T656" s="8" t="s">
        <v>273</v>
      </c>
      <c r="U656" s="8" t="str">
        <f t="shared" si="108"/>
        <v>Machines</v>
      </c>
      <c r="V656" s="8" t="s">
        <v>2078</v>
      </c>
    </row>
    <row r="657" spans="1:22">
      <c r="A657" s="8" t="s">
        <v>2079</v>
      </c>
      <c r="B657" s="8">
        <f t="shared" si="100"/>
        <v>1</v>
      </c>
      <c r="C657" s="8" t="str">
        <f t="shared" si="101"/>
        <v>Unique</v>
      </c>
      <c r="D657" s="9">
        <v>45895</v>
      </c>
      <c r="E657" s="8">
        <f t="shared" si="102"/>
        <v>0</v>
      </c>
      <c r="F657" s="10">
        <v>45895</v>
      </c>
      <c r="G657" s="8" t="s">
        <v>2080</v>
      </c>
      <c r="H657" s="8" t="s">
        <v>77</v>
      </c>
      <c r="I657" s="8" t="str">
        <f t="shared" si="109"/>
        <v>Neha Gupta</v>
      </c>
      <c r="J657" s="8" t="s">
        <v>93</v>
      </c>
      <c r="K657" s="8" t="str">
        <f t="shared" si="103"/>
        <v>Home Office</v>
      </c>
      <c r="L657" s="8" t="s">
        <v>36</v>
      </c>
      <c r="M657" s="8" t="str">
        <f t="shared" si="104"/>
        <v>East</v>
      </c>
      <c r="N657" s="8" t="s">
        <v>97</v>
      </c>
      <c r="O657" s="8" t="str">
        <f t="shared" si="105"/>
        <v>West Bengal</v>
      </c>
      <c r="P657" s="8" t="s">
        <v>98</v>
      </c>
      <c r="Q657" s="8" t="str">
        <f t="shared" si="106"/>
        <v>Kolkata</v>
      </c>
      <c r="R657" s="8" t="s">
        <v>39</v>
      </c>
      <c r="S657" s="8" t="str">
        <f t="shared" si="107"/>
        <v>Furniture</v>
      </c>
      <c r="T657" s="8" t="s">
        <v>55</v>
      </c>
      <c r="U657" s="8" t="str">
        <f t="shared" si="108"/>
        <v>Furnishings</v>
      </c>
      <c r="V657" s="8" t="s">
        <v>2081</v>
      </c>
    </row>
    <row r="658" spans="1:22">
      <c r="A658" s="8" t="s">
        <v>2082</v>
      </c>
      <c r="B658" s="8">
        <f t="shared" si="100"/>
        <v>1</v>
      </c>
      <c r="C658" s="8" t="str">
        <f t="shared" si="101"/>
        <v>Unique</v>
      </c>
      <c r="D658" s="9">
        <v>45478</v>
      </c>
      <c r="E658" s="8">
        <f t="shared" si="102"/>
        <v>-52</v>
      </c>
      <c r="F658" s="10">
        <v>45426</v>
      </c>
      <c r="G658" s="8" t="s">
        <v>2083</v>
      </c>
      <c r="H658" s="8" t="s">
        <v>77</v>
      </c>
      <c r="I658" s="8" t="str">
        <f t="shared" si="109"/>
        <v>Neha Gupta</v>
      </c>
      <c r="J658" s="8" t="s">
        <v>35</v>
      </c>
      <c r="K658" s="8" t="str">
        <f t="shared" si="103"/>
        <v>Small Business</v>
      </c>
      <c r="L658" s="8" t="s">
        <v>23</v>
      </c>
      <c r="M658" s="8" t="str">
        <f t="shared" si="104"/>
        <v>North</v>
      </c>
      <c r="N658" s="8" t="s">
        <v>235</v>
      </c>
      <c r="O658" s="8" t="str">
        <f t="shared" si="105"/>
        <v>Haryana</v>
      </c>
      <c r="P658" s="8" t="s">
        <v>236</v>
      </c>
      <c r="Q658" s="8" t="str">
        <f t="shared" si="106"/>
        <v>Gurugram</v>
      </c>
      <c r="R658" s="8" t="s">
        <v>72</v>
      </c>
      <c r="S658" s="8" t="str">
        <f t="shared" si="107"/>
        <v>Technology</v>
      </c>
      <c r="T658" s="8" t="s">
        <v>273</v>
      </c>
      <c r="U658" s="8" t="str">
        <f t="shared" si="108"/>
        <v>Machines</v>
      </c>
      <c r="V658" s="8" t="s">
        <v>2084</v>
      </c>
    </row>
    <row r="659" spans="1:22">
      <c r="A659" s="8" t="s">
        <v>2085</v>
      </c>
      <c r="B659" s="8">
        <f t="shared" si="100"/>
        <v>1</v>
      </c>
      <c r="C659" s="8" t="str">
        <f t="shared" si="101"/>
        <v>Unique</v>
      </c>
      <c r="D659" s="9">
        <v>45876</v>
      </c>
      <c r="E659" s="8">
        <f t="shared" si="102"/>
        <v>62</v>
      </c>
      <c r="F659" s="10">
        <v>45938</v>
      </c>
      <c r="G659" s="8" t="s">
        <v>2086</v>
      </c>
      <c r="H659" s="8" t="s">
        <v>87</v>
      </c>
      <c r="I659" s="8" t="str">
        <f t="shared" si="109"/>
        <v>Aditi Sen</v>
      </c>
      <c r="J659" s="8" t="s">
        <v>93</v>
      </c>
      <c r="K659" s="8" t="str">
        <f t="shared" si="103"/>
        <v>Home Office</v>
      </c>
      <c r="L659" s="8" t="s">
        <v>36</v>
      </c>
      <c r="M659" s="8" t="str">
        <f t="shared" si="104"/>
        <v>East</v>
      </c>
      <c r="N659" s="8" t="s">
        <v>143</v>
      </c>
      <c r="O659" s="8" t="str">
        <f t="shared" si="105"/>
        <v>Bihar</v>
      </c>
      <c r="P659" s="8" t="s">
        <v>144</v>
      </c>
      <c r="Q659" s="8" t="str">
        <f t="shared" si="106"/>
        <v>Patna</v>
      </c>
      <c r="R659" s="8" t="s">
        <v>26</v>
      </c>
      <c r="S659" s="8" t="str">
        <f t="shared" si="107"/>
        <v>Office Supplies</v>
      </c>
      <c r="T659" s="8" t="s">
        <v>122</v>
      </c>
      <c r="U659" s="8" t="str">
        <f t="shared" si="108"/>
        <v>Storage</v>
      </c>
      <c r="V659" s="8" t="s">
        <v>2087</v>
      </c>
    </row>
    <row r="660" spans="1:22">
      <c r="A660" s="8" t="s">
        <v>2088</v>
      </c>
      <c r="B660" s="8">
        <f t="shared" si="100"/>
        <v>1</v>
      </c>
      <c r="C660" s="8" t="str">
        <f t="shared" si="101"/>
        <v>Unique</v>
      </c>
      <c r="D660" s="9">
        <v>45906</v>
      </c>
      <c r="E660" s="8">
        <f t="shared" si="102"/>
        <v>-86</v>
      </c>
      <c r="F660" s="10">
        <v>45820</v>
      </c>
      <c r="G660" s="8" t="s">
        <v>2089</v>
      </c>
      <c r="H660" s="8" t="s">
        <v>130</v>
      </c>
      <c r="I660" s="8" t="str">
        <f t="shared" si="109"/>
        <v>Sneha Kapoor</v>
      </c>
      <c r="J660" s="8" t="s">
        <v>22</v>
      </c>
      <c r="K660" s="8" t="str">
        <f t="shared" si="103"/>
        <v>Consumer</v>
      </c>
      <c r="M660" s="8" t="str">
        <f t="shared" si="104"/>
        <v/>
      </c>
      <c r="N660" s="8" t="s">
        <v>143</v>
      </c>
      <c r="O660" s="8" t="str">
        <f t="shared" si="105"/>
        <v>Bihar</v>
      </c>
      <c r="P660" s="8" t="s">
        <v>144</v>
      </c>
      <c r="Q660" s="8" t="str">
        <f t="shared" si="106"/>
        <v>Patna</v>
      </c>
      <c r="R660" s="8" t="s">
        <v>26</v>
      </c>
      <c r="S660" s="8" t="str">
        <f t="shared" si="107"/>
        <v>Office Supplies</v>
      </c>
      <c r="T660" s="8" t="s">
        <v>46</v>
      </c>
      <c r="U660" s="8" t="str">
        <f t="shared" si="108"/>
        <v>Art</v>
      </c>
      <c r="V660" s="8" t="s">
        <v>2090</v>
      </c>
    </row>
    <row r="661" spans="1:22">
      <c r="A661" s="8" t="s">
        <v>2091</v>
      </c>
      <c r="B661" s="8">
        <f t="shared" si="100"/>
        <v>1</v>
      </c>
      <c r="C661" s="8" t="str">
        <f t="shared" si="101"/>
        <v>Unique</v>
      </c>
      <c r="D661" s="9">
        <v>45678</v>
      </c>
      <c r="E661" s="8">
        <f t="shared" si="102"/>
        <v>1</v>
      </c>
      <c r="F661" s="10">
        <v>45679</v>
      </c>
      <c r="G661" s="8" t="s">
        <v>2092</v>
      </c>
      <c r="H661" s="8" t="s">
        <v>160</v>
      </c>
      <c r="I661" s="8" t="str">
        <f t="shared" si="109"/>
        <v>Diya Patel</v>
      </c>
      <c r="J661" s="8" t="s">
        <v>88</v>
      </c>
      <c r="K661" s="8" t="str">
        <f t="shared" si="103"/>
        <v>Corporate</v>
      </c>
      <c r="L661" s="8" t="s">
        <v>52</v>
      </c>
      <c r="M661" s="8" t="str">
        <f t="shared" si="104"/>
        <v>South</v>
      </c>
      <c r="N661" s="8" t="s">
        <v>173</v>
      </c>
      <c r="O661" s="8" t="str">
        <f t="shared" si="105"/>
        <v>Karnataka</v>
      </c>
      <c r="P661" s="8" t="s">
        <v>174</v>
      </c>
      <c r="Q661" s="8" t="str">
        <f t="shared" si="106"/>
        <v>Bengaluru</v>
      </c>
      <c r="R661" s="8" t="s">
        <v>72</v>
      </c>
      <c r="S661" s="8" t="str">
        <f t="shared" si="107"/>
        <v>Technology</v>
      </c>
      <c r="T661" s="8" t="s">
        <v>169</v>
      </c>
      <c r="U661" s="8" t="str">
        <f t="shared" si="108"/>
        <v>Phones</v>
      </c>
      <c r="V661" s="8" t="s">
        <v>2093</v>
      </c>
    </row>
    <row r="662" spans="1:22">
      <c r="A662" s="8" t="s">
        <v>2094</v>
      </c>
      <c r="B662" s="8">
        <f t="shared" si="100"/>
        <v>1</v>
      </c>
      <c r="C662" s="8" t="str">
        <f t="shared" si="101"/>
        <v>Unique</v>
      </c>
      <c r="D662" s="9">
        <v>45853</v>
      </c>
      <c r="E662" s="8">
        <f t="shared" si="102"/>
        <v>0</v>
      </c>
      <c r="F662" s="10">
        <v>45853</v>
      </c>
      <c r="G662" s="8" t="s">
        <v>2095</v>
      </c>
      <c r="H662" s="8" t="s">
        <v>51</v>
      </c>
      <c r="I662" s="8" t="str">
        <f t="shared" si="109"/>
        <v>Arjun Bose</v>
      </c>
      <c r="J662" s="8" t="s">
        <v>35</v>
      </c>
      <c r="K662" s="8" t="str">
        <f t="shared" si="103"/>
        <v>Small Business</v>
      </c>
      <c r="L662" s="8" t="s">
        <v>36</v>
      </c>
      <c r="M662" s="8" t="str">
        <f t="shared" si="104"/>
        <v>East</v>
      </c>
      <c r="N662" s="8" t="s">
        <v>227</v>
      </c>
      <c r="O662" s="8" t="str">
        <f t="shared" si="105"/>
        <v>Jharkhand</v>
      </c>
      <c r="P662" s="8" t="s">
        <v>228</v>
      </c>
      <c r="Q662" s="8" t="str">
        <f t="shared" si="106"/>
        <v>Ranchi</v>
      </c>
      <c r="R662" s="8" t="s">
        <v>72</v>
      </c>
      <c r="S662" s="8" t="str">
        <f t="shared" si="107"/>
        <v>Technology</v>
      </c>
      <c r="T662" s="8" t="s">
        <v>169</v>
      </c>
      <c r="U662" s="8" t="str">
        <f t="shared" si="108"/>
        <v>Phones</v>
      </c>
      <c r="V662" s="8" t="s">
        <v>2096</v>
      </c>
    </row>
    <row r="663" spans="1:22">
      <c r="A663" s="8" t="s">
        <v>2097</v>
      </c>
      <c r="B663" s="8">
        <f t="shared" si="100"/>
        <v>1</v>
      </c>
      <c r="C663" s="8" t="str">
        <f t="shared" si="101"/>
        <v>Unique</v>
      </c>
      <c r="D663" s="9">
        <v>45429</v>
      </c>
      <c r="E663" s="8">
        <f t="shared" si="102"/>
        <v>5</v>
      </c>
      <c r="F663" s="10">
        <v>45434</v>
      </c>
      <c r="G663" s="8" t="s">
        <v>2098</v>
      </c>
      <c r="H663" s="8" t="s">
        <v>130</v>
      </c>
      <c r="I663" s="8" t="str">
        <f t="shared" si="109"/>
        <v>Sneha Kapoor</v>
      </c>
      <c r="J663" s="8" t="s">
        <v>22</v>
      </c>
      <c r="K663" s="8" t="str">
        <f t="shared" si="103"/>
        <v>Consumer</v>
      </c>
      <c r="L663" s="8" t="s">
        <v>52</v>
      </c>
      <c r="M663" s="8" t="str">
        <f t="shared" si="104"/>
        <v>South</v>
      </c>
      <c r="N663" s="8" t="s">
        <v>82</v>
      </c>
      <c r="O663" s="8" t="str">
        <f t="shared" si="105"/>
        <v>Andhra Pradesh</v>
      </c>
      <c r="P663" s="8" t="s">
        <v>83</v>
      </c>
      <c r="Q663" s="8" t="str">
        <f t="shared" si="106"/>
        <v>Vijayawada</v>
      </c>
      <c r="R663" s="8" t="s">
        <v>72</v>
      </c>
      <c r="S663" s="8" t="str">
        <f t="shared" si="107"/>
        <v>Technology</v>
      </c>
      <c r="T663" s="8" t="s">
        <v>273</v>
      </c>
      <c r="U663" s="8" t="str">
        <f t="shared" si="108"/>
        <v>Machines</v>
      </c>
      <c r="V663" s="8" t="s">
        <v>2099</v>
      </c>
    </row>
    <row r="664" spans="1:22">
      <c r="A664" s="8" t="s">
        <v>2100</v>
      </c>
      <c r="B664" s="8">
        <f t="shared" si="100"/>
        <v>1</v>
      </c>
      <c r="C664" s="8" t="str">
        <f t="shared" si="101"/>
        <v>Unique</v>
      </c>
      <c r="D664" s="9">
        <v>45305</v>
      </c>
      <c r="E664" s="8">
        <f t="shared" si="102"/>
        <v>4</v>
      </c>
      <c r="F664" s="10">
        <v>45309</v>
      </c>
      <c r="G664" s="8" t="s">
        <v>2101</v>
      </c>
      <c r="H664" s="8" t="s">
        <v>34</v>
      </c>
      <c r="I664" s="8" t="str">
        <f t="shared" si="109"/>
        <v>Mira Das</v>
      </c>
      <c r="J664" s="8" t="s">
        <v>93</v>
      </c>
      <c r="K664" s="8" t="str">
        <f t="shared" si="103"/>
        <v>Home Office</v>
      </c>
      <c r="L664" s="8" t="s">
        <v>61</v>
      </c>
      <c r="M664" s="8" t="str">
        <f t="shared" si="104"/>
        <v>West</v>
      </c>
      <c r="N664" s="8" t="s">
        <v>24</v>
      </c>
      <c r="O664" s="8" t="str">
        <f t="shared" si="105"/>
        <v>Rajasthan</v>
      </c>
      <c r="P664" s="8" t="s">
        <v>107</v>
      </c>
      <c r="Q664" s="8" t="str">
        <f t="shared" si="106"/>
        <v>Udaipur</v>
      </c>
      <c r="R664" s="8" t="s">
        <v>72</v>
      </c>
      <c r="S664" s="8" t="str">
        <f t="shared" si="107"/>
        <v>Technology</v>
      </c>
      <c r="T664" s="8" t="s">
        <v>273</v>
      </c>
      <c r="U664" s="8" t="str">
        <f t="shared" si="108"/>
        <v>Machines</v>
      </c>
      <c r="V664" s="8" t="s">
        <v>2102</v>
      </c>
    </row>
    <row r="665" spans="1:22">
      <c r="A665" s="8" t="s">
        <v>2103</v>
      </c>
      <c r="B665" s="8">
        <f t="shared" si="100"/>
        <v>1</v>
      </c>
      <c r="C665" s="8" t="str">
        <f t="shared" si="101"/>
        <v>Unique</v>
      </c>
      <c r="D665" s="9">
        <v>45414</v>
      </c>
      <c r="E665" s="8">
        <f t="shared" si="102"/>
        <v>95</v>
      </c>
      <c r="F665" s="10">
        <v>45509</v>
      </c>
      <c r="G665" s="8" t="s">
        <v>2104</v>
      </c>
      <c r="H665" s="8" t="s">
        <v>116</v>
      </c>
      <c r="I665" s="8" t="str">
        <f t="shared" si="109"/>
        <v>Rahul Verma</v>
      </c>
      <c r="J665" s="8" t="s">
        <v>93</v>
      </c>
      <c r="K665" s="8" t="str">
        <f t="shared" si="103"/>
        <v>Home Office</v>
      </c>
      <c r="L665" s="8" t="s">
        <v>36</v>
      </c>
      <c r="M665" s="8" t="str">
        <f t="shared" si="104"/>
        <v>East</v>
      </c>
      <c r="N665" s="8" t="s">
        <v>227</v>
      </c>
      <c r="O665" s="8" t="str">
        <f t="shared" si="105"/>
        <v>Jharkhand</v>
      </c>
      <c r="P665" s="8" t="s">
        <v>228</v>
      </c>
      <c r="Q665" s="8" t="str">
        <f t="shared" si="106"/>
        <v>Ranchi</v>
      </c>
      <c r="R665" s="8" t="s">
        <v>72</v>
      </c>
      <c r="S665" s="8" t="str">
        <f t="shared" si="107"/>
        <v>Technology</v>
      </c>
      <c r="T665" s="8" t="s">
        <v>78</v>
      </c>
      <c r="U665" s="8" t="str">
        <f t="shared" si="108"/>
        <v>Copiers</v>
      </c>
      <c r="V665" s="8" t="s">
        <v>2105</v>
      </c>
    </row>
    <row r="666" spans="1:22">
      <c r="A666" s="8" t="s">
        <v>2106</v>
      </c>
      <c r="B666" s="8">
        <f t="shared" si="100"/>
        <v>1</v>
      </c>
      <c r="C666" s="8" t="str">
        <f t="shared" si="101"/>
        <v>Unique</v>
      </c>
      <c r="D666" s="9">
        <v>45485</v>
      </c>
      <c r="E666" s="8">
        <f t="shared" si="102"/>
        <v>92</v>
      </c>
      <c r="F666" s="10">
        <v>45577</v>
      </c>
      <c r="G666" s="8" t="s">
        <v>2107</v>
      </c>
      <c r="H666" s="8" t="s">
        <v>34</v>
      </c>
      <c r="I666" s="8" t="str">
        <f t="shared" si="109"/>
        <v>Mira Das</v>
      </c>
      <c r="J666" s="8" t="s">
        <v>93</v>
      </c>
      <c r="K666" s="8" t="str">
        <f t="shared" si="103"/>
        <v>Home Office</v>
      </c>
      <c r="L666" s="8" t="s">
        <v>52</v>
      </c>
      <c r="M666" s="8" t="str">
        <f t="shared" si="104"/>
        <v>South</v>
      </c>
      <c r="N666" s="8" t="s">
        <v>53</v>
      </c>
      <c r="O666" s="8" t="str">
        <f t="shared" si="105"/>
        <v>Telangana</v>
      </c>
      <c r="P666" s="8" t="s">
        <v>54</v>
      </c>
      <c r="Q666" s="8" t="str">
        <f t="shared" si="106"/>
        <v>Hyderabad</v>
      </c>
      <c r="R666" s="8" t="s">
        <v>72</v>
      </c>
      <c r="S666" s="8" t="str">
        <f t="shared" si="107"/>
        <v>Technology</v>
      </c>
      <c r="T666" s="8" t="s">
        <v>73</v>
      </c>
      <c r="U666" s="8" t="str">
        <f t="shared" si="108"/>
        <v>Accessories</v>
      </c>
      <c r="V666" s="8" t="s">
        <v>2108</v>
      </c>
    </row>
    <row r="667" spans="1:22">
      <c r="A667" s="8" t="s">
        <v>2109</v>
      </c>
      <c r="B667" s="8">
        <f t="shared" si="100"/>
        <v>1</v>
      </c>
      <c r="C667" s="8" t="str">
        <f t="shared" si="101"/>
        <v>Unique</v>
      </c>
      <c r="D667" s="9">
        <v>45670</v>
      </c>
      <c r="E667" s="8">
        <f t="shared" si="102"/>
        <v>0</v>
      </c>
      <c r="F667" s="10">
        <v>45670</v>
      </c>
      <c r="G667" s="8" t="s">
        <v>2110</v>
      </c>
      <c r="H667" s="8" t="s">
        <v>116</v>
      </c>
      <c r="I667" s="8" t="str">
        <f t="shared" si="109"/>
        <v>Rahul Verma</v>
      </c>
      <c r="J667" s="8" t="s">
        <v>93</v>
      </c>
      <c r="K667" s="8" t="str">
        <f t="shared" si="103"/>
        <v>Home Office</v>
      </c>
      <c r="L667" s="8" t="s">
        <v>61</v>
      </c>
      <c r="M667" s="8" t="str">
        <f t="shared" si="104"/>
        <v>West</v>
      </c>
      <c r="N667" s="8" t="s">
        <v>178</v>
      </c>
      <c r="O667" s="8" t="str">
        <f t="shared" si="105"/>
        <v>Gujarat</v>
      </c>
      <c r="P667" s="8" t="s">
        <v>179</v>
      </c>
      <c r="Q667" s="8" t="str">
        <f t="shared" si="106"/>
        <v>Ahmedabad</v>
      </c>
      <c r="R667" s="8" t="s">
        <v>26</v>
      </c>
      <c r="S667" s="8" t="str">
        <f t="shared" si="107"/>
        <v>Office Supplies</v>
      </c>
      <c r="T667" s="8" t="s">
        <v>46</v>
      </c>
      <c r="U667" s="8" t="str">
        <f t="shared" si="108"/>
        <v>Art</v>
      </c>
      <c r="V667" s="8" t="s">
        <v>2111</v>
      </c>
    </row>
    <row r="668" spans="1:22">
      <c r="A668" s="8" t="s">
        <v>2112</v>
      </c>
      <c r="B668" s="8">
        <f t="shared" si="100"/>
        <v>1</v>
      </c>
      <c r="C668" s="8" t="str">
        <f t="shared" si="101"/>
        <v>Unique</v>
      </c>
      <c r="D668" s="9">
        <v>45464</v>
      </c>
      <c r="E668" s="8">
        <f t="shared" si="102"/>
        <v>5</v>
      </c>
      <c r="F668" s="10">
        <v>45469</v>
      </c>
      <c r="G668" s="8" t="s">
        <v>2113</v>
      </c>
      <c r="H668" s="8" t="s">
        <v>139</v>
      </c>
      <c r="I668" s="8" t="str">
        <f t="shared" si="109"/>
        <v>Rohan Mehta</v>
      </c>
      <c r="J668" s="8" t="s">
        <v>35</v>
      </c>
      <c r="K668" s="8" t="str">
        <f t="shared" si="103"/>
        <v>Small Business</v>
      </c>
      <c r="L668" s="8" t="s">
        <v>23</v>
      </c>
      <c r="M668" s="8" t="str">
        <f t="shared" si="104"/>
        <v>North</v>
      </c>
      <c r="N668" s="8" t="s">
        <v>120</v>
      </c>
      <c r="O668" s="8" t="str">
        <f t="shared" si="105"/>
        <v>Punjab</v>
      </c>
      <c r="P668" s="8" t="s">
        <v>121</v>
      </c>
      <c r="Q668" s="8" t="str">
        <f t="shared" si="106"/>
        <v>Ludhiana</v>
      </c>
      <c r="R668" s="8" t="s">
        <v>72</v>
      </c>
      <c r="S668" s="8" t="str">
        <f t="shared" si="107"/>
        <v>Technology</v>
      </c>
      <c r="T668" s="8" t="s">
        <v>78</v>
      </c>
      <c r="U668" s="8" t="str">
        <f t="shared" si="108"/>
        <v>Copiers</v>
      </c>
      <c r="V668" s="8" t="s">
        <v>2114</v>
      </c>
    </row>
    <row r="669" spans="1:22">
      <c r="A669" s="8" t="s">
        <v>2115</v>
      </c>
      <c r="B669" s="8">
        <f t="shared" si="100"/>
        <v>1</v>
      </c>
      <c r="C669" s="8" t="str">
        <f t="shared" si="101"/>
        <v>Unique</v>
      </c>
      <c r="D669" s="9">
        <v>45797</v>
      </c>
      <c r="E669" s="8">
        <f t="shared" si="102"/>
        <v>7</v>
      </c>
      <c r="F669" s="10">
        <v>45804</v>
      </c>
      <c r="G669" s="8" t="s">
        <v>2116</v>
      </c>
      <c r="H669" s="8" t="s">
        <v>160</v>
      </c>
      <c r="I669" s="8" t="str">
        <f t="shared" si="109"/>
        <v>Diya Patel</v>
      </c>
      <c r="J669" s="8" t="s">
        <v>35</v>
      </c>
      <c r="K669" s="8" t="str">
        <f t="shared" si="103"/>
        <v>Small Business</v>
      </c>
      <c r="L669" s="8" t="s">
        <v>36</v>
      </c>
      <c r="M669" s="8" t="str">
        <f t="shared" si="104"/>
        <v>East</v>
      </c>
      <c r="N669" s="8" t="s">
        <v>143</v>
      </c>
      <c r="O669" s="8" t="str">
        <f t="shared" si="105"/>
        <v>Bihar</v>
      </c>
      <c r="P669" s="8" t="s">
        <v>144</v>
      </c>
      <c r="Q669" s="8" t="str">
        <f t="shared" si="106"/>
        <v>Patna</v>
      </c>
      <c r="R669" s="8" t="s">
        <v>72</v>
      </c>
      <c r="S669" s="8" t="str">
        <f t="shared" si="107"/>
        <v>Technology</v>
      </c>
      <c r="T669" s="8" t="s">
        <v>273</v>
      </c>
      <c r="U669" s="8" t="str">
        <f t="shared" si="108"/>
        <v>Machines</v>
      </c>
      <c r="V669" s="8" t="s">
        <v>2117</v>
      </c>
    </row>
    <row r="670" spans="1:22">
      <c r="A670" s="8" t="s">
        <v>2118</v>
      </c>
      <c r="B670" s="8">
        <f t="shared" si="100"/>
        <v>1</v>
      </c>
      <c r="C670" s="8" t="str">
        <f t="shared" si="101"/>
        <v>Unique</v>
      </c>
      <c r="D670" s="9">
        <v>45617</v>
      </c>
      <c r="E670" s="8">
        <f t="shared" si="102"/>
        <v>2</v>
      </c>
      <c r="F670" s="10">
        <v>45619</v>
      </c>
      <c r="G670" s="8" t="s">
        <v>2119</v>
      </c>
      <c r="H670" s="8" t="s">
        <v>34</v>
      </c>
      <c r="I670" s="8" t="str">
        <f t="shared" si="109"/>
        <v>Mira Das</v>
      </c>
      <c r="J670" s="8" t="s">
        <v>88</v>
      </c>
      <c r="K670" s="8" t="str">
        <f t="shared" si="103"/>
        <v>Corporate</v>
      </c>
      <c r="L670" s="8" t="s">
        <v>61</v>
      </c>
      <c r="M670" s="8" t="str">
        <f t="shared" si="104"/>
        <v>West</v>
      </c>
      <c r="N670" s="8" t="s">
        <v>178</v>
      </c>
      <c r="O670" s="8" t="str">
        <f t="shared" si="105"/>
        <v>Gujarat</v>
      </c>
      <c r="P670" s="8" t="s">
        <v>179</v>
      </c>
      <c r="Q670" s="8" t="str">
        <f t="shared" si="106"/>
        <v>Ahmedabad</v>
      </c>
      <c r="R670" s="8" t="s">
        <v>26</v>
      </c>
      <c r="S670" s="8" t="str">
        <f t="shared" si="107"/>
        <v>Office Supplies</v>
      </c>
      <c r="T670" s="8" t="s">
        <v>27</v>
      </c>
      <c r="U670" s="8" t="str">
        <f t="shared" si="108"/>
        <v>Paper</v>
      </c>
      <c r="V670" s="8" t="s">
        <v>2120</v>
      </c>
    </row>
    <row r="671" spans="1:22">
      <c r="A671" s="8" t="s">
        <v>2121</v>
      </c>
      <c r="B671" s="8">
        <f t="shared" si="100"/>
        <v>1</v>
      </c>
      <c r="C671" s="8" t="str">
        <f t="shared" si="101"/>
        <v>Unique</v>
      </c>
      <c r="D671" s="9">
        <v>45375</v>
      </c>
      <c r="E671" s="8">
        <f t="shared" si="102"/>
        <v>-80</v>
      </c>
      <c r="F671" s="10">
        <v>45295</v>
      </c>
      <c r="G671" s="8" t="s">
        <v>2122</v>
      </c>
      <c r="H671" s="8" t="s">
        <v>60</v>
      </c>
      <c r="I671" s="8" t="str">
        <f t="shared" si="109"/>
        <v>Ananya Rao</v>
      </c>
      <c r="J671" s="8" t="s">
        <v>93</v>
      </c>
      <c r="K671" s="8" t="str">
        <f t="shared" si="103"/>
        <v>Home Office</v>
      </c>
      <c r="L671" s="8" t="s">
        <v>61</v>
      </c>
      <c r="M671" s="8" t="str">
        <f t="shared" si="104"/>
        <v>West</v>
      </c>
      <c r="N671" s="8" t="s">
        <v>62</v>
      </c>
      <c r="O671" s="8" t="str">
        <f t="shared" si="105"/>
        <v>Maharashtra</v>
      </c>
      <c r="P671" s="8" t="s">
        <v>63</v>
      </c>
      <c r="Q671" s="8" t="str">
        <f t="shared" si="106"/>
        <v>Mumbai</v>
      </c>
      <c r="R671" s="8" t="s">
        <v>39</v>
      </c>
      <c r="S671" s="8" t="str">
        <f t="shared" si="107"/>
        <v>Furniture</v>
      </c>
      <c r="T671" s="8" t="s">
        <v>40</v>
      </c>
      <c r="U671" s="8" t="str">
        <f t="shared" si="108"/>
        <v>Tables</v>
      </c>
      <c r="V671" s="8" t="s">
        <v>2123</v>
      </c>
    </row>
    <row r="672" spans="1:22">
      <c r="A672" s="8" t="s">
        <v>2124</v>
      </c>
      <c r="B672" s="8">
        <f t="shared" si="100"/>
        <v>1</v>
      </c>
      <c r="C672" s="8" t="str">
        <f t="shared" si="101"/>
        <v>Unique</v>
      </c>
      <c r="D672" s="9">
        <v>45690</v>
      </c>
      <c r="E672" s="8">
        <f t="shared" si="102"/>
        <v>120</v>
      </c>
      <c r="F672" s="10">
        <v>45810</v>
      </c>
      <c r="G672" s="8" t="s">
        <v>1621</v>
      </c>
      <c r="H672" s="8" t="s">
        <v>130</v>
      </c>
      <c r="I672" s="8" t="str">
        <f t="shared" si="109"/>
        <v>Sneha Kapoor</v>
      </c>
      <c r="J672" s="8" t="s">
        <v>88</v>
      </c>
      <c r="K672" s="8" t="str">
        <f t="shared" si="103"/>
        <v>Corporate</v>
      </c>
      <c r="L672" s="8" t="s">
        <v>23</v>
      </c>
      <c r="M672" s="8" t="str">
        <f t="shared" si="104"/>
        <v>North</v>
      </c>
      <c r="N672" s="8" t="s">
        <v>134</v>
      </c>
      <c r="O672" s="8" t="str">
        <f t="shared" si="105"/>
        <v>Uttar Pradesh</v>
      </c>
      <c r="P672" s="8" t="s">
        <v>135</v>
      </c>
      <c r="Q672" s="8" t="str">
        <f t="shared" si="106"/>
        <v>Noida</v>
      </c>
      <c r="R672" s="8" t="s">
        <v>39</v>
      </c>
      <c r="S672" s="8" t="str">
        <f t="shared" si="107"/>
        <v>Furniture</v>
      </c>
      <c r="T672" s="8" t="s">
        <v>40</v>
      </c>
      <c r="U672" s="8" t="str">
        <f t="shared" si="108"/>
        <v>Tables</v>
      </c>
      <c r="V672" s="8" t="s">
        <v>2125</v>
      </c>
    </row>
    <row r="673" spans="1:22">
      <c r="A673" s="8" t="s">
        <v>2126</v>
      </c>
      <c r="B673" s="8">
        <f t="shared" si="100"/>
        <v>1</v>
      </c>
      <c r="C673" s="8" t="str">
        <f t="shared" si="101"/>
        <v>Unique</v>
      </c>
      <c r="D673" s="9">
        <v>45373</v>
      </c>
      <c r="E673" s="8">
        <f t="shared" si="102"/>
        <v>5</v>
      </c>
      <c r="F673" s="10">
        <v>45378</v>
      </c>
      <c r="G673" s="8" t="s">
        <v>2127</v>
      </c>
      <c r="H673" s="8" t="s">
        <v>87</v>
      </c>
      <c r="I673" s="8" t="str">
        <f t="shared" si="109"/>
        <v>Aditi Sen</v>
      </c>
      <c r="J673" s="8" t="s">
        <v>93</v>
      </c>
      <c r="K673" s="8" t="str">
        <f t="shared" si="103"/>
        <v>Home Office</v>
      </c>
      <c r="L673" s="8" t="s">
        <v>61</v>
      </c>
      <c r="M673" s="8" t="str">
        <f t="shared" si="104"/>
        <v>West</v>
      </c>
      <c r="N673" s="8" t="s">
        <v>188</v>
      </c>
      <c r="O673" s="8" t="str">
        <f t="shared" si="105"/>
        <v>Goa</v>
      </c>
      <c r="P673" s="8" t="s">
        <v>189</v>
      </c>
      <c r="Q673" s="8" t="str">
        <f t="shared" si="106"/>
        <v>Panaji</v>
      </c>
      <c r="R673" s="8" t="s">
        <v>72</v>
      </c>
      <c r="S673" s="8" t="str">
        <f t="shared" si="107"/>
        <v>Technology</v>
      </c>
      <c r="T673" s="8" t="s">
        <v>2128</v>
      </c>
      <c r="U673" s="8" t="str">
        <f t="shared" si="108"/>
        <v>Copiers</v>
      </c>
      <c r="V673" s="8" t="s">
        <v>2129</v>
      </c>
    </row>
    <row r="674" spans="1:22">
      <c r="A674" s="8" t="s">
        <v>2130</v>
      </c>
      <c r="B674" s="8">
        <f t="shared" si="100"/>
        <v>1</v>
      </c>
      <c r="C674" s="8" t="str">
        <f t="shared" si="101"/>
        <v>Unique</v>
      </c>
      <c r="D674" s="9">
        <v>45391</v>
      </c>
      <c r="E674" s="8">
        <f t="shared" si="102"/>
        <v>30</v>
      </c>
      <c r="F674" s="10">
        <v>45421</v>
      </c>
      <c r="G674" s="8" t="s">
        <v>2131</v>
      </c>
      <c r="H674" s="8" t="s">
        <v>87</v>
      </c>
      <c r="I674" s="8" t="str">
        <f t="shared" si="109"/>
        <v>Aditi Sen</v>
      </c>
      <c r="J674" s="8" t="s">
        <v>88</v>
      </c>
      <c r="K674" s="8" t="str">
        <f t="shared" si="103"/>
        <v>Corporate</v>
      </c>
      <c r="L674" s="8" t="s">
        <v>61</v>
      </c>
      <c r="M674" s="8" t="str">
        <f t="shared" si="104"/>
        <v>West</v>
      </c>
      <c r="N674" s="8" t="s">
        <v>70</v>
      </c>
      <c r="O674" s="8" t="str">
        <f t="shared" si="105"/>
        <v>Madhya Pradesh</v>
      </c>
      <c r="P674" s="8" t="s">
        <v>71</v>
      </c>
      <c r="Q674" s="8" t="str">
        <f t="shared" si="106"/>
        <v>Indore</v>
      </c>
      <c r="R674" s="8" t="s">
        <v>39</v>
      </c>
      <c r="S674" s="8" t="str">
        <f t="shared" si="107"/>
        <v>Furniture</v>
      </c>
      <c r="T674" s="8" t="s">
        <v>64</v>
      </c>
      <c r="U674" s="8" t="str">
        <f t="shared" si="108"/>
        <v>Chairs</v>
      </c>
      <c r="V674" s="8" t="s">
        <v>2132</v>
      </c>
    </row>
    <row r="675" spans="1:22">
      <c r="A675" s="8" t="s">
        <v>2133</v>
      </c>
      <c r="B675" s="8">
        <f t="shared" si="100"/>
        <v>1</v>
      </c>
      <c r="C675" s="8" t="str">
        <f t="shared" si="101"/>
        <v>Unique</v>
      </c>
      <c r="D675" s="9">
        <v>45701</v>
      </c>
      <c r="E675" s="8">
        <f t="shared" si="102"/>
        <v>3</v>
      </c>
      <c r="F675" s="10">
        <v>45704</v>
      </c>
      <c r="G675" s="8" t="s">
        <v>2134</v>
      </c>
      <c r="H675" s="8" t="s">
        <v>51</v>
      </c>
      <c r="I675" s="8" t="str">
        <f t="shared" si="109"/>
        <v>Arjun Bose</v>
      </c>
      <c r="J675" s="8" t="s">
        <v>35</v>
      </c>
      <c r="K675" s="8" t="str">
        <f t="shared" si="103"/>
        <v>Small Business</v>
      </c>
      <c r="L675" s="8" t="s">
        <v>61</v>
      </c>
      <c r="M675" s="8" t="str">
        <f t="shared" si="104"/>
        <v>West</v>
      </c>
      <c r="N675" s="8" t="s">
        <v>24</v>
      </c>
      <c r="O675" s="8" t="str">
        <f t="shared" si="105"/>
        <v>Rajasthan</v>
      </c>
      <c r="P675" s="8" t="s">
        <v>107</v>
      </c>
      <c r="Q675" s="8" t="str">
        <f t="shared" si="106"/>
        <v>Udaipur</v>
      </c>
      <c r="R675" s="8" t="s">
        <v>39</v>
      </c>
      <c r="S675" s="8" t="str">
        <f t="shared" si="107"/>
        <v>Furniture</v>
      </c>
      <c r="T675" s="8" t="s">
        <v>156</v>
      </c>
      <c r="U675" s="8" t="str">
        <f t="shared" si="108"/>
        <v>Bookcases</v>
      </c>
      <c r="V675" s="8" t="s">
        <v>2135</v>
      </c>
    </row>
    <row r="676" spans="1:22">
      <c r="A676" s="8" t="s">
        <v>2136</v>
      </c>
      <c r="B676" s="8">
        <f t="shared" si="100"/>
        <v>1</v>
      </c>
      <c r="C676" s="8" t="str">
        <f t="shared" si="101"/>
        <v>Unique</v>
      </c>
      <c r="D676" s="9">
        <v>45430</v>
      </c>
      <c r="E676" s="8">
        <f t="shared" si="102"/>
        <v>3</v>
      </c>
      <c r="F676" s="10">
        <v>45433</v>
      </c>
      <c r="G676" s="8" t="s">
        <v>2137</v>
      </c>
      <c r="H676" s="8" t="s">
        <v>69</v>
      </c>
      <c r="I676" s="8" t="str">
        <f t="shared" si="109"/>
        <v>Vikram Iyer</v>
      </c>
      <c r="J676" s="8" t="s">
        <v>88</v>
      </c>
      <c r="K676" s="8" t="str">
        <f t="shared" si="103"/>
        <v>Corporate</v>
      </c>
      <c r="L676" s="8" t="s">
        <v>36</v>
      </c>
      <c r="M676" s="8" t="str">
        <f t="shared" si="104"/>
        <v>East</v>
      </c>
      <c r="N676" s="8" t="s">
        <v>227</v>
      </c>
      <c r="O676" s="8" t="str">
        <f t="shared" si="105"/>
        <v>Jharkhand</v>
      </c>
      <c r="P676" s="8" t="s">
        <v>228</v>
      </c>
      <c r="Q676" s="8" t="str">
        <f t="shared" si="106"/>
        <v>Ranchi</v>
      </c>
      <c r="R676" s="8" t="s">
        <v>72</v>
      </c>
      <c r="S676" s="8" t="str">
        <f t="shared" si="107"/>
        <v>Technology</v>
      </c>
      <c r="T676" s="8" t="s">
        <v>73</v>
      </c>
      <c r="U676" s="8" t="str">
        <f t="shared" si="108"/>
        <v>Accessories</v>
      </c>
      <c r="V676" s="8" t="s">
        <v>2138</v>
      </c>
    </row>
    <row r="677" spans="1:22">
      <c r="A677" s="8" t="s">
        <v>2139</v>
      </c>
      <c r="B677" s="8">
        <f t="shared" si="100"/>
        <v>1</v>
      </c>
      <c r="C677" s="8" t="str">
        <f t="shared" si="101"/>
        <v>Unique</v>
      </c>
      <c r="D677" s="9">
        <v>45844</v>
      </c>
      <c r="E677" s="8">
        <f t="shared" si="102"/>
        <v>-26</v>
      </c>
      <c r="F677" s="10">
        <v>45818</v>
      </c>
      <c r="G677" s="8" t="s">
        <v>2037</v>
      </c>
      <c r="H677" s="8" t="s">
        <v>126</v>
      </c>
      <c r="I677" s="8" t="str">
        <f t="shared" si="109"/>
        <v>Aarav Sharma</v>
      </c>
      <c r="J677" s="8" t="s">
        <v>22</v>
      </c>
      <c r="K677" s="8" t="str">
        <f t="shared" si="103"/>
        <v>Consumer</v>
      </c>
      <c r="L677" s="8" t="s">
        <v>23</v>
      </c>
      <c r="M677" s="8" t="str">
        <f t="shared" si="104"/>
        <v>North</v>
      </c>
      <c r="N677" s="8" t="s">
        <v>24</v>
      </c>
      <c r="O677" s="8" t="str">
        <f t="shared" si="105"/>
        <v>Rajasthan</v>
      </c>
      <c r="P677" s="8" t="s">
        <v>25</v>
      </c>
      <c r="Q677" s="8" t="str">
        <f t="shared" si="106"/>
        <v>Jaipur</v>
      </c>
      <c r="R677" s="8" t="s">
        <v>39</v>
      </c>
      <c r="S677" s="8" t="str">
        <f t="shared" si="107"/>
        <v>Furniture</v>
      </c>
      <c r="T677" s="8" t="s">
        <v>55</v>
      </c>
      <c r="U677" s="8" t="str">
        <f t="shared" si="108"/>
        <v>Furnishings</v>
      </c>
      <c r="V677" s="8" t="s">
        <v>2140</v>
      </c>
    </row>
    <row r="678" spans="1:22">
      <c r="A678" s="8" t="s">
        <v>2141</v>
      </c>
      <c r="B678" s="8">
        <f t="shared" si="100"/>
        <v>2</v>
      </c>
      <c r="C678" s="8" t="str">
        <f t="shared" si="101"/>
        <v>Review Duplicate ID</v>
      </c>
      <c r="D678" s="9">
        <v>45911</v>
      </c>
      <c r="E678" s="8">
        <f t="shared" si="102"/>
        <v>7</v>
      </c>
      <c r="F678" s="10">
        <v>45918</v>
      </c>
      <c r="G678" s="8" t="s">
        <v>2142</v>
      </c>
      <c r="H678" s="8" t="s">
        <v>116</v>
      </c>
      <c r="I678" s="8" t="str">
        <f t="shared" si="109"/>
        <v>Rahul Verma</v>
      </c>
      <c r="J678" s="8" t="s">
        <v>35</v>
      </c>
      <c r="K678" s="8" t="str">
        <f t="shared" si="103"/>
        <v>Small Business</v>
      </c>
      <c r="L678" s="8" t="s">
        <v>23</v>
      </c>
      <c r="M678" s="8" t="str">
        <f t="shared" si="104"/>
        <v>North</v>
      </c>
      <c r="N678" s="8" t="s">
        <v>349</v>
      </c>
      <c r="O678" s="8" t="str">
        <f t="shared" si="105"/>
        <v>Delhi</v>
      </c>
      <c r="P678" s="8" t="s">
        <v>350</v>
      </c>
      <c r="Q678" s="8" t="str">
        <f t="shared" si="106"/>
        <v>New Delhi</v>
      </c>
      <c r="R678" s="8" t="s">
        <v>72</v>
      </c>
      <c r="S678" s="8" t="str">
        <f t="shared" si="107"/>
        <v>Technology</v>
      </c>
      <c r="T678" s="8" t="s">
        <v>169</v>
      </c>
      <c r="U678" s="8" t="str">
        <f t="shared" si="108"/>
        <v>Phones</v>
      </c>
      <c r="V678" s="8" t="s">
        <v>2143</v>
      </c>
    </row>
    <row r="679" spans="1:22">
      <c r="A679" s="8" t="s">
        <v>2144</v>
      </c>
      <c r="B679" s="8">
        <f t="shared" si="100"/>
        <v>1</v>
      </c>
      <c r="C679" s="8" t="str">
        <f t="shared" si="101"/>
        <v>Unique</v>
      </c>
      <c r="D679" s="9">
        <v>45465</v>
      </c>
      <c r="E679" s="8">
        <f t="shared" si="102"/>
        <v>5</v>
      </c>
      <c r="F679" s="10">
        <v>45470</v>
      </c>
      <c r="G679" s="8" t="s">
        <v>20</v>
      </c>
      <c r="H679" s="8" t="s">
        <v>45</v>
      </c>
      <c r="I679" s="8" t="str">
        <f t="shared" si="109"/>
        <v>Isha Nair</v>
      </c>
      <c r="J679" s="8" t="s">
        <v>93</v>
      </c>
      <c r="K679" s="8" t="str">
        <f t="shared" si="103"/>
        <v>Home Office</v>
      </c>
      <c r="L679" s="8" t="s">
        <v>52</v>
      </c>
      <c r="M679" s="8" t="str">
        <f t="shared" si="104"/>
        <v>South</v>
      </c>
      <c r="N679" s="8" t="s">
        <v>173</v>
      </c>
      <c r="O679" s="8" t="str">
        <f t="shared" si="105"/>
        <v>Karnataka</v>
      </c>
      <c r="P679" s="8" t="s">
        <v>174</v>
      </c>
      <c r="Q679" s="8" t="str">
        <f t="shared" si="106"/>
        <v>Bengaluru</v>
      </c>
      <c r="R679" s="8" t="s">
        <v>39</v>
      </c>
      <c r="S679" s="8" t="str">
        <f t="shared" si="107"/>
        <v>Furniture</v>
      </c>
      <c r="T679" s="8" t="s">
        <v>64</v>
      </c>
      <c r="U679" s="8" t="str">
        <f t="shared" si="108"/>
        <v>Chairs</v>
      </c>
      <c r="V679" s="8" t="s">
        <v>2145</v>
      </c>
    </row>
    <row r="680" spans="1:22">
      <c r="A680" s="8" t="s">
        <v>2146</v>
      </c>
      <c r="B680" s="8">
        <f t="shared" si="100"/>
        <v>1</v>
      </c>
      <c r="C680" s="8" t="str">
        <f t="shared" si="101"/>
        <v>Unique</v>
      </c>
      <c r="D680" s="9">
        <v>45620</v>
      </c>
      <c r="E680" s="8">
        <f t="shared" si="102"/>
        <v>7</v>
      </c>
      <c r="F680" s="10">
        <v>45627</v>
      </c>
      <c r="G680" s="8" t="s">
        <v>2147</v>
      </c>
      <c r="H680" s="8" t="s">
        <v>263</v>
      </c>
      <c r="I680" s="8" t="str">
        <f t="shared" si="109"/>
        <v>Kabir Singh</v>
      </c>
      <c r="J680" s="8" t="s">
        <v>88</v>
      </c>
      <c r="K680" s="8" t="str">
        <f t="shared" si="103"/>
        <v>Corporate</v>
      </c>
      <c r="L680" s="8" t="s">
        <v>52</v>
      </c>
      <c r="M680" s="8" t="str">
        <f t="shared" si="104"/>
        <v>South</v>
      </c>
      <c r="N680" s="8" t="s">
        <v>173</v>
      </c>
      <c r="O680" s="8" t="str">
        <f t="shared" si="105"/>
        <v>Karnataka</v>
      </c>
      <c r="P680" s="8" t="s">
        <v>174</v>
      </c>
      <c r="Q680" s="8" t="str">
        <f t="shared" si="106"/>
        <v>Bengaluru</v>
      </c>
      <c r="R680" s="8" t="s">
        <v>39</v>
      </c>
      <c r="S680" s="8" t="str">
        <f t="shared" si="107"/>
        <v>Furniture</v>
      </c>
      <c r="T680" s="8" t="s">
        <v>40</v>
      </c>
      <c r="U680" s="8" t="str">
        <f t="shared" si="108"/>
        <v>Tables</v>
      </c>
      <c r="V680" s="8" t="s">
        <v>2148</v>
      </c>
    </row>
    <row r="681" spans="1:22">
      <c r="A681" s="8" t="s">
        <v>2149</v>
      </c>
      <c r="B681" s="8">
        <f t="shared" si="100"/>
        <v>1</v>
      </c>
      <c r="C681" s="8" t="str">
        <f t="shared" si="101"/>
        <v>Unique</v>
      </c>
      <c r="D681" s="9">
        <v>45885</v>
      </c>
      <c r="E681" s="8">
        <f t="shared" si="102"/>
        <v>7</v>
      </c>
      <c r="F681" s="10">
        <v>45892</v>
      </c>
      <c r="G681" s="8" t="s">
        <v>2150</v>
      </c>
      <c r="H681" s="8" t="s">
        <v>139</v>
      </c>
      <c r="I681" s="8" t="str">
        <f t="shared" si="109"/>
        <v>Rohan Mehta</v>
      </c>
      <c r="J681" s="8" t="s">
        <v>88</v>
      </c>
      <c r="K681" s="8" t="str">
        <f t="shared" si="103"/>
        <v>Corporate</v>
      </c>
      <c r="L681" s="8" t="s">
        <v>23</v>
      </c>
      <c r="M681" s="8" t="str">
        <f t="shared" si="104"/>
        <v>North</v>
      </c>
      <c r="N681" s="8" t="s">
        <v>120</v>
      </c>
      <c r="O681" s="8" t="str">
        <f t="shared" si="105"/>
        <v>Punjab</v>
      </c>
      <c r="P681" s="8" t="s">
        <v>121</v>
      </c>
      <c r="Q681" s="8" t="str">
        <f t="shared" si="106"/>
        <v>Ludhiana</v>
      </c>
      <c r="R681" s="8" t="s">
        <v>72</v>
      </c>
      <c r="S681" s="8" t="str">
        <f t="shared" si="107"/>
        <v>Technology</v>
      </c>
      <c r="T681" s="8" t="s">
        <v>78</v>
      </c>
      <c r="U681" s="8" t="str">
        <f t="shared" si="108"/>
        <v>Copiers</v>
      </c>
      <c r="V681" s="8" t="s">
        <v>2151</v>
      </c>
    </row>
    <row r="682" spans="1:22">
      <c r="A682" s="8" t="s">
        <v>2152</v>
      </c>
      <c r="B682" s="8">
        <f t="shared" si="100"/>
        <v>1</v>
      </c>
      <c r="C682" s="8" t="str">
        <f t="shared" si="101"/>
        <v>Unique</v>
      </c>
      <c r="D682" s="9">
        <v>45441</v>
      </c>
      <c r="E682" s="8">
        <f t="shared" si="102"/>
        <v>-23</v>
      </c>
      <c r="F682" s="10">
        <v>45418</v>
      </c>
      <c r="G682" s="8" t="s">
        <v>2153</v>
      </c>
      <c r="H682" s="8" t="s">
        <v>263</v>
      </c>
      <c r="I682" s="8" t="str">
        <f t="shared" si="109"/>
        <v>Kabir Singh</v>
      </c>
      <c r="J682" s="8" t="s">
        <v>88</v>
      </c>
      <c r="K682" s="8" t="str">
        <f t="shared" si="103"/>
        <v>Corporate</v>
      </c>
      <c r="L682" s="8" t="s">
        <v>52</v>
      </c>
      <c r="M682" s="8" t="str">
        <f t="shared" si="104"/>
        <v>South</v>
      </c>
      <c r="N682" s="8" t="s">
        <v>246</v>
      </c>
      <c r="O682" s="8" t="str">
        <f t="shared" si="105"/>
        <v>Tamil Nadu</v>
      </c>
      <c r="P682" s="8" t="s">
        <v>247</v>
      </c>
      <c r="Q682" s="8" t="str">
        <f t="shared" si="106"/>
        <v>Chennai</v>
      </c>
      <c r="R682" s="8" t="s">
        <v>72</v>
      </c>
      <c r="S682" s="8" t="str">
        <f t="shared" si="107"/>
        <v>Technology</v>
      </c>
      <c r="T682" s="8" t="s">
        <v>73</v>
      </c>
      <c r="U682" s="8" t="str">
        <f t="shared" si="108"/>
        <v>Accessories</v>
      </c>
      <c r="V682" s="8" t="s">
        <v>2154</v>
      </c>
    </row>
    <row r="683" spans="1:22">
      <c r="A683" s="8" t="s">
        <v>2155</v>
      </c>
      <c r="B683" s="8">
        <f t="shared" si="100"/>
        <v>1</v>
      </c>
      <c r="C683" s="8" t="str">
        <f t="shared" si="101"/>
        <v>Unique</v>
      </c>
      <c r="D683" s="9">
        <v>45477</v>
      </c>
      <c r="E683" s="8">
        <f t="shared" si="102"/>
        <v>95</v>
      </c>
      <c r="F683" s="10">
        <v>45572</v>
      </c>
      <c r="G683" s="8" t="s">
        <v>2156</v>
      </c>
      <c r="H683" s="8" t="s">
        <v>69</v>
      </c>
      <c r="I683" s="8" t="str">
        <f t="shared" si="109"/>
        <v>Vikram Iyer</v>
      </c>
      <c r="J683" s="8" t="s">
        <v>88</v>
      </c>
      <c r="K683" s="8" t="str">
        <f t="shared" si="103"/>
        <v>Corporate</v>
      </c>
      <c r="L683" s="8" t="s">
        <v>23</v>
      </c>
      <c r="M683" s="8" t="str">
        <f t="shared" si="104"/>
        <v>North</v>
      </c>
      <c r="N683" s="8" t="s">
        <v>349</v>
      </c>
      <c r="O683" s="8" t="str">
        <f t="shared" si="105"/>
        <v>Delhi</v>
      </c>
      <c r="P683" s="8" t="s">
        <v>350</v>
      </c>
      <c r="Q683" s="8" t="str">
        <f t="shared" si="106"/>
        <v>New Delhi</v>
      </c>
      <c r="R683" s="8" t="s">
        <v>39</v>
      </c>
      <c r="S683" s="8" t="str">
        <f t="shared" si="107"/>
        <v>Furniture</v>
      </c>
      <c r="T683" s="8" t="s">
        <v>40</v>
      </c>
      <c r="U683" s="8" t="str">
        <f t="shared" si="108"/>
        <v>Tables</v>
      </c>
      <c r="V683" s="8" t="s">
        <v>2157</v>
      </c>
    </row>
    <row r="684" spans="1:22">
      <c r="A684" s="8" t="s">
        <v>2158</v>
      </c>
      <c r="B684" s="8">
        <f t="shared" si="100"/>
        <v>1</v>
      </c>
      <c r="C684" s="8" t="str">
        <f t="shared" si="101"/>
        <v>Unique</v>
      </c>
      <c r="D684" s="9">
        <v>45779</v>
      </c>
      <c r="E684" s="8">
        <f t="shared" si="102"/>
        <v>0</v>
      </c>
      <c r="F684" s="10">
        <v>45779</v>
      </c>
      <c r="G684" s="8" t="s">
        <v>2159</v>
      </c>
      <c r="H684" s="8" t="s">
        <v>2160</v>
      </c>
      <c r="I684" s="8" t="str">
        <f t="shared" si="109"/>
        <v>Ananya Rao</v>
      </c>
      <c r="J684" s="8" t="s">
        <v>88</v>
      </c>
      <c r="K684" s="8" t="str">
        <f t="shared" si="103"/>
        <v>Corporate</v>
      </c>
      <c r="L684" s="8" t="s">
        <v>23</v>
      </c>
      <c r="M684" s="8" t="str">
        <f t="shared" si="104"/>
        <v>North</v>
      </c>
      <c r="N684" s="8" t="s">
        <v>235</v>
      </c>
      <c r="O684" s="8" t="str">
        <f t="shared" si="105"/>
        <v>Haryana</v>
      </c>
      <c r="P684" s="8" t="s">
        <v>236</v>
      </c>
      <c r="Q684" s="8" t="str">
        <f t="shared" si="106"/>
        <v>Gurugram</v>
      </c>
      <c r="R684" s="8" t="s">
        <v>26</v>
      </c>
      <c r="S684" s="8" t="str">
        <f t="shared" si="107"/>
        <v>Office Supplies</v>
      </c>
      <c r="T684" s="8" t="s">
        <v>122</v>
      </c>
      <c r="U684" s="8" t="str">
        <f t="shared" si="108"/>
        <v>Storage</v>
      </c>
      <c r="V684" s="8" t="s">
        <v>2161</v>
      </c>
    </row>
    <row r="685" spans="1:22">
      <c r="A685" s="8" t="s">
        <v>2162</v>
      </c>
      <c r="B685" s="8">
        <f t="shared" si="100"/>
        <v>1</v>
      </c>
      <c r="C685" s="8" t="str">
        <f t="shared" si="101"/>
        <v>Unique</v>
      </c>
      <c r="D685" s="9">
        <v>45858</v>
      </c>
      <c r="E685" s="8">
        <f t="shared" si="102"/>
        <v>4</v>
      </c>
      <c r="F685" s="10">
        <v>45862</v>
      </c>
      <c r="G685" s="8" t="s">
        <v>2163</v>
      </c>
      <c r="H685" s="8" t="s">
        <v>51</v>
      </c>
      <c r="I685" s="8" t="str">
        <f t="shared" si="109"/>
        <v>Arjun Bose</v>
      </c>
      <c r="J685" s="8" t="s">
        <v>35</v>
      </c>
      <c r="K685" s="8" t="str">
        <f t="shared" si="103"/>
        <v>Small Business</v>
      </c>
      <c r="L685" s="8" t="s">
        <v>52</v>
      </c>
      <c r="M685" s="8" t="str">
        <f t="shared" si="104"/>
        <v>South</v>
      </c>
      <c r="N685" s="8" t="s">
        <v>53</v>
      </c>
      <c r="O685" s="8" t="str">
        <f t="shared" si="105"/>
        <v>Telangana</v>
      </c>
      <c r="P685" s="8" t="s">
        <v>54</v>
      </c>
      <c r="Q685" s="8" t="str">
        <f t="shared" si="106"/>
        <v>Hyderabad</v>
      </c>
      <c r="R685" s="8" t="s">
        <v>39</v>
      </c>
      <c r="S685" s="8" t="str">
        <f t="shared" si="107"/>
        <v>Furniture</v>
      </c>
      <c r="T685" s="8" t="s">
        <v>55</v>
      </c>
      <c r="U685" s="8" t="str">
        <f t="shared" si="108"/>
        <v>Furnishings</v>
      </c>
      <c r="V685" s="8" t="s">
        <v>2164</v>
      </c>
    </row>
    <row r="686" spans="1:22">
      <c r="A686" s="8" t="s">
        <v>2165</v>
      </c>
      <c r="B686" s="8">
        <f t="shared" si="100"/>
        <v>1</v>
      </c>
      <c r="C686" s="8" t="str">
        <f t="shared" si="101"/>
        <v>Unique</v>
      </c>
      <c r="D686" s="9">
        <v>45859</v>
      </c>
      <c r="E686" s="8">
        <f t="shared" si="102"/>
        <v>0</v>
      </c>
      <c r="F686" s="10">
        <v>45859</v>
      </c>
      <c r="G686" s="8" t="s">
        <v>2166</v>
      </c>
      <c r="H686" s="8" t="s">
        <v>45</v>
      </c>
      <c r="I686" s="8" t="str">
        <f t="shared" si="109"/>
        <v>Isha Nair</v>
      </c>
      <c r="J686" s="8" t="s">
        <v>93</v>
      </c>
      <c r="K686" s="8" t="str">
        <f t="shared" si="103"/>
        <v>Home Office</v>
      </c>
      <c r="L686" s="8" t="s">
        <v>52</v>
      </c>
      <c r="M686" s="8" t="str">
        <f t="shared" si="104"/>
        <v>South</v>
      </c>
      <c r="N686" s="8" t="s">
        <v>246</v>
      </c>
      <c r="O686" s="8" t="str">
        <f t="shared" si="105"/>
        <v>Tamil Nadu</v>
      </c>
      <c r="P686" s="8" t="s">
        <v>247</v>
      </c>
      <c r="Q686" s="8" t="str">
        <f t="shared" si="106"/>
        <v>Chennai</v>
      </c>
      <c r="R686" s="8" t="s">
        <v>39</v>
      </c>
      <c r="S686" s="8" t="str">
        <f t="shared" si="107"/>
        <v>Furniture</v>
      </c>
      <c r="T686" s="8" t="s">
        <v>156</v>
      </c>
      <c r="U686" s="8" t="str">
        <f t="shared" si="108"/>
        <v>Bookcases</v>
      </c>
      <c r="V686" s="8" t="s">
        <v>2167</v>
      </c>
    </row>
    <row r="687" spans="1:22">
      <c r="A687" s="8" t="s">
        <v>2168</v>
      </c>
      <c r="B687" s="8">
        <f t="shared" si="100"/>
        <v>1</v>
      </c>
      <c r="C687" s="8" t="str">
        <f t="shared" si="101"/>
        <v>Unique</v>
      </c>
      <c r="D687" s="9">
        <v>45667</v>
      </c>
      <c r="E687" s="8">
        <f t="shared" si="102"/>
        <v>59</v>
      </c>
      <c r="F687" s="10">
        <v>45726</v>
      </c>
      <c r="G687" s="8" t="s">
        <v>1830</v>
      </c>
      <c r="H687" s="8" t="s">
        <v>77</v>
      </c>
      <c r="I687" s="8" t="str">
        <f t="shared" si="109"/>
        <v>Neha Gupta</v>
      </c>
      <c r="J687" s="8" t="s">
        <v>88</v>
      </c>
      <c r="K687" s="8" t="str">
        <f t="shared" si="103"/>
        <v>Corporate</v>
      </c>
      <c r="L687" s="8" t="s">
        <v>61</v>
      </c>
      <c r="M687" s="8" t="str">
        <f t="shared" si="104"/>
        <v>West</v>
      </c>
      <c r="N687" s="8" t="s">
        <v>188</v>
      </c>
      <c r="O687" s="8" t="str">
        <f t="shared" si="105"/>
        <v>Goa</v>
      </c>
      <c r="P687" s="8" t="s">
        <v>189</v>
      </c>
      <c r="Q687" s="8" t="str">
        <f t="shared" si="106"/>
        <v>Panaji</v>
      </c>
      <c r="R687" s="8" t="s">
        <v>26</v>
      </c>
      <c r="S687" s="8" t="str">
        <f t="shared" si="107"/>
        <v>Office Supplies</v>
      </c>
      <c r="T687" s="8" t="s">
        <v>46</v>
      </c>
      <c r="U687" s="8" t="str">
        <f t="shared" si="108"/>
        <v>Art</v>
      </c>
      <c r="V687" s="8" t="s">
        <v>2169</v>
      </c>
    </row>
    <row r="688" spans="1:22">
      <c r="A688" s="8" t="s">
        <v>2170</v>
      </c>
      <c r="B688" s="8">
        <f t="shared" si="100"/>
        <v>1</v>
      </c>
      <c r="C688" s="8" t="str">
        <f t="shared" si="101"/>
        <v>Unique</v>
      </c>
      <c r="D688" s="9">
        <v>45376</v>
      </c>
      <c r="E688" s="8">
        <f t="shared" si="102"/>
        <v>8</v>
      </c>
      <c r="F688" s="10">
        <v>45384</v>
      </c>
      <c r="G688" s="8" t="s">
        <v>2171</v>
      </c>
      <c r="H688" s="8" t="s">
        <v>130</v>
      </c>
      <c r="I688" s="8" t="str">
        <f t="shared" si="109"/>
        <v>Sneha Kapoor</v>
      </c>
      <c r="J688" s="8" t="s">
        <v>93</v>
      </c>
      <c r="K688" s="8" t="str">
        <f t="shared" si="103"/>
        <v>Home Office</v>
      </c>
      <c r="L688" s="8" t="s">
        <v>52</v>
      </c>
      <c r="M688" s="8" t="str">
        <f t="shared" si="104"/>
        <v>South</v>
      </c>
      <c r="N688" s="8" t="s">
        <v>246</v>
      </c>
      <c r="O688" s="8" t="str">
        <f t="shared" si="105"/>
        <v>Tamil Nadu</v>
      </c>
      <c r="P688" s="8" t="s">
        <v>247</v>
      </c>
      <c r="Q688" s="8" t="str">
        <f t="shared" si="106"/>
        <v>Chennai</v>
      </c>
      <c r="R688" s="8" t="s">
        <v>72</v>
      </c>
      <c r="S688" s="8" t="str">
        <f t="shared" si="107"/>
        <v>Technology</v>
      </c>
      <c r="T688" s="8" t="s">
        <v>78</v>
      </c>
      <c r="U688" s="8" t="str">
        <f t="shared" si="108"/>
        <v>Copiers</v>
      </c>
      <c r="V688" s="8" t="s">
        <v>2172</v>
      </c>
    </row>
    <row r="689" spans="1:22">
      <c r="A689" s="8" t="s">
        <v>2173</v>
      </c>
      <c r="B689" s="8">
        <f t="shared" si="100"/>
        <v>1</v>
      </c>
      <c r="C689" s="8" t="str">
        <f t="shared" si="101"/>
        <v>Unique</v>
      </c>
      <c r="D689" s="9">
        <v>45879</v>
      </c>
      <c r="E689" s="8">
        <f t="shared" si="102"/>
        <v>64</v>
      </c>
      <c r="F689" s="10">
        <v>45943</v>
      </c>
      <c r="G689" s="8" t="s">
        <v>2174</v>
      </c>
      <c r="H689" s="8" t="s">
        <v>34</v>
      </c>
      <c r="I689" s="8" t="str">
        <f t="shared" si="109"/>
        <v>Mira Das</v>
      </c>
      <c r="J689" s="8" t="s">
        <v>93</v>
      </c>
      <c r="K689" s="8" t="str">
        <f t="shared" si="103"/>
        <v>Home Office</v>
      </c>
      <c r="L689" s="8" t="s">
        <v>23</v>
      </c>
      <c r="M689" s="8" t="str">
        <f t="shared" si="104"/>
        <v>North</v>
      </c>
      <c r="N689" s="8" t="s">
        <v>120</v>
      </c>
      <c r="O689" s="8" t="str">
        <f t="shared" si="105"/>
        <v>Punjab</v>
      </c>
      <c r="P689" s="8" t="s">
        <v>121</v>
      </c>
      <c r="Q689" s="8" t="str">
        <f t="shared" si="106"/>
        <v>Ludhiana</v>
      </c>
      <c r="R689" s="8" t="s">
        <v>39</v>
      </c>
      <c r="S689" s="8" t="str">
        <f t="shared" si="107"/>
        <v>Furniture</v>
      </c>
      <c r="T689" s="8" t="s">
        <v>40</v>
      </c>
      <c r="U689" s="8" t="str">
        <f t="shared" si="108"/>
        <v>Tables</v>
      </c>
      <c r="V689" s="8" t="s">
        <v>2175</v>
      </c>
    </row>
    <row r="690" spans="1:22">
      <c r="A690" s="8" t="s">
        <v>2176</v>
      </c>
      <c r="B690" s="8">
        <f t="shared" si="100"/>
        <v>1</v>
      </c>
      <c r="C690" s="8" t="str">
        <f t="shared" si="101"/>
        <v>Unique</v>
      </c>
      <c r="D690" s="9">
        <v>45714</v>
      </c>
      <c r="E690" s="8">
        <f t="shared" si="102"/>
        <v>1</v>
      </c>
      <c r="F690" s="10">
        <v>45715</v>
      </c>
      <c r="G690" s="8" t="s">
        <v>2177</v>
      </c>
      <c r="H690" s="8" t="s">
        <v>77</v>
      </c>
      <c r="I690" s="8" t="str">
        <f t="shared" si="109"/>
        <v>Neha Gupta</v>
      </c>
      <c r="J690" s="8" t="s">
        <v>93</v>
      </c>
      <c r="K690" s="8" t="str">
        <f t="shared" si="103"/>
        <v>Home Office</v>
      </c>
      <c r="L690" s="8" t="s">
        <v>23</v>
      </c>
      <c r="M690" s="8" t="str">
        <f t="shared" si="104"/>
        <v>North</v>
      </c>
      <c r="N690" s="8" t="s">
        <v>235</v>
      </c>
      <c r="O690" s="8" t="str">
        <f t="shared" si="105"/>
        <v>Haryana</v>
      </c>
      <c r="P690" s="8" t="s">
        <v>236</v>
      </c>
      <c r="Q690" s="8" t="str">
        <f t="shared" si="106"/>
        <v>Gurugram</v>
      </c>
      <c r="R690" s="8" t="s">
        <v>26</v>
      </c>
      <c r="S690" s="8" t="str">
        <f t="shared" si="107"/>
        <v>Office Supplies</v>
      </c>
      <c r="T690" s="8" t="s">
        <v>46</v>
      </c>
      <c r="U690" s="8" t="str">
        <f t="shared" si="108"/>
        <v>Art</v>
      </c>
      <c r="V690" s="8" t="s">
        <v>2178</v>
      </c>
    </row>
    <row r="691" spans="1:22">
      <c r="A691" s="8" t="s">
        <v>2179</v>
      </c>
      <c r="B691" s="8">
        <f t="shared" si="100"/>
        <v>1</v>
      </c>
      <c r="C691" s="8" t="str">
        <f t="shared" si="101"/>
        <v>Unique</v>
      </c>
      <c r="D691" s="9">
        <v>45422</v>
      </c>
      <c r="E691" s="8">
        <f t="shared" si="102"/>
        <v>31</v>
      </c>
      <c r="F691" s="10">
        <v>45453</v>
      </c>
      <c r="G691" s="8" t="s">
        <v>2180</v>
      </c>
      <c r="H691" s="8" t="s">
        <v>139</v>
      </c>
      <c r="I691" s="8" t="str">
        <f t="shared" si="109"/>
        <v>Rohan Mehta</v>
      </c>
      <c r="J691" s="8" t="s">
        <v>35</v>
      </c>
      <c r="K691" s="8" t="str">
        <f t="shared" si="103"/>
        <v>Small Business</v>
      </c>
      <c r="L691" s="8" t="s">
        <v>23</v>
      </c>
      <c r="M691" s="8" t="str">
        <f t="shared" si="104"/>
        <v>North</v>
      </c>
      <c r="N691" s="8" t="s">
        <v>120</v>
      </c>
      <c r="O691" s="8" t="str">
        <f t="shared" si="105"/>
        <v>Punjab</v>
      </c>
      <c r="P691" s="8" t="s">
        <v>121</v>
      </c>
      <c r="Q691" s="8" t="str">
        <f t="shared" si="106"/>
        <v>Ludhiana</v>
      </c>
      <c r="R691" s="8" t="s">
        <v>39</v>
      </c>
      <c r="S691" s="8" t="str">
        <f t="shared" si="107"/>
        <v>Furniture</v>
      </c>
      <c r="T691" s="8" t="s">
        <v>40</v>
      </c>
      <c r="U691" s="8" t="str">
        <f t="shared" si="108"/>
        <v>Tables</v>
      </c>
      <c r="V691" s="8" t="s">
        <v>2181</v>
      </c>
    </row>
    <row r="692" spans="1:22">
      <c r="A692" s="8" t="s">
        <v>2182</v>
      </c>
      <c r="B692" s="8">
        <f t="shared" si="100"/>
        <v>1</v>
      </c>
      <c r="C692" s="8" t="str">
        <f t="shared" si="101"/>
        <v>Unique</v>
      </c>
      <c r="D692" s="9">
        <v>45546</v>
      </c>
      <c r="E692" s="8">
        <f t="shared" si="102"/>
        <v>4</v>
      </c>
      <c r="F692" s="10">
        <v>45550</v>
      </c>
      <c r="G692" s="8" t="s">
        <v>2183</v>
      </c>
      <c r="H692" s="8" t="s">
        <v>130</v>
      </c>
      <c r="I692" s="8" t="str">
        <f t="shared" si="109"/>
        <v>Sneha Kapoor</v>
      </c>
      <c r="J692" s="8" t="s">
        <v>88</v>
      </c>
      <c r="K692" s="8" t="str">
        <f t="shared" si="103"/>
        <v>Corporate</v>
      </c>
      <c r="L692" s="8" t="s">
        <v>52</v>
      </c>
      <c r="M692" s="8" t="str">
        <f t="shared" si="104"/>
        <v>South</v>
      </c>
      <c r="N692" s="8" t="s">
        <v>246</v>
      </c>
      <c r="O692" s="8" t="str">
        <f t="shared" si="105"/>
        <v>Tamil Nadu</v>
      </c>
      <c r="P692" s="8" t="s">
        <v>247</v>
      </c>
      <c r="Q692" s="8" t="str">
        <f t="shared" si="106"/>
        <v>Chennai</v>
      </c>
      <c r="R692" s="8" t="s">
        <v>26</v>
      </c>
      <c r="S692" s="8" t="str">
        <f t="shared" si="107"/>
        <v>Office Supplies</v>
      </c>
      <c r="T692" s="8" t="s">
        <v>46</v>
      </c>
      <c r="U692" s="8" t="str">
        <f t="shared" si="108"/>
        <v>Art</v>
      </c>
      <c r="V692" s="8" t="s">
        <v>2184</v>
      </c>
    </row>
    <row r="693" spans="1:22">
      <c r="A693" s="8" t="s">
        <v>2185</v>
      </c>
      <c r="B693" s="8">
        <f t="shared" si="100"/>
        <v>1</v>
      </c>
      <c r="C693" s="8" t="str">
        <f t="shared" si="101"/>
        <v>Unique</v>
      </c>
      <c r="D693" s="9">
        <v>45641</v>
      </c>
      <c r="E693" s="8">
        <f t="shared" si="102"/>
        <v>1</v>
      </c>
      <c r="F693" s="10">
        <v>45642</v>
      </c>
      <c r="G693" s="8" t="s">
        <v>2186</v>
      </c>
      <c r="H693" s="8" t="s">
        <v>139</v>
      </c>
      <c r="I693" s="8" t="str">
        <f t="shared" si="109"/>
        <v>Rohan Mehta</v>
      </c>
      <c r="J693" s="8" t="s">
        <v>22</v>
      </c>
      <c r="K693" s="8" t="str">
        <f t="shared" si="103"/>
        <v>Consumer</v>
      </c>
      <c r="L693" s="8" t="s">
        <v>36</v>
      </c>
      <c r="M693" s="8" t="str">
        <f t="shared" si="104"/>
        <v>East</v>
      </c>
      <c r="N693" s="8" t="s">
        <v>37</v>
      </c>
      <c r="O693" s="8" t="str">
        <f t="shared" si="105"/>
        <v>Odisha</v>
      </c>
      <c r="P693" s="8" t="s">
        <v>38</v>
      </c>
      <c r="Q693" s="8" t="str">
        <f t="shared" si="106"/>
        <v>Bhubaneswar</v>
      </c>
      <c r="R693" s="8" t="s">
        <v>72</v>
      </c>
      <c r="S693" s="8" t="str">
        <f t="shared" si="107"/>
        <v>Technology</v>
      </c>
      <c r="T693" s="8" t="s">
        <v>78</v>
      </c>
      <c r="U693" s="8" t="str">
        <f t="shared" si="108"/>
        <v>Copiers</v>
      </c>
      <c r="V693" s="8" t="s">
        <v>2187</v>
      </c>
    </row>
    <row r="694" spans="1:22">
      <c r="A694" s="8" t="s">
        <v>2188</v>
      </c>
      <c r="B694" s="8">
        <f t="shared" si="100"/>
        <v>1</v>
      </c>
      <c r="C694" s="8" t="str">
        <f t="shared" si="101"/>
        <v>Unique</v>
      </c>
      <c r="D694" s="9">
        <v>45787</v>
      </c>
      <c r="E694" s="8">
        <f t="shared" si="102"/>
        <v>153</v>
      </c>
      <c r="F694" s="10">
        <v>45940</v>
      </c>
      <c r="G694" s="8" t="s">
        <v>2189</v>
      </c>
      <c r="H694" s="8" t="s">
        <v>45</v>
      </c>
      <c r="I694" s="8" t="str">
        <f t="shared" si="109"/>
        <v>Isha Nair</v>
      </c>
      <c r="J694" s="8" t="s">
        <v>1183</v>
      </c>
      <c r="K694" s="8" t="str">
        <f t="shared" si="103"/>
        <v>Corporate</v>
      </c>
      <c r="L694" s="8" t="s">
        <v>52</v>
      </c>
      <c r="M694" s="8" t="str">
        <f t="shared" si="104"/>
        <v>South</v>
      </c>
      <c r="N694" s="8" t="s">
        <v>173</v>
      </c>
      <c r="O694" s="8" t="str">
        <f t="shared" si="105"/>
        <v>Karnataka</v>
      </c>
      <c r="P694" s="8" t="s">
        <v>174</v>
      </c>
      <c r="Q694" s="8" t="str">
        <f t="shared" si="106"/>
        <v>Bengaluru</v>
      </c>
      <c r="R694" s="8" t="s">
        <v>39</v>
      </c>
      <c r="S694" s="8" t="str">
        <f t="shared" si="107"/>
        <v>Furniture</v>
      </c>
      <c r="T694" s="8" t="s">
        <v>55</v>
      </c>
      <c r="U694" s="8" t="str">
        <f t="shared" si="108"/>
        <v>Furnishings</v>
      </c>
      <c r="V694" s="8" t="s">
        <v>2190</v>
      </c>
    </row>
    <row r="695" spans="1:22">
      <c r="A695" s="8" t="s">
        <v>2191</v>
      </c>
      <c r="B695" s="8">
        <f t="shared" si="100"/>
        <v>1</v>
      </c>
      <c r="C695" s="8" t="str">
        <f t="shared" si="101"/>
        <v>Unique</v>
      </c>
      <c r="D695" s="9">
        <v>45720</v>
      </c>
      <c r="E695" s="8">
        <f t="shared" si="102"/>
        <v>245</v>
      </c>
      <c r="F695" s="10">
        <v>45965</v>
      </c>
      <c r="G695" s="8" t="s">
        <v>2192</v>
      </c>
      <c r="H695" s="8" t="s">
        <v>51</v>
      </c>
      <c r="I695" s="8" t="str">
        <f t="shared" si="109"/>
        <v>Arjun Bose</v>
      </c>
      <c r="J695" s="8" t="s">
        <v>22</v>
      </c>
      <c r="K695" s="8" t="str">
        <f t="shared" si="103"/>
        <v>Consumer</v>
      </c>
      <c r="L695" s="8" t="s">
        <v>52</v>
      </c>
      <c r="M695" s="8" t="str">
        <f t="shared" si="104"/>
        <v>South</v>
      </c>
      <c r="N695" s="8" t="s">
        <v>246</v>
      </c>
      <c r="O695" s="8" t="str">
        <f t="shared" si="105"/>
        <v>Tamil Nadu</v>
      </c>
      <c r="P695" s="8" t="s">
        <v>247</v>
      </c>
      <c r="Q695" s="8" t="str">
        <f t="shared" si="106"/>
        <v>Chennai</v>
      </c>
      <c r="R695" s="8" t="s">
        <v>39</v>
      </c>
      <c r="S695" s="8" t="str">
        <f t="shared" si="107"/>
        <v>Furniture</v>
      </c>
      <c r="T695" s="8" t="s">
        <v>156</v>
      </c>
      <c r="U695" s="8" t="str">
        <f t="shared" si="108"/>
        <v>Bookcases</v>
      </c>
      <c r="V695" s="8" t="s">
        <v>2193</v>
      </c>
    </row>
    <row r="696" spans="1:22">
      <c r="A696" s="8" t="s">
        <v>2194</v>
      </c>
      <c r="B696" s="8">
        <f t="shared" si="100"/>
        <v>2</v>
      </c>
      <c r="C696" s="8" t="str">
        <f t="shared" si="101"/>
        <v>Review Duplicate ID</v>
      </c>
      <c r="D696" s="9">
        <v>45665</v>
      </c>
      <c r="E696" s="8">
        <f t="shared" si="102"/>
        <v>243</v>
      </c>
      <c r="F696" s="10">
        <v>45908</v>
      </c>
      <c r="G696" s="8" t="s">
        <v>1152</v>
      </c>
      <c r="H696" s="8" t="s">
        <v>45</v>
      </c>
      <c r="I696" s="8" t="str">
        <f t="shared" si="109"/>
        <v>Isha Nair</v>
      </c>
      <c r="J696" s="8" t="s">
        <v>22</v>
      </c>
      <c r="K696" s="8" t="str">
        <f t="shared" si="103"/>
        <v>Consumer</v>
      </c>
      <c r="L696" s="8" t="s">
        <v>52</v>
      </c>
      <c r="M696" s="8" t="str">
        <f t="shared" si="104"/>
        <v>South</v>
      </c>
      <c r="N696" s="8" t="s">
        <v>82</v>
      </c>
      <c r="O696" s="8" t="str">
        <f t="shared" si="105"/>
        <v>Andhra Pradesh</v>
      </c>
      <c r="P696" s="8" t="s">
        <v>83</v>
      </c>
      <c r="Q696" s="8" t="str">
        <f t="shared" si="106"/>
        <v>Vijayawada</v>
      </c>
      <c r="R696" s="8" t="s">
        <v>26</v>
      </c>
      <c r="S696" s="8" t="str">
        <f t="shared" si="107"/>
        <v>Office Supplies</v>
      </c>
      <c r="T696" s="8" t="s">
        <v>122</v>
      </c>
      <c r="U696" s="8" t="str">
        <f t="shared" si="108"/>
        <v>Storage</v>
      </c>
      <c r="V696" s="8" t="s">
        <v>2195</v>
      </c>
    </row>
    <row r="697" spans="1:22">
      <c r="A697" s="8" t="s">
        <v>2196</v>
      </c>
      <c r="B697" s="8">
        <f t="shared" si="100"/>
        <v>1</v>
      </c>
      <c r="C697" s="8" t="str">
        <f t="shared" si="101"/>
        <v>Unique</v>
      </c>
      <c r="D697" s="9">
        <v>45298</v>
      </c>
      <c r="E697" s="8">
        <f t="shared" si="102"/>
        <v>0</v>
      </c>
      <c r="F697" s="10">
        <v>45298</v>
      </c>
      <c r="G697" s="8" t="s">
        <v>2197</v>
      </c>
      <c r="H697" s="8" t="s">
        <v>126</v>
      </c>
      <c r="I697" s="8" t="str">
        <f t="shared" si="109"/>
        <v>Aarav Sharma</v>
      </c>
      <c r="J697" s="8" t="s">
        <v>22</v>
      </c>
      <c r="K697" s="8" t="str">
        <f t="shared" si="103"/>
        <v>Consumer</v>
      </c>
      <c r="L697" s="8" t="s">
        <v>61</v>
      </c>
      <c r="M697" s="8" t="str">
        <f t="shared" si="104"/>
        <v>West</v>
      </c>
      <c r="N697" s="8" t="s">
        <v>70</v>
      </c>
      <c r="O697" s="8" t="str">
        <f t="shared" si="105"/>
        <v>Madhya Pradesh</v>
      </c>
      <c r="P697" s="8" t="s">
        <v>71</v>
      </c>
      <c r="Q697" s="8" t="str">
        <f t="shared" si="106"/>
        <v>Indore</v>
      </c>
      <c r="R697" s="8" t="s">
        <v>72</v>
      </c>
      <c r="S697" s="8" t="str">
        <f t="shared" si="107"/>
        <v>Technology</v>
      </c>
      <c r="T697" s="8" t="s">
        <v>273</v>
      </c>
      <c r="U697" s="8" t="str">
        <f t="shared" si="108"/>
        <v>Machines</v>
      </c>
      <c r="V697" s="8" t="s">
        <v>2198</v>
      </c>
    </row>
    <row r="698" spans="1:22">
      <c r="A698" s="8" t="s">
        <v>2199</v>
      </c>
      <c r="B698" s="8">
        <f t="shared" si="100"/>
        <v>1</v>
      </c>
      <c r="C698" s="8" t="str">
        <f t="shared" si="101"/>
        <v>Unique</v>
      </c>
      <c r="D698" s="9">
        <v>45922</v>
      </c>
      <c r="E698" s="8">
        <f t="shared" si="102"/>
        <v>3</v>
      </c>
      <c r="F698" s="10">
        <v>45925</v>
      </c>
      <c r="G698" s="8" t="s">
        <v>2200</v>
      </c>
      <c r="H698" s="8" t="s">
        <v>45</v>
      </c>
      <c r="I698" s="8" t="str">
        <f t="shared" si="109"/>
        <v>Isha Nair</v>
      </c>
      <c r="J698" s="8" t="s">
        <v>35</v>
      </c>
      <c r="K698" s="8" t="str">
        <f t="shared" si="103"/>
        <v>Small Business</v>
      </c>
      <c r="L698" s="8" t="s">
        <v>52</v>
      </c>
      <c r="M698" s="8" t="str">
        <f t="shared" si="104"/>
        <v>South</v>
      </c>
      <c r="N698" s="8" t="s">
        <v>183</v>
      </c>
      <c r="O698" s="8" t="str">
        <f t="shared" si="105"/>
        <v>Kerala</v>
      </c>
      <c r="P698" s="8" t="s">
        <v>184</v>
      </c>
      <c r="Q698" s="8" t="str">
        <f t="shared" si="106"/>
        <v>Kochi</v>
      </c>
      <c r="R698" s="8" t="s">
        <v>72</v>
      </c>
      <c r="S698" s="8" t="str">
        <f t="shared" si="107"/>
        <v>Technology</v>
      </c>
      <c r="T698" s="8" t="s">
        <v>169</v>
      </c>
      <c r="U698" s="8" t="str">
        <f t="shared" si="108"/>
        <v>Phones</v>
      </c>
      <c r="V698" s="8" t="s">
        <v>2201</v>
      </c>
    </row>
    <row r="699" spans="1:22">
      <c r="A699" s="8" t="s">
        <v>2202</v>
      </c>
      <c r="B699" s="8">
        <f t="shared" si="100"/>
        <v>1</v>
      </c>
      <c r="C699" s="8" t="str">
        <f t="shared" si="101"/>
        <v>Unique</v>
      </c>
      <c r="D699" s="9">
        <v>45717</v>
      </c>
      <c r="E699" s="8">
        <f t="shared" si="102"/>
        <v>124</v>
      </c>
      <c r="F699" s="10">
        <v>45841</v>
      </c>
      <c r="G699" s="8" t="s">
        <v>2203</v>
      </c>
      <c r="H699" s="8" t="s">
        <v>51</v>
      </c>
      <c r="I699" s="8" t="str">
        <f t="shared" si="109"/>
        <v>Arjun Bose</v>
      </c>
      <c r="J699" s="8" t="s">
        <v>88</v>
      </c>
      <c r="K699" s="8" t="str">
        <f t="shared" si="103"/>
        <v>Corporate</v>
      </c>
      <c r="L699" s="8" t="s">
        <v>52</v>
      </c>
      <c r="M699" s="8" t="str">
        <f t="shared" si="104"/>
        <v>South</v>
      </c>
      <c r="N699" s="8" t="s">
        <v>82</v>
      </c>
      <c r="O699" s="8" t="str">
        <f t="shared" si="105"/>
        <v>Andhra Pradesh</v>
      </c>
      <c r="P699" s="8" t="s">
        <v>83</v>
      </c>
      <c r="Q699" s="8" t="str">
        <f t="shared" si="106"/>
        <v>Vijayawada</v>
      </c>
      <c r="R699" s="8" t="s">
        <v>26</v>
      </c>
      <c r="S699" s="8" t="str">
        <f t="shared" si="107"/>
        <v>Office Supplies</v>
      </c>
      <c r="T699" s="8" t="s">
        <v>89</v>
      </c>
      <c r="U699" s="8" t="str">
        <f t="shared" si="108"/>
        <v>Labels</v>
      </c>
      <c r="V699" s="8" t="s">
        <v>2204</v>
      </c>
    </row>
    <row r="700" spans="1:22">
      <c r="A700" s="8" t="s">
        <v>2205</v>
      </c>
      <c r="B700" s="8">
        <f t="shared" si="100"/>
        <v>1</v>
      </c>
      <c r="C700" s="8" t="str">
        <f t="shared" si="101"/>
        <v>Unique</v>
      </c>
      <c r="D700" s="9">
        <v>45549</v>
      </c>
      <c r="E700" s="8">
        <f t="shared" si="102"/>
        <v>0</v>
      </c>
      <c r="F700" s="10">
        <v>45549</v>
      </c>
      <c r="G700" s="8" t="s">
        <v>2206</v>
      </c>
      <c r="H700" s="8" t="s">
        <v>34</v>
      </c>
      <c r="I700" s="8" t="str">
        <f t="shared" si="109"/>
        <v>Mira Das</v>
      </c>
      <c r="J700" s="8" t="s">
        <v>88</v>
      </c>
      <c r="K700" s="8" t="str">
        <f t="shared" si="103"/>
        <v>Corporate</v>
      </c>
      <c r="L700" s="8" t="s">
        <v>23</v>
      </c>
      <c r="M700" s="8" t="str">
        <f t="shared" si="104"/>
        <v>North</v>
      </c>
      <c r="N700" s="8" t="s">
        <v>24</v>
      </c>
      <c r="O700" s="8" t="str">
        <f t="shared" si="105"/>
        <v>Rajasthan</v>
      </c>
      <c r="P700" s="8" t="s">
        <v>25</v>
      </c>
      <c r="Q700" s="8" t="str">
        <f t="shared" si="106"/>
        <v>Jaipur</v>
      </c>
      <c r="R700" s="8" t="s">
        <v>72</v>
      </c>
      <c r="S700" s="8" t="str">
        <f t="shared" si="107"/>
        <v>Technology</v>
      </c>
      <c r="T700" s="8" t="s">
        <v>273</v>
      </c>
      <c r="U700" s="8" t="str">
        <f t="shared" si="108"/>
        <v>Machines</v>
      </c>
      <c r="V700" s="8" t="s">
        <v>2207</v>
      </c>
    </row>
    <row r="701" spans="1:22">
      <c r="A701" s="8" t="s">
        <v>2208</v>
      </c>
      <c r="B701" s="8">
        <f t="shared" si="100"/>
        <v>1</v>
      </c>
      <c r="C701" s="8" t="str">
        <f t="shared" si="101"/>
        <v>Unique</v>
      </c>
      <c r="D701" s="9">
        <v>45602</v>
      </c>
      <c r="E701" s="8">
        <f t="shared" si="102"/>
        <v>0</v>
      </c>
      <c r="F701" s="10">
        <v>45602</v>
      </c>
      <c r="G701" s="8" t="s">
        <v>2209</v>
      </c>
      <c r="H701" s="8" t="s">
        <v>51</v>
      </c>
      <c r="I701" s="8" t="str">
        <f t="shared" si="109"/>
        <v>Arjun Bose</v>
      </c>
      <c r="J701" s="8" t="s">
        <v>35</v>
      </c>
      <c r="K701" s="8" t="str">
        <f t="shared" si="103"/>
        <v>Small Business</v>
      </c>
      <c r="L701" s="8" t="s">
        <v>52</v>
      </c>
      <c r="M701" s="8" t="str">
        <f t="shared" si="104"/>
        <v>South</v>
      </c>
      <c r="N701" s="8" t="s">
        <v>173</v>
      </c>
      <c r="O701" s="8" t="str">
        <f t="shared" si="105"/>
        <v>Karnataka</v>
      </c>
      <c r="P701" s="8" t="s">
        <v>174</v>
      </c>
      <c r="Q701" s="8" t="str">
        <f t="shared" si="106"/>
        <v>Bengaluru</v>
      </c>
      <c r="R701" s="8" t="s">
        <v>39</v>
      </c>
      <c r="S701" s="8" t="str">
        <f t="shared" si="107"/>
        <v>Furniture</v>
      </c>
      <c r="T701" s="8" t="s">
        <v>156</v>
      </c>
      <c r="U701" s="8" t="str">
        <f t="shared" si="108"/>
        <v>Bookcases</v>
      </c>
      <c r="V701" s="8" t="s">
        <v>2210</v>
      </c>
    </row>
    <row r="702" spans="1:22">
      <c r="A702" s="8" t="s">
        <v>2211</v>
      </c>
      <c r="B702" s="8">
        <f t="shared" si="100"/>
        <v>1</v>
      </c>
      <c r="C702" s="8" t="str">
        <f t="shared" si="101"/>
        <v>Unique</v>
      </c>
      <c r="D702" s="9">
        <v>45553</v>
      </c>
      <c r="E702" s="8">
        <f t="shared" si="102"/>
        <v>3</v>
      </c>
      <c r="F702" s="10">
        <v>45556</v>
      </c>
      <c r="G702" s="8" t="s">
        <v>2212</v>
      </c>
      <c r="H702" s="8" t="s">
        <v>77</v>
      </c>
      <c r="I702" s="8" t="str">
        <f t="shared" si="109"/>
        <v>Neha Gupta</v>
      </c>
      <c r="J702" s="8" t="s">
        <v>88</v>
      </c>
      <c r="K702" s="8" t="str">
        <f t="shared" si="103"/>
        <v>Corporate</v>
      </c>
      <c r="L702" s="8" t="s">
        <v>36</v>
      </c>
      <c r="M702" s="8" t="str">
        <f t="shared" si="104"/>
        <v>East</v>
      </c>
      <c r="N702" s="8" t="s">
        <v>97</v>
      </c>
      <c r="O702" s="8" t="str">
        <f t="shared" si="105"/>
        <v>West Bengal</v>
      </c>
      <c r="P702" s="8" t="s">
        <v>98</v>
      </c>
      <c r="Q702" s="8" t="str">
        <f t="shared" si="106"/>
        <v>Kolkata</v>
      </c>
      <c r="R702" s="8" t="s">
        <v>72</v>
      </c>
      <c r="S702" s="8" t="str">
        <f t="shared" si="107"/>
        <v>Technology</v>
      </c>
      <c r="T702" s="8" t="s">
        <v>273</v>
      </c>
      <c r="U702" s="8" t="str">
        <f t="shared" si="108"/>
        <v>Machines</v>
      </c>
      <c r="V702" s="8" t="s">
        <v>2213</v>
      </c>
    </row>
    <row r="703" spans="1:22">
      <c r="A703" s="8" t="s">
        <v>2214</v>
      </c>
      <c r="B703" s="8">
        <f t="shared" si="100"/>
        <v>1</v>
      </c>
      <c r="C703" s="8" t="str">
        <f t="shared" si="101"/>
        <v>Unique</v>
      </c>
      <c r="D703" s="9">
        <v>45412</v>
      </c>
      <c r="E703" s="8">
        <f t="shared" si="102"/>
        <v>-25</v>
      </c>
      <c r="F703" s="10">
        <v>45387</v>
      </c>
      <c r="G703" s="8" t="s">
        <v>2215</v>
      </c>
      <c r="H703" s="8" t="s">
        <v>139</v>
      </c>
      <c r="I703" s="8" t="str">
        <f t="shared" si="109"/>
        <v>Rohan Mehta</v>
      </c>
      <c r="J703" s="8" t="s">
        <v>35</v>
      </c>
      <c r="K703" s="8" t="str">
        <f t="shared" si="103"/>
        <v>Small Business</v>
      </c>
      <c r="L703" s="8" t="s">
        <v>61</v>
      </c>
      <c r="M703" s="8" t="str">
        <f t="shared" si="104"/>
        <v>West</v>
      </c>
      <c r="N703" s="8" t="s">
        <v>178</v>
      </c>
      <c r="O703" s="8" t="str">
        <f t="shared" si="105"/>
        <v>Gujarat</v>
      </c>
      <c r="P703" s="8" t="s">
        <v>179</v>
      </c>
      <c r="Q703" s="8" t="str">
        <f t="shared" si="106"/>
        <v>Ahmedabad</v>
      </c>
      <c r="R703" s="8" t="s">
        <v>26</v>
      </c>
      <c r="S703" s="8" t="str">
        <f t="shared" si="107"/>
        <v>Office Supplies</v>
      </c>
      <c r="T703" s="8" t="s">
        <v>46</v>
      </c>
      <c r="U703" s="8" t="str">
        <f t="shared" si="108"/>
        <v>Art</v>
      </c>
      <c r="V703" s="8" t="s">
        <v>2216</v>
      </c>
    </row>
    <row r="704" spans="1:22">
      <c r="A704" s="8" t="s">
        <v>2217</v>
      </c>
      <c r="B704" s="8">
        <f t="shared" si="100"/>
        <v>1</v>
      </c>
      <c r="C704" s="8" t="str">
        <f t="shared" si="101"/>
        <v>Unique</v>
      </c>
      <c r="D704" s="9">
        <v>45690</v>
      </c>
      <c r="E704" s="8">
        <f t="shared" si="102"/>
        <v>4</v>
      </c>
      <c r="F704" s="10">
        <v>45694</v>
      </c>
      <c r="G704" s="8" t="s">
        <v>2218</v>
      </c>
      <c r="H704" s="8" t="s">
        <v>21</v>
      </c>
      <c r="I704" s="8" t="str">
        <f t="shared" si="109"/>
        <v>Karan Malhotra</v>
      </c>
      <c r="J704" s="8" t="s">
        <v>35</v>
      </c>
      <c r="K704" s="8" t="str">
        <f t="shared" si="103"/>
        <v>Small Business</v>
      </c>
      <c r="L704" s="8" t="s">
        <v>61</v>
      </c>
      <c r="M704" s="8" t="str">
        <f t="shared" si="104"/>
        <v>West</v>
      </c>
      <c r="N704" s="8" t="s">
        <v>24</v>
      </c>
      <c r="O704" s="8" t="str">
        <f t="shared" si="105"/>
        <v>Rajasthan</v>
      </c>
      <c r="P704" s="8" t="s">
        <v>107</v>
      </c>
      <c r="Q704" s="8" t="str">
        <f t="shared" si="106"/>
        <v>Udaipur</v>
      </c>
      <c r="R704" s="8" t="s">
        <v>39</v>
      </c>
      <c r="S704" s="8" t="str">
        <f t="shared" si="107"/>
        <v>Furniture</v>
      </c>
      <c r="T704" s="8" t="s">
        <v>40</v>
      </c>
      <c r="U704" s="8" t="str">
        <f t="shared" si="108"/>
        <v>Tables</v>
      </c>
      <c r="V704" s="8" t="s">
        <v>2219</v>
      </c>
    </row>
    <row r="705" spans="1:22">
      <c r="A705" s="8" t="s">
        <v>2220</v>
      </c>
      <c r="B705" s="8">
        <f t="shared" si="100"/>
        <v>1</v>
      </c>
      <c r="C705" s="8" t="str">
        <f t="shared" si="101"/>
        <v>Unique</v>
      </c>
      <c r="D705" s="9">
        <v>45584</v>
      </c>
      <c r="E705" s="8">
        <f t="shared" si="102"/>
        <v>1</v>
      </c>
      <c r="F705" s="10">
        <v>45585</v>
      </c>
      <c r="G705" s="8" t="s">
        <v>2221</v>
      </c>
      <c r="H705" s="8" t="s">
        <v>87</v>
      </c>
      <c r="I705" s="8" t="str">
        <f t="shared" si="109"/>
        <v>Aditi Sen</v>
      </c>
      <c r="J705" s="8" t="s">
        <v>88</v>
      </c>
      <c r="K705" s="8" t="str">
        <f t="shared" si="103"/>
        <v>Corporate</v>
      </c>
      <c r="L705" s="8" t="s">
        <v>23</v>
      </c>
      <c r="M705" s="8" t="str">
        <f t="shared" si="104"/>
        <v>North</v>
      </c>
      <c r="N705" s="8" t="s">
        <v>24</v>
      </c>
      <c r="O705" s="8" t="str">
        <f t="shared" si="105"/>
        <v>Rajasthan</v>
      </c>
      <c r="P705" s="8" t="s">
        <v>25</v>
      </c>
      <c r="Q705" s="8" t="str">
        <f t="shared" si="106"/>
        <v>Jaipur</v>
      </c>
      <c r="R705" s="8" t="s">
        <v>39</v>
      </c>
      <c r="S705" s="8" t="str">
        <f t="shared" si="107"/>
        <v>Furniture</v>
      </c>
      <c r="T705" s="8" t="s">
        <v>40</v>
      </c>
      <c r="U705" s="8" t="str">
        <f t="shared" si="108"/>
        <v>Tables</v>
      </c>
      <c r="V705" s="8" t="s">
        <v>2222</v>
      </c>
    </row>
    <row r="706" spans="1:22">
      <c r="A706" s="8" t="s">
        <v>2223</v>
      </c>
      <c r="B706" s="8">
        <f t="shared" si="100"/>
        <v>2</v>
      </c>
      <c r="C706" s="8" t="str">
        <f t="shared" si="101"/>
        <v>Review Duplicate ID</v>
      </c>
      <c r="D706" s="9">
        <v>45364</v>
      </c>
      <c r="E706" s="8">
        <f t="shared" si="102"/>
        <v>7</v>
      </c>
      <c r="F706" s="10">
        <v>45371</v>
      </c>
      <c r="G706" s="8" t="s">
        <v>2224</v>
      </c>
      <c r="H706" s="8" t="s">
        <v>112</v>
      </c>
      <c r="I706" s="8" t="str">
        <f t="shared" si="109"/>
        <v>Priya Menon</v>
      </c>
      <c r="J706" s="8" t="s">
        <v>93</v>
      </c>
      <c r="K706" s="8" t="str">
        <f t="shared" si="103"/>
        <v>Home Office</v>
      </c>
      <c r="L706" s="8" t="s">
        <v>52</v>
      </c>
      <c r="M706" s="8" t="str">
        <f t="shared" si="104"/>
        <v>South</v>
      </c>
      <c r="N706" s="8" t="s">
        <v>246</v>
      </c>
      <c r="O706" s="8" t="str">
        <f t="shared" si="105"/>
        <v>Tamil Nadu</v>
      </c>
      <c r="P706" s="8" t="s">
        <v>247</v>
      </c>
      <c r="Q706" s="8" t="str">
        <f t="shared" si="106"/>
        <v>Chennai</v>
      </c>
      <c r="R706" s="8" t="s">
        <v>39</v>
      </c>
      <c r="S706" s="8" t="str">
        <f t="shared" si="107"/>
        <v>Furniture</v>
      </c>
      <c r="T706" s="8" t="s">
        <v>156</v>
      </c>
      <c r="U706" s="8" t="str">
        <f t="shared" si="108"/>
        <v>Bookcases</v>
      </c>
      <c r="V706" s="8" t="s">
        <v>2225</v>
      </c>
    </row>
    <row r="707" spans="1:22">
      <c r="A707" s="8" t="s">
        <v>2226</v>
      </c>
      <c r="B707" s="8">
        <f t="shared" ref="B707:B770" si="110">COUNTIF($A:$A,A707)</f>
        <v>1</v>
      </c>
      <c r="C707" s="8" t="str">
        <f t="shared" ref="C707:C770" si="111">IF(B707&gt;1,"Review Duplicate ID","Unique")</f>
        <v>Unique</v>
      </c>
      <c r="D707" s="9">
        <v>45513</v>
      </c>
      <c r="E707" s="8">
        <f t="shared" ref="E707:E770" si="112">F707-D707</f>
        <v>36</v>
      </c>
      <c r="F707" s="10">
        <v>45549</v>
      </c>
      <c r="G707" s="8" t="s">
        <v>2227</v>
      </c>
      <c r="H707" s="8" t="s">
        <v>139</v>
      </c>
      <c r="I707" s="8" t="str">
        <f t="shared" si="109"/>
        <v>Rohan Mehta</v>
      </c>
      <c r="J707" s="8" t="s">
        <v>22</v>
      </c>
      <c r="K707" s="8" t="str">
        <f t="shared" ref="K707:K770" si="113">PROPER(TRIM(J707))</f>
        <v>Consumer</v>
      </c>
      <c r="L707" s="8" t="s">
        <v>23</v>
      </c>
      <c r="M707" s="8" t="str">
        <f t="shared" ref="M707:M770" si="114">PROPER(TRIM(L707))</f>
        <v>North</v>
      </c>
      <c r="N707" s="8" t="s">
        <v>24</v>
      </c>
      <c r="O707" s="8" t="str">
        <f t="shared" ref="O707:O770" si="115">PROPER(TRIM(N707))</f>
        <v>Rajasthan</v>
      </c>
      <c r="P707" s="8" t="s">
        <v>25</v>
      </c>
      <c r="Q707" s="8" t="str">
        <f t="shared" ref="Q707:Q770" si="116">PROPER(TRIM(P707))</f>
        <v>Jaipur</v>
      </c>
      <c r="R707" s="8" t="s">
        <v>26</v>
      </c>
      <c r="S707" s="8" t="str">
        <f t="shared" ref="S707:S770" si="117">PROPER(TRIM(R707))</f>
        <v>Office Supplies</v>
      </c>
      <c r="T707" s="8" t="s">
        <v>151</v>
      </c>
      <c r="U707" s="8" t="str">
        <f t="shared" ref="U707:U770" si="118">PROPER(TRIM(T707))</f>
        <v>Binders</v>
      </c>
      <c r="V707" s="8" t="s">
        <v>2228</v>
      </c>
    </row>
    <row r="708" spans="1:22">
      <c r="A708" s="8" t="s">
        <v>2229</v>
      </c>
      <c r="B708" s="8">
        <f t="shared" si="110"/>
        <v>1</v>
      </c>
      <c r="C708" s="8" t="str">
        <f t="shared" si="111"/>
        <v>Unique</v>
      </c>
      <c r="D708" s="9">
        <v>45467</v>
      </c>
      <c r="E708" s="8">
        <f t="shared" si="112"/>
        <v>4</v>
      </c>
      <c r="F708" s="10">
        <v>45471</v>
      </c>
      <c r="G708" s="8" t="s">
        <v>2230</v>
      </c>
      <c r="H708" s="8" t="s">
        <v>45</v>
      </c>
      <c r="I708" s="8" t="str">
        <f t="shared" ref="I708:I771" si="119">PROPER(TRIM(H708))</f>
        <v>Isha Nair</v>
      </c>
      <c r="J708" s="8" t="s">
        <v>35</v>
      </c>
      <c r="K708" s="8" t="str">
        <f t="shared" si="113"/>
        <v>Small Business</v>
      </c>
      <c r="L708" s="8" t="s">
        <v>36</v>
      </c>
      <c r="M708" s="8" t="str">
        <f t="shared" si="114"/>
        <v>East</v>
      </c>
      <c r="N708" s="8" t="s">
        <v>37</v>
      </c>
      <c r="O708" s="8" t="str">
        <f t="shared" si="115"/>
        <v>Odisha</v>
      </c>
      <c r="P708" s="8" t="s">
        <v>38</v>
      </c>
      <c r="Q708" s="8" t="str">
        <f t="shared" si="116"/>
        <v>Bhubaneswar</v>
      </c>
      <c r="R708" s="8" t="s">
        <v>26</v>
      </c>
      <c r="S708" s="8" t="str">
        <f t="shared" si="117"/>
        <v>Office Supplies</v>
      </c>
      <c r="T708" s="8" t="s">
        <v>27</v>
      </c>
      <c r="U708" s="8" t="str">
        <f t="shared" si="118"/>
        <v>Paper</v>
      </c>
      <c r="V708" s="8" t="s">
        <v>2231</v>
      </c>
    </row>
    <row r="709" spans="1:22">
      <c r="A709" s="8" t="s">
        <v>2232</v>
      </c>
      <c r="B709" s="8">
        <f t="shared" si="110"/>
        <v>1</v>
      </c>
      <c r="C709" s="8" t="str">
        <f t="shared" si="111"/>
        <v>Unique</v>
      </c>
      <c r="D709" s="9">
        <v>45832</v>
      </c>
      <c r="E709" s="8">
        <f t="shared" si="112"/>
        <v>2</v>
      </c>
      <c r="F709" s="10">
        <v>45834</v>
      </c>
      <c r="G709" s="8" t="s">
        <v>2233</v>
      </c>
      <c r="H709" s="8" t="s">
        <v>69</v>
      </c>
      <c r="I709" s="8" t="str">
        <f t="shared" si="119"/>
        <v>Vikram Iyer</v>
      </c>
      <c r="J709" s="8" t="s">
        <v>22</v>
      </c>
      <c r="K709" s="8" t="str">
        <f t="shared" si="113"/>
        <v>Consumer</v>
      </c>
      <c r="L709" s="8" t="s">
        <v>23</v>
      </c>
      <c r="M709" s="8" t="str">
        <f t="shared" si="114"/>
        <v>North</v>
      </c>
      <c r="N709" s="8" t="s">
        <v>24</v>
      </c>
      <c r="O709" s="8" t="str">
        <f t="shared" si="115"/>
        <v>Rajasthan</v>
      </c>
      <c r="P709" s="8" t="s">
        <v>25</v>
      </c>
      <c r="Q709" s="8" t="str">
        <f t="shared" si="116"/>
        <v>Jaipur</v>
      </c>
      <c r="R709" s="8" t="s">
        <v>72</v>
      </c>
      <c r="S709" s="8" t="str">
        <f t="shared" si="117"/>
        <v>Technology</v>
      </c>
      <c r="T709" s="8" t="s">
        <v>73</v>
      </c>
      <c r="U709" s="8" t="str">
        <f t="shared" si="118"/>
        <v>Accessories</v>
      </c>
      <c r="V709" s="8" t="s">
        <v>2234</v>
      </c>
    </row>
    <row r="710" spans="1:22">
      <c r="A710" s="8" t="s">
        <v>2235</v>
      </c>
      <c r="B710" s="8">
        <f t="shared" si="110"/>
        <v>1</v>
      </c>
      <c r="C710" s="8" t="str">
        <f t="shared" si="111"/>
        <v>Unique</v>
      </c>
      <c r="D710" s="9">
        <v>45736</v>
      </c>
      <c r="E710" s="8">
        <f t="shared" si="112"/>
        <v>6</v>
      </c>
      <c r="F710" s="10">
        <v>45742</v>
      </c>
      <c r="G710" s="8" t="s">
        <v>2236</v>
      </c>
      <c r="H710" s="8" t="s">
        <v>130</v>
      </c>
      <c r="I710" s="8" t="str">
        <f t="shared" si="119"/>
        <v>Sneha Kapoor</v>
      </c>
      <c r="J710" s="8" t="s">
        <v>22</v>
      </c>
      <c r="K710" s="8" t="str">
        <f t="shared" si="113"/>
        <v>Consumer</v>
      </c>
      <c r="L710" s="8" t="s">
        <v>36</v>
      </c>
      <c r="M710" s="8" t="str">
        <f t="shared" si="114"/>
        <v>East</v>
      </c>
      <c r="N710" s="8" t="s">
        <v>164</v>
      </c>
      <c r="O710" s="8" t="str">
        <f t="shared" si="115"/>
        <v>Assam</v>
      </c>
      <c r="P710" s="8" t="s">
        <v>165</v>
      </c>
      <c r="Q710" s="8" t="str">
        <f t="shared" si="116"/>
        <v>Guwahati</v>
      </c>
      <c r="R710" s="8" t="s">
        <v>39</v>
      </c>
      <c r="S710" s="8" t="str">
        <f t="shared" si="117"/>
        <v>Furniture</v>
      </c>
      <c r="T710" s="8" t="s">
        <v>156</v>
      </c>
      <c r="U710" s="8" t="str">
        <f t="shared" si="118"/>
        <v>Bookcases</v>
      </c>
      <c r="V710" s="8" t="s">
        <v>2237</v>
      </c>
    </row>
    <row r="711" spans="1:22">
      <c r="A711" s="8" t="s">
        <v>2238</v>
      </c>
      <c r="B711" s="8">
        <f t="shared" si="110"/>
        <v>1</v>
      </c>
      <c r="C711" s="8" t="str">
        <f t="shared" si="111"/>
        <v>Unique</v>
      </c>
      <c r="D711" s="9">
        <v>45676</v>
      </c>
      <c r="E711" s="8">
        <f t="shared" si="112"/>
        <v>4</v>
      </c>
      <c r="F711" s="10">
        <v>45680</v>
      </c>
      <c r="G711" s="8" t="s">
        <v>2239</v>
      </c>
      <c r="H711" s="8" t="s">
        <v>263</v>
      </c>
      <c r="I711" s="8" t="str">
        <f t="shared" si="119"/>
        <v>Kabir Singh</v>
      </c>
      <c r="J711" s="8" t="s">
        <v>93</v>
      </c>
      <c r="K711" s="8" t="str">
        <f t="shared" si="113"/>
        <v>Home Office</v>
      </c>
      <c r="L711" s="8" t="s">
        <v>23</v>
      </c>
      <c r="M711" s="8" t="str">
        <f t="shared" si="114"/>
        <v>North</v>
      </c>
      <c r="N711" s="8" t="s">
        <v>120</v>
      </c>
      <c r="O711" s="8" t="str">
        <f t="shared" si="115"/>
        <v>Punjab</v>
      </c>
      <c r="P711" s="8" t="s">
        <v>121</v>
      </c>
      <c r="Q711" s="8" t="str">
        <f t="shared" si="116"/>
        <v>Ludhiana</v>
      </c>
      <c r="R711" s="8" t="s">
        <v>72</v>
      </c>
      <c r="S711" s="8" t="str">
        <f t="shared" si="117"/>
        <v>Technology</v>
      </c>
      <c r="T711" s="8" t="s">
        <v>169</v>
      </c>
      <c r="U711" s="8" t="str">
        <f t="shared" si="118"/>
        <v>Phones</v>
      </c>
      <c r="V711" s="8" t="s">
        <v>2240</v>
      </c>
    </row>
    <row r="712" spans="1:22">
      <c r="A712" s="8" t="s">
        <v>2241</v>
      </c>
      <c r="B712" s="8">
        <f t="shared" si="110"/>
        <v>1</v>
      </c>
      <c r="C712" s="8" t="str">
        <f t="shared" si="111"/>
        <v>Unique</v>
      </c>
      <c r="D712" s="9">
        <v>45485</v>
      </c>
      <c r="E712" s="8">
        <f t="shared" si="112"/>
        <v>7</v>
      </c>
      <c r="F712" s="10">
        <v>45492</v>
      </c>
      <c r="G712" s="8" t="s">
        <v>2242</v>
      </c>
      <c r="H712" s="8" t="s">
        <v>69</v>
      </c>
      <c r="I712" s="8" t="str">
        <f t="shared" si="119"/>
        <v>Vikram Iyer</v>
      </c>
      <c r="J712" s="8" t="s">
        <v>88</v>
      </c>
      <c r="K712" s="8" t="str">
        <f t="shared" si="113"/>
        <v>Corporate</v>
      </c>
      <c r="L712" s="8" t="s">
        <v>23</v>
      </c>
      <c r="M712" s="8" t="str">
        <f t="shared" si="114"/>
        <v>North</v>
      </c>
      <c r="N712" s="8" t="s">
        <v>120</v>
      </c>
      <c r="O712" s="8" t="str">
        <f t="shared" si="115"/>
        <v>Punjab</v>
      </c>
      <c r="P712" s="8" t="s">
        <v>121</v>
      </c>
      <c r="Q712" s="8" t="str">
        <f t="shared" si="116"/>
        <v>Ludhiana</v>
      </c>
      <c r="R712" s="8" t="s">
        <v>26</v>
      </c>
      <c r="S712" s="8" t="str">
        <f t="shared" si="117"/>
        <v>Office Supplies</v>
      </c>
      <c r="T712" s="8" t="s">
        <v>46</v>
      </c>
      <c r="U712" s="8" t="str">
        <f t="shared" si="118"/>
        <v>Art</v>
      </c>
      <c r="V712" s="8" t="s">
        <v>2243</v>
      </c>
    </row>
    <row r="713" spans="1:22">
      <c r="A713" s="8" t="s">
        <v>2244</v>
      </c>
      <c r="B713" s="8">
        <f t="shared" si="110"/>
        <v>1</v>
      </c>
      <c r="C713" s="8" t="str">
        <f t="shared" si="111"/>
        <v>Unique</v>
      </c>
      <c r="D713" s="9">
        <v>45690</v>
      </c>
      <c r="E713" s="8">
        <f t="shared" si="112"/>
        <v>0</v>
      </c>
      <c r="F713" s="10">
        <v>45690</v>
      </c>
      <c r="G713" s="8" t="s">
        <v>2245</v>
      </c>
      <c r="H713" s="8" t="s">
        <v>263</v>
      </c>
      <c r="I713" s="8" t="str">
        <f t="shared" si="119"/>
        <v>Kabir Singh</v>
      </c>
      <c r="J713" s="8" t="s">
        <v>88</v>
      </c>
      <c r="K713" s="8" t="str">
        <f t="shared" si="113"/>
        <v>Corporate</v>
      </c>
      <c r="L713" s="8" t="s">
        <v>36</v>
      </c>
      <c r="M713" s="8" t="str">
        <f t="shared" si="114"/>
        <v>East</v>
      </c>
      <c r="N713" s="8" t="s">
        <v>97</v>
      </c>
      <c r="O713" s="8" t="str">
        <f t="shared" si="115"/>
        <v>West Bengal</v>
      </c>
      <c r="P713" s="8" t="s">
        <v>98</v>
      </c>
      <c r="Q713" s="8" t="str">
        <f t="shared" si="116"/>
        <v>Kolkata</v>
      </c>
      <c r="R713" s="8" t="s">
        <v>72</v>
      </c>
      <c r="S713" s="8" t="str">
        <f t="shared" si="117"/>
        <v>Technology</v>
      </c>
      <c r="T713" s="8" t="s">
        <v>273</v>
      </c>
      <c r="U713" s="8" t="str">
        <f t="shared" si="118"/>
        <v>Machines</v>
      </c>
      <c r="V713" s="8" t="s">
        <v>2246</v>
      </c>
    </row>
    <row r="714" spans="1:22">
      <c r="A714" s="8" t="s">
        <v>2247</v>
      </c>
      <c r="B714" s="8">
        <f t="shared" si="110"/>
        <v>2</v>
      </c>
      <c r="C714" s="8" t="str">
        <f t="shared" si="111"/>
        <v>Review Duplicate ID</v>
      </c>
      <c r="D714" s="9">
        <v>45567</v>
      </c>
      <c r="E714" s="8">
        <f t="shared" si="112"/>
        <v>-227</v>
      </c>
      <c r="F714" s="10">
        <v>45340</v>
      </c>
      <c r="G714" s="8" t="s">
        <v>2248</v>
      </c>
      <c r="H714" s="8" t="s">
        <v>45</v>
      </c>
      <c r="I714" s="8" t="str">
        <f t="shared" si="119"/>
        <v>Isha Nair</v>
      </c>
      <c r="J714" s="8" t="s">
        <v>93</v>
      </c>
      <c r="K714" s="8" t="str">
        <f t="shared" si="113"/>
        <v>Home Office</v>
      </c>
      <c r="L714" s="8" t="s">
        <v>61</v>
      </c>
      <c r="M714" s="8" t="str">
        <f t="shared" si="114"/>
        <v>West</v>
      </c>
      <c r="N714" s="8" t="s">
        <v>70</v>
      </c>
      <c r="O714" s="8" t="str">
        <f t="shared" si="115"/>
        <v>Madhya Pradesh</v>
      </c>
      <c r="P714" s="8" t="s">
        <v>71</v>
      </c>
      <c r="Q714" s="8" t="str">
        <f t="shared" si="116"/>
        <v>Indore</v>
      </c>
      <c r="R714" s="8" t="s">
        <v>39</v>
      </c>
      <c r="S714" s="8" t="str">
        <f t="shared" si="117"/>
        <v>Furniture</v>
      </c>
      <c r="T714" s="8" t="s">
        <v>64</v>
      </c>
      <c r="U714" s="8" t="str">
        <f t="shared" si="118"/>
        <v>Chairs</v>
      </c>
      <c r="V714" s="8" t="s">
        <v>2249</v>
      </c>
    </row>
    <row r="715" spans="1:22">
      <c r="A715" s="8" t="s">
        <v>2250</v>
      </c>
      <c r="B715" s="8">
        <f t="shared" si="110"/>
        <v>1</v>
      </c>
      <c r="C715" s="8" t="str">
        <f t="shared" si="111"/>
        <v>Unique</v>
      </c>
      <c r="D715" s="9">
        <v>45814</v>
      </c>
      <c r="E715" s="8">
        <f t="shared" si="112"/>
        <v>4</v>
      </c>
      <c r="F715" s="10">
        <v>45818</v>
      </c>
      <c r="G715" s="8" t="s">
        <v>604</v>
      </c>
      <c r="H715" s="8" t="s">
        <v>34</v>
      </c>
      <c r="I715" s="8" t="str">
        <f t="shared" si="119"/>
        <v>Mira Das</v>
      </c>
      <c r="J715" s="8" t="s">
        <v>22</v>
      </c>
      <c r="K715" s="8" t="str">
        <f t="shared" si="113"/>
        <v>Consumer</v>
      </c>
      <c r="L715" s="8" t="s">
        <v>61</v>
      </c>
      <c r="M715" s="8" t="str">
        <f t="shared" si="114"/>
        <v>West</v>
      </c>
      <c r="N715" s="8" t="s">
        <v>24</v>
      </c>
      <c r="O715" s="8" t="str">
        <f t="shared" si="115"/>
        <v>Rajasthan</v>
      </c>
      <c r="P715" s="8" t="s">
        <v>107</v>
      </c>
      <c r="Q715" s="8" t="str">
        <f t="shared" si="116"/>
        <v>Udaipur</v>
      </c>
      <c r="R715" s="8" t="s">
        <v>72</v>
      </c>
      <c r="S715" s="8" t="str">
        <f t="shared" si="117"/>
        <v>Technology</v>
      </c>
      <c r="T715" s="8" t="s">
        <v>273</v>
      </c>
      <c r="U715" s="8" t="str">
        <f t="shared" si="118"/>
        <v>Machines</v>
      </c>
      <c r="V715" s="8" t="s">
        <v>2251</v>
      </c>
    </row>
    <row r="716" spans="1:22">
      <c r="A716" s="8" t="s">
        <v>2252</v>
      </c>
      <c r="B716" s="8">
        <f t="shared" si="110"/>
        <v>1</v>
      </c>
      <c r="C716" s="8" t="str">
        <f t="shared" si="111"/>
        <v>Unique</v>
      </c>
      <c r="D716" s="9">
        <v>45738</v>
      </c>
      <c r="E716" s="8">
        <f t="shared" si="112"/>
        <v>1</v>
      </c>
      <c r="F716" s="10">
        <v>45739</v>
      </c>
      <c r="G716" s="8" t="s">
        <v>2253</v>
      </c>
      <c r="H716" s="8" t="s">
        <v>21</v>
      </c>
      <c r="I716" s="8" t="str">
        <f t="shared" si="119"/>
        <v>Karan Malhotra</v>
      </c>
      <c r="J716" s="8" t="s">
        <v>93</v>
      </c>
      <c r="K716" s="8" t="str">
        <f t="shared" si="113"/>
        <v>Home Office</v>
      </c>
      <c r="L716" s="8" t="s">
        <v>23</v>
      </c>
      <c r="M716" s="8" t="str">
        <f t="shared" si="114"/>
        <v>North</v>
      </c>
      <c r="N716" s="8" t="s">
        <v>349</v>
      </c>
      <c r="O716" s="8" t="str">
        <f t="shared" si="115"/>
        <v>Delhi</v>
      </c>
      <c r="P716" s="8" t="s">
        <v>350</v>
      </c>
      <c r="Q716" s="8" t="str">
        <f t="shared" si="116"/>
        <v>New Delhi</v>
      </c>
      <c r="R716" s="8" t="s">
        <v>72</v>
      </c>
      <c r="S716" s="8" t="str">
        <f t="shared" si="117"/>
        <v>Technology</v>
      </c>
      <c r="T716" s="8" t="s">
        <v>78</v>
      </c>
      <c r="U716" s="8" t="str">
        <f t="shared" si="118"/>
        <v>Copiers</v>
      </c>
      <c r="V716" s="8" t="s">
        <v>2254</v>
      </c>
    </row>
    <row r="717" spans="1:22">
      <c r="A717" s="8" t="s">
        <v>2255</v>
      </c>
      <c r="B717" s="8">
        <f t="shared" si="110"/>
        <v>1</v>
      </c>
      <c r="C717" s="8" t="str">
        <f t="shared" si="111"/>
        <v>Unique</v>
      </c>
      <c r="D717" s="9">
        <v>45891</v>
      </c>
      <c r="E717" s="8">
        <f t="shared" si="112"/>
        <v>5</v>
      </c>
      <c r="F717" s="10">
        <v>45896</v>
      </c>
      <c r="G717" s="8" t="s">
        <v>2256</v>
      </c>
      <c r="H717" s="8" t="s">
        <v>112</v>
      </c>
      <c r="I717" s="8" t="str">
        <f t="shared" si="119"/>
        <v>Priya Menon</v>
      </c>
      <c r="J717" s="8" t="s">
        <v>22</v>
      </c>
      <c r="K717" s="8" t="str">
        <f t="shared" si="113"/>
        <v>Consumer</v>
      </c>
      <c r="L717" s="8" t="s">
        <v>23</v>
      </c>
      <c r="M717" s="8" t="str">
        <f t="shared" si="114"/>
        <v>North</v>
      </c>
      <c r="N717" s="8" t="s">
        <v>235</v>
      </c>
      <c r="O717" s="8" t="str">
        <f t="shared" si="115"/>
        <v>Haryana</v>
      </c>
      <c r="P717" s="8" t="s">
        <v>236</v>
      </c>
      <c r="Q717" s="8" t="str">
        <f t="shared" si="116"/>
        <v>Gurugram</v>
      </c>
      <c r="R717" s="8" t="s">
        <v>39</v>
      </c>
      <c r="S717" s="8" t="str">
        <f t="shared" si="117"/>
        <v>Furniture</v>
      </c>
      <c r="T717" s="8" t="s">
        <v>64</v>
      </c>
      <c r="U717" s="8" t="str">
        <f t="shared" si="118"/>
        <v>Chairs</v>
      </c>
      <c r="V717" s="8" t="s">
        <v>2257</v>
      </c>
    </row>
    <row r="718" spans="1:22">
      <c r="A718" s="8" t="s">
        <v>2258</v>
      </c>
      <c r="B718" s="8">
        <f t="shared" si="110"/>
        <v>1</v>
      </c>
      <c r="C718" s="8" t="str">
        <f t="shared" si="111"/>
        <v>Unique</v>
      </c>
      <c r="D718" s="9">
        <v>45895</v>
      </c>
      <c r="E718" s="8">
        <f t="shared" si="112"/>
        <v>5</v>
      </c>
      <c r="F718" s="10">
        <v>45900</v>
      </c>
      <c r="G718" s="8" t="s">
        <v>2259</v>
      </c>
      <c r="H718" s="8" t="s">
        <v>160</v>
      </c>
      <c r="I718" s="8" t="str">
        <f t="shared" si="119"/>
        <v>Diya Patel</v>
      </c>
      <c r="J718" s="8" t="s">
        <v>35</v>
      </c>
      <c r="K718" s="8" t="str">
        <f t="shared" si="113"/>
        <v>Small Business</v>
      </c>
      <c r="L718" s="8" t="s">
        <v>23</v>
      </c>
      <c r="M718" s="8" t="str">
        <f t="shared" si="114"/>
        <v>North</v>
      </c>
      <c r="N718" s="8" t="s">
        <v>235</v>
      </c>
      <c r="O718" s="8" t="str">
        <f t="shared" si="115"/>
        <v>Haryana</v>
      </c>
      <c r="P718" s="8" t="s">
        <v>236</v>
      </c>
      <c r="Q718" s="8" t="str">
        <f t="shared" si="116"/>
        <v>Gurugram</v>
      </c>
      <c r="R718" s="8" t="s">
        <v>72</v>
      </c>
      <c r="S718" s="8" t="str">
        <f t="shared" si="117"/>
        <v>Technology</v>
      </c>
      <c r="T718" s="8" t="s">
        <v>169</v>
      </c>
      <c r="U718" s="8" t="str">
        <f t="shared" si="118"/>
        <v>Phones</v>
      </c>
      <c r="V718" s="8" t="s">
        <v>2260</v>
      </c>
    </row>
    <row r="719" spans="1:22">
      <c r="A719" s="8" t="s">
        <v>2261</v>
      </c>
      <c r="B719" s="8">
        <f t="shared" si="110"/>
        <v>1</v>
      </c>
      <c r="C719" s="8" t="str">
        <f t="shared" si="111"/>
        <v>Unique</v>
      </c>
      <c r="D719" s="9">
        <v>46001</v>
      </c>
      <c r="E719" s="8">
        <f t="shared" si="112"/>
        <v>-56</v>
      </c>
      <c r="F719" s="10">
        <v>45945</v>
      </c>
      <c r="G719" s="8" t="s">
        <v>2262</v>
      </c>
      <c r="H719" s="8" t="s">
        <v>263</v>
      </c>
      <c r="I719" s="8" t="str">
        <f t="shared" si="119"/>
        <v>Kabir Singh</v>
      </c>
      <c r="J719" s="8" t="s">
        <v>35</v>
      </c>
      <c r="K719" s="8" t="str">
        <f t="shared" si="113"/>
        <v>Small Business</v>
      </c>
      <c r="L719" s="8" t="s">
        <v>23</v>
      </c>
      <c r="M719" s="8" t="str">
        <f t="shared" si="114"/>
        <v>North</v>
      </c>
      <c r="N719" s="8" t="s">
        <v>235</v>
      </c>
      <c r="O719" s="8" t="str">
        <f t="shared" si="115"/>
        <v>Haryana</v>
      </c>
      <c r="P719" s="8" t="s">
        <v>236</v>
      </c>
      <c r="Q719" s="8" t="str">
        <f t="shared" si="116"/>
        <v>Gurugram</v>
      </c>
      <c r="R719" s="8" t="s">
        <v>72</v>
      </c>
      <c r="S719" s="8" t="str">
        <f t="shared" si="117"/>
        <v>Technology</v>
      </c>
      <c r="T719" s="8" t="s">
        <v>273</v>
      </c>
      <c r="U719" s="8" t="str">
        <f t="shared" si="118"/>
        <v>Machines</v>
      </c>
      <c r="V719" s="8" t="s">
        <v>2263</v>
      </c>
    </row>
    <row r="720" spans="1:22">
      <c r="A720" s="8" t="s">
        <v>2264</v>
      </c>
      <c r="B720" s="8">
        <f t="shared" si="110"/>
        <v>1</v>
      </c>
      <c r="C720" s="8" t="str">
        <f t="shared" si="111"/>
        <v>Unique</v>
      </c>
      <c r="D720" s="9">
        <v>45452</v>
      </c>
      <c r="E720" s="8">
        <f t="shared" si="112"/>
        <v>92</v>
      </c>
      <c r="F720" s="10">
        <v>45544</v>
      </c>
      <c r="G720" s="8" t="s">
        <v>2265</v>
      </c>
      <c r="H720" s="8" t="s">
        <v>34</v>
      </c>
      <c r="I720" s="8" t="str">
        <f t="shared" si="119"/>
        <v>Mira Das</v>
      </c>
      <c r="J720" s="8" t="s">
        <v>22</v>
      </c>
      <c r="K720" s="8" t="str">
        <f t="shared" si="113"/>
        <v>Consumer</v>
      </c>
      <c r="L720" s="8" t="s">
        <v>61</v>
      </c>
      <c r="M720" s="8" t="str">
        <f t="shared" si="114"/>
        <v>West</v>
      </c>
      <c r="N720" s="8" t="s">
        <v>62</v>
      </c>
      <c r="O720" s="8" t="str">
        <f t="shared" si="115"/>
        <v>Maharashtra</v>
      </c>
      <c r="P720" s="8" t="s">
        <v>63</v>
      </c>
      <c r="Q720" s="8" t="str">
        <f t="shared" si="116"/>
        <v>Mumbai</v>
      </c>
      <c r="R720" s="8" t="s">
        <v>26</v>
      </c>
      <c r="S720" s="8" t="str">
        <f t="shared" si="117"/>
        <v>Office Supplies</v>
      </c>
      <c r="T720" s="8" t="s">
        <v>46</v>
      </c>
      <c r="U720" s="8" t="str">
        <f t="shared" si="118"/>
        <v>Art</v>
      </c>
      <c r="V720" s="8" t="s">
        <v>2266</v>
      </c>
    </row>
    <row r="721" spans="1:22">
      <c r="A721" s="8" t="s">
        <v>2267</v>
      </c>
      <c r="B721" s="8">
        <f t="shared" si="110"/>
        <v>2</v>
      </c>
      <c r="C721" s="8" t="str">
        <f t="shared" si="111"/>
        <v>Review Duplicate ID</v>
      </c>
      <c r="D721" s="9">
        <v>45878</v>
      </c>
      <c r="E721" s="8">
        <f t="shared" si="112"/>
        <v>31</v>
      </c>
      <c r="F721" s="10">
        <v>45909</v>
      </c>
      <c r="G721" s="8" t="s">
        <v>142</v>
      </c>
      <c r="H721" s="8" t="s">
        <v>263</v>
      </c>
      <c r="I721" s="8" t="str">
        <f t="shared" si="119"/>
        <v>Kabir Singh</v>
      </c>
      <c r="J721" s="8" t="s">
        <v>88</v>
      </c>
      <c r="K721" s="8" t="str">
        <f t="shared" si="113"/>
        <v>Corporate</v>
      </c>
      <c r="L721" s="8" t="s">
        <v>61</v>
      </c>
      <c r="M721" s="8" t="str">
        <f t="shared" si="114"/>
        <v>West</v>
      </c>
      <c r="N721" s="8" t="s">
        <v>178</v>
      </c>
      <c r="O721" s="8" t="str">
        <f t="shared" si="115"/>
        <v>Gujarat</v>
      </c>
      <c r="P721" s="8" t="s">
        <v>179</v>
      </c>
      <c r="Q721" s="8" t="str">
        <f t="shared" si="116"/>
        <v>Ahmedabad</v>
      </c>
      <c r="R721" s="8" t="s">
        <v>26</v>
      </c>
      <c r="S721" s="8" t="str">
        <f t="shared" si="117"/>
        <v>Office Supplies</v>
      </c>
      <c r="T721" s="8" t="s">
        <v>46</v>
      </c>
      <c r="U721" s="8" t="str">
        <f t="shared" si="118"/>
        <v>Art</v>
      </c>
      <c r="V721" s="8" t="s">
        <v>2268</v>
      </c>
    </row>
    <row r="722" spans="1:22">
      <c r="A722" s="8" t="s">
        <v>2269</v>
      </c>
      <c r="B722" s="8">
        <f t="shared" si="110"/>
        <v>1</v>
      </c>
      <c r="C722" s="8" t="str">
        <f t="shared" si="111"/>
        <v>Unique</v>
      </c>
      <c r="D722" s="9">
        <v>45489</v>
      </c>
      <c r="E722" s="8">
        <f t="shared" si="112"/>
        <v>0</v>
      </c>
      <c r="F722" s="10">
        <v>45489</v>
      </c>
      <c r="G722" s="8" t="s">
        <v>2270</v>
      </c>
      <c r="H722" s="8" t="s">
        <v>87</v>
      </c>
      <c r="I722" s="8" t="str">
        <f t="shared" si="119"/>
        <v>Aditi Sen</v>
      </c>
      <c r="J722" s="8" t="s">
        <v>93</v>
      </c>
      <c r="K722" s="8" t="str">
        <f t="shared" si="113"/>
        <v>Home Office</v>
      </c>
      <c r="L722" s="8" t="s">
        <v>61</v>
      </c>
      <c r="M722" s="8" t="str">
        <f t="shared" si="114"/>
        <v>West</v>
      </c>
      <c r="N722" s="8" t="s">
        <v>70</v>
      </c>
      <c r="O722" s="8" t="str">
        <f t="shared" si="115"/>
        <v>Madhya Pradesh</v>
      </c>
      <c r="P722" s="8" t="s">
        <v>71</v>
      </c>
      <c r="Q722" s="8" t="str">
        <f t="shared" si="116"/>
        <v>Indore</v>
      </c>
      <c r="R722" s="8" t="s">
        <v>72</v>
      </c>
      <c r="S722" s="8" t="str">
        <f t="shared" si="117"/>
        <v>Technology</v>
      </c>
      <c r="T722" s="8" t="s">
        <v>78</v>
      </c>
      <c r="U722" s="8" t="str">
        <f t="shared" si="118"/>
        <v>Copiers</v>
      </c>
      <c r="V722" s="8" t="s">
        <v>2271</v>
      </c>
    </row>
    <row r="723" spans="1:22">
      <c r="A723" s="8" t="s">
        <v>2272</v>
      </c>
      <c r="B723" s="8">
        <f t="shared" si="110"/>
        <v>1</v>
      </c>
      <c r="C723" s="8" t="str">
        <f t="shared" si="111"/>
        <v>Unique</v>
      </c>
      <c r="D723" s="9">
        <v>45827</v>
      </c>
      <c r="E723" s="8">
        <f t="shared" si="112"/>
        <v>4</v>
      </c>
      <c r="F723" s="10">
        <v>45831</v>
      </c>
      <c r="G723" s="8" t="s">
        <v>2273</v>
      </c>
      <c r="H723" s="8" t="s">
        <v>130</v>
      </c>
      <c r="I723" s="8" t="str">
        <f t="shared" si="119"/>
        <v>Sneha Kapoor</v>
      </c>
      <c r="J723" s="8" t="s">
        <v>22</v>
      </c>
      <c r="K723" s="8" t="str">
        <f t="shared" si="113"/>
        <v>Consumer</v>
      </c>
      <c r="L723" s="8" t="s">
        <v>52</v>
      </c>
      <c r="M723" s="8" t="str">
        <f t="shared" si="114"/>
        <v>South</v>
      </c>
      <c r="N723" s="8" t="s">
        <v>173</v>
      </c>
      <c r="O723" s="8" t="str">
        <f t="shared" si="115"/>
        <v>Karnataka</v>
      </c>
      <c r="P723" s="8" t="s">
        <v>174</v>
      </c>
      <c r="Q723" s="8" t="str">
        <f t="shared" si="116"/>
        <v>Bengaluru</v>
      </c>
      <c r="R723" s="8" t="s">
        <v>72</v>
      </c>
      <c r="S723" s="8" t="str">
        <f t="shared" si="117"/>
        <v>Technology</v>
      </c>
      <c r="T723" s="8" t="s">
        <v>78</v>
      </c>
      <c r="U723" s="8" t="str">
        <f t="shared" si="118"/>
        <v>Copiers</v>
      </c>
      <c r="V723" s="8" t="s">
        <v>2274</v>
      </c>
    </row>
    <row r="724" spans="1:22">
      <c r="A724" s="8" t="s">
        <v>2275</v>
      </c>
      <c r="B724" s="8">
        <f t="shared" si="110"/>
        <v>1</v>
      </c>
      <c r="C724" s="8" t="str">
        <f t="shared" si="111"/>
        <v>Unique</v>
      </c>
      <c r="D724" s="9">
        <v>45483</v>
      </c>
      <c r="E724" s="8">
        <f t="shared" si="112"/>
        <v>92</v>
      </c>
      <c r="F724" s="10">
        <v>45575</v>
      </c>
      <c r="G724" s="8" t="s">
        <v>2276</v>
      </c>
      <c r="H724" s="8" t="s">
        <v>69</v>
      </c>
      <c r="I724" s="8" t="str">
        <f t="shared" si="119"/>
        <v>Vikram Iyer</v>
      </c>
      <c r="J724" s="8" t="s">
        <v>22</v>
      </c>
      <c r="K724" s="8" t="str">
        <f t="shared" si="113"/>
        <v>Consumer</v>
      </c>
      <c r="L724" s="8" t="s">
        <v>36</v>
      </c>
      <c r="M724" s="8" t="str">
        <f t="shared" si="114"/>
        <v>East</v>
      </c>
      <c r="N724" s="8" t="s">
        <v>97</v>
      </c>
      <c r="O724" s="8" t="str">
        <f t="shared" si="115"/>
        <v>West Bengal</v>
      </c>
      <c r="P724" s="8" t="s">
        <v>98</v>
      </c>
      <c r="Q724" s="8" t="str">
        <f t="shared" si="116"/>
        <v>Kolkata</v>
      </c>
      <c r="R724" s="8" t="s">
        <v>39</v>
      </c>
      <c r="S724" s="8" t="str">
        <f t="shared" si="117"/>
        <v>Furniture</v>
      </c>
      <c r="T724" s="8" t="s">
        <v>64</v>
      </c>
      <c r="U724" s="8" t="str">
        <f t="shared" si="118"/>
        <v>Chairs</v>
      </c>
      <c r="V724" s="8" t="s">
        <v>2277</v>
      </c>
    </row>
    <row r="725" spans="1:22">
      <c r="A725" s="8" t="s">
        <v>2278</v>
      </c>
      <c r="B725" s="8">
        <f t="shared" si="110"/>
        <v>1</v>
      </c>
      <c r="C725" s="8" t="str">
        <f t="shared" si="111"/>
        <v>Unique</v>
      </c>
      <c r="D725" s="9">
        <v>45936</v>
      </c>
      <c r="E725" s="8">
        <f t="shared" si="112"/>
        <v>7</v>
      </c>
      <c r="F725" s="10">
        <v>45943</v>
      </c>
      <c r="G725" s="8" t="s">
        <v>2279</v>
      </c>
      <c r="H725" s="8" t="s">
        <v>263</v>
      </c>
      <c r="I725" s="8" t="str">
        <f t="shared" si="119"/>
        <v>Kabir Singh</v>
      </c>
      <c r="J725" s="8" t="s">
        <v>93</v>
      </c>
      <c r="K725" s="8" t="str">
        <f t="shared" si="113"/>
        <v>Home Office</v>
      </c>
      <c r="L725" s="8" t="s">
        <v>36</v>
      </c>
      <c r="M725" s="8" t="str">
        <f t="shared" si="114"/>
        <v>East</v>
      </c>
      <c r="N725" s="8" t="s">
        <v>227</v>
      </c>
      <c r="O725" s="8" t="str">
        <f t="shared" si="115"/>
        <v>Jharkhand</v>
      </c>
      <c r="P725" s="8" t="s">
        <v>228</v>
      </c>
      <c r="Q725" s="8" t="str">
        <f t="shared" si="116"/>
        <v>Ranchi</v>
      </c>
      <c r="R725" s="8" t="s">
        <v>72</v>
      </c>
      <c r="S725" s="8" t="str">
        <f t="shared" si="117"/>
        <v>Technology</v>
      </c>
      <c r="T725" s="8" t="s">
        <v>73</v>
      </c>
      <c r="U725" s="8" t="str">
        <f t="shared" si="118"/>
        <v>Accessories</v>
      </c>
      <c r="V725" s="8" t="s">
        <v>2280</v>
      </c>
    </row>
    <row r="726" spans="1:22">
      <c r="A726" s="8" t="s">
        <v>2281</v>
      </c>
      <c r="B726" s="8">
        <f t="shared" si="110"/>
        <v>1</v>
      </c>
      <c r="C726" s="8" t="str">
        <f t="shared" si="111"/>
        <v>Unique</v>
      </c>
      <c r="D726" s="9">
        <v>45332</v>
      </c>
      <c r="E726" s="8">
        <f t="shared" si="112"/>
        <v>6</v>
      </c>
      <c r="F726" s="10">
        <v>45338</v>
      </c>
      <c r="G726" s="8" t="s">
        <v>2282</v>
      </c>
      <c r="H726" s="8" t="s">
        <v>21</v>
      </c>
      <c r="I726" s="8" t="str">
        <f t="shared" si="119"/>
        <v>Karan Malhotra</v>
      </c>
      <c r="J726" s="8" t="s">
        <v>22</v>
      </c>
      <c r="K726" s="8" t="str">
        <f t="shared" si="113"/>
        <v>Consumer</v>
      </c>
      <c r="L726" s="8" t="s">
        <v>61</v>
      </c>
      <c r="M726" s="8" t="str">
        <f t="shared" si="114"/>
        <v>West</v>
      </c>
      <c r="N726" s="8" t="s">
        <v>188</v>
      </c>
      <c r="O726" s="8" t="str">
        <f t="shared" si="115"/>
        <v>Goa</v>
      </c>
      <c r="P726" s="8" t="s">
        <v>189</v>
      </c>
      <c r="Q726" s="8" t="str">
        <f t="shared" si="116"/>
        <v>Panaji</v>
      </c>
      <c r="R726" s="8" t="s">
        <v>39</v>
      </c>
      <c r="S726" s="8" t="str">
        <f t="shared" si="117"/>
        <v>Furniture</v>
      </c>
      <c r="T726" s="8" t="s">
        <v>55</v>
      </c>
      <c r="U726" s="8" t="str">
        <f t="shared" si="118"/>
        <v>Furnishings</v>
      </c>
      <c r="V726" s="8" t="s">
        <v>2283</v>
      </c>
    </row>
    <row r="727" spans="1:22">
      <c r="A727" s="8" t="s">
        <v>2284</v>
      </c>
      <c r="B727" s="8">
        <f t="shared" si="110"/>
        <v>1</v>
      </c>
      <c r="C727" s="8" t="str">
        <f t="shared" si="111"/>
        <v>Unique</v>
      </c>
      <c r="D727" s="9">
        <v>45935</v>
      </c>
      <c r="E727" s="8">
        <f t="shared" si="112"/>
        <v>66</v>
      </c>
      <c r="F727" s="10">
        <v>46001</v>
      </c>
      <c r="G727" s="8" t="s">
        <v>2285</v>
      </c>
      <c r="H727" s="8" t="s">
        <v>112</v>
      </c>
      <c r="I727" s="8" t="str">
        <f t="shared" si="119"/>
        <v>Priya Menon</v>
      </c>
      <c r="J727" s="8" t="s">
        <v>88</v>
      </c>
      <c r="K727" s="8" t="str">
        <f t="shared" si="113"/>
        <v>Corporate</v>
      </c>
      <c r="L727" s="8" t="s">
        <v>52</v>
      </c>
      <c r="M727" s="8" t="str">
        <f t="shared" si="114"/>
        <v>South</v>
      </c>
      <c r="N727" s="8" t="s">
        <v>173</v>
      </c>
      <c r="O727" s="8" t="str">
        <f t="shared" si="115"/>
        <v>Karnataka</v>
      </c>
      <c r="P727" s="8" t="s">
        <v>174</v>
      </c>
      <c r="Q727" s="8" t="str">
        <f t="shared" si="116"/>
        <v>Bengaluru</v>
      </c>
      <c r="R727" s="8" t="s">
        <v>39</v>
      </c>
      <c r="S727" s="8" t="str">
        <f t="shared" si="117"/>
        <v>Furniture</v>
      </c>
      <c r="T727" s="8" t="s">
        <v>40</v>
      </c>
      <c r="U727" s="8" t="str">
        <f t="shared" si="118"/>
        <v>Tables</v>
      </c>
      <c r="V727" s="8" t="s">
        <v>2286</v>
      </c>
    </row>
    <row r="728" spans="1:22">
      <c r="A728" s="8" t="s">
        <v>2287</v>
      </c>
      <c r="B728" s="8">
        <f t="shared" si="110"/>
        <v>1</v>
      </c>
      <c r="C728" s="8" t="str">
        <f t="shared" si="111"/>
        <v>Unique</v>
      </c>
      <c r="D728" s="9">
        <v>45308</v>
      </c>
      <c r="E728" s="8">
        <f t="shared" si="112"/>
        <v>6</v>
      </c>
      <c r="F728" s="10">
        <v>45314</v>
      </c>
      <c r="G728" s="8" t="s">
        <v>2288</v>
      </c>
      <c r="H728" s="8" t="s">
        <v>263</v>
      </c>
      <c r="I728" s="8" t="str">
        <f t="shared" si="119"/>
        <v>Kabir Singh</v>
      </c>
      <c r="J728" s="8" t="s">
        <v>93</v>
      </c>
      <c r="K728" s="8" t="str">
        <f t="shared" si="113"/>
        <v>Home Office</v>
      </c>
      <c r="L728" s="8" t="s">
        <v>61</v>
      </c>
      <c r="M728" s="8" t="str">
        <f t="shared" si="114"/>
        <v>West</v>
      </c>
      <c r="N728" s="8" t="s">
        <v>178</v>
      </c>
      <c r="O728" s="8" t="str">
        <f t="shared" si="115"/>
        <v>Gujarat</v>
      </c>
      <c r="P728" s="8" t="s">
        <v>179</v>
      </c>
      <c r="Q728" s="8" t="str">
        <f t="shared" si="116"/>
        <v>Ahmedabad</v>
      </c>
      <c r="R728" s="8" t="s">
        <v>72</v>
      </c>
      <c r="S728" s="8" t="str">
        <f t="shared" si="117"/>
        <v>Technology</v>
      </c>
      <c r="T728" s="8" t="s">
        <v>169</v>
      </c>
      <c r="U728" s="8" t="str">
        <f t="shared" si="118"/>
        <v>Phones</v>
      </c>
      <c r="V728" s="8" t="s">
        <v>2289</v>
      </c>
    </row>
    <row r="729" spans="1:22">
      <c r="A729" s="8" t="s">
        <v>2290</v>
      </c>
      <c r="B729" s="8">
        <f t="shared" si="110"/>
        <v>1</v>
      </c>
      <c r="C729" s="8" t="str">
        <f t="shared" si="111"/>
        <v>Unique</v>
      </c>
      <c r="D729" s="9">
        <v>45578</v>
      </c>
      <c r="E729" s="8">
        <f t="shared" si="112"/>
        <v>0</v>
      </c>
      <c r="F729" s="10">
        <v>45578</v>
      </c>
      <c r="G729" s="8" t="s">
        <v>2291</v>
      </c>
      <c r="H729" s="8" t="s">
        <v>126</v>
      </c>
      <c r="I729" s="8" t="str">
        <f t="shared" si="119"/>
        <v>Aarav Sharma</v>
      </c>
      <c r="J729" s="8" t="s">
        <v>35</v>
      </c>
      <c r="K729" s="8" t="str">
        <f t="shared" si="113"/>
        <v>Small Business</v>
      </c>
      <c r="L729" s="8" t="s">
        <v>36</v>
      </c>
      <c r="M729" s="8" t="str">
        <f t="shared" si="114"/>
        <v>East</v>
      </c>
      <c r="N729" s="8" t="s">
        <v>164</v>
      </c>
      <c r="O729" s="8" t="str">
        <f t="shared" si="115"/>
        <v>Assam</v>
      </c>
      <c r="P729" s="8" t="s">
        <v>165</v>
      </c>
      <c r="Q729" s="8" t="str">
        <f t="shared" si="116"/>
        <v>Guwahati</v>
      </c>
      <c r="R729" s="8" t="s">
        <v>72</v>
      </c>
      <c r="S729" s="8" t="str">
        <f t="shared" si="117"/>
        <v>Technology</v>
      </c>
      <c r="T729" s="8" t="s">
        <v>73</v>
      </c>
      <c r="U729" s="8" t="str">
        <f t="shared" si="118"/>
        <v>Accessories</v>
      </c>
      <c r="V729" s="8" t="s">
        <v>2292</v>
      </c>
    </row>
    <row r="730" spans="1:22">
      <c r="A730" s="8" t="s">
        <v>2293</v>
      </c>
      <c r="B730" s="8">
        <f t="shared" si="110"/>
        <v>1</v>
      </c>
      <c r="C730" s="8" t="str">
        <f t="shared" si="111"/>
        <v>Unique</v>
      </c>
      <c r="D730" s="9">
        <v>45383</v>
      </c>
      <c r="E730" s="8">
        <f t="shared" si="112"/>
        <v>91</v>
      </c>
      <c r="F730" s="10">
        <v>45474</v>
      </c>
      <c r="G730" s="8" t="s">
        <v>2294</v>
      </c>
      <c r="H730" s="8" t="s">
        <v>130</v>
      </c>
      <c r="I730" s="8" t="str">
        <f t="shared" si="119"/>
        <v>Sneha Kapoor</v>
      </c>
      <c r="J730" s="8" t="s">
        <v>35</v>
      </c>
      <c r="K730" s="8" t="str">
        <f t="shared" si="113"/>
        <v>Small Business</v>
      </c>
      <c r="L730" s="8" t="s">
        <v>52</v>
      </c>
      <c r="M730" s="8" t="str">
        <f t="shared" si="114"/>
        <v>South</v>
      </c>
      <c r="N730" s="8" t="s">
        <v>173</v>
      </c>
      <c r="O730" s="8" t="str">
        <f t="shared" si="115"/>
        <v>Karnataka</v>
      </c>
      <c r="P730" s="8" t="s">
        <v>174</v>
      </c>
      <c r="Q730" s="8" t="str">
        <f t="shared" si="116"/>
        <v>Bengaluru</v>
      </c>
      <c r="R730" s="8" t="s">
        <v>72</v>
      </c>
      <c r="S730" s="8" t="str">
        <f t="shared" si="117"/>
        <v>Technology</v>
      </c>
      <c r="T730" s="8" t="s">
        <v>273</v>
      </c>
      <c r="U730" s="8" t="str">
        <f t="shared" si="118"/>
        <v>Machines</v>
      </c>
      <c r="V730" s="8" t="s">
        <v>2295</v>
      </c>
    </row>
    <row r="731" spans="1:22">
      <c r="A731" s="8" t="s">
        <v>2296</v>
      </c>
      <c r="B731" s="8">
        <f t="shared" si="110"/>
        <v>2</v>
      </c>
      <c r="C731" s="8" t="str">
        <f t="shared" si="111"/>
        <v>Review Duplicate ID</v>
      </c>
      <c r="D731" s="9">
        <v>45794</v>
      </c>
      <c r="E731" s="8">
        <f t="shared" si="112"/>
        <v>8</v>
      </c>
      <c r="F731" s="10">
        <v>45802</v>
      </c>
      <c r="G731" s="8" t="s">
        <v>2297</v>
      </c>
      <c r="H731" s="8" t="s">
        <v>60</v>
      </c>
      <c r="I731" s="8" t="str">
        <f t="shared" si="119"/>
        <v>Ananya Rao</v>
      </c>
      <c r="J731" s="8" t="s">
        <v>88</v>
      </c>
      <c r="K731" s="8" t="str">
        <f t="shared" si="113"/>
        <v>Corporate</v>
      </c>
      <c r="L731" s="8" t="s">
        <v>52</v>
      </c>
      <c r="M731" s="8" t="str">
        <f t="shared" si="114"/>
        <v>South</v>
      </c>
      <c r="N731" s="8" t="s">
        <v>246</v>
      </c>
      <c r="O731" s="8" t="str">
        <f t="shared" si="115"/>
        <v>Tamil Nadu</v>
      </c>
      <c r="P731" s="8" t="s">
        <v>247</v>
      </c>
      <c r="Q731" s="8" t="str">
        <f t="shared" si="116"/>
        <v>Chennai</v>
      </c>
      <c r="R731" s="8" t="s">
        <v>72</v>
      </c>
      <c r="S731" s="8" t="str">
        <f t="shared" si="117"/>
        <v>Technology</v>
      </c>
      <c r="T731" s="8" t="s">
        <v>273</v>
      </c>
      <c r="U731" s="8" t="str">
        <f t="shared" si="118"/>
        <v>Machines</v>
      </c>
      <c r="V731" s="8" t="s">
        <v>2298</v>
      </c>
    </row>
    <row r="732" spans="1:22">
      <c r="A732" s="8" t="s">
        <v>2299</v>
      </c>
      <c r="B732" s="8">
        <f t="shared" si="110"/>
        <v>1</v>
      </c>
      <c r="C732" s="8" t="str">
        <f t="shared" si="111"/>
        <v>Unique</v>
      </c>
      <c r="D732" s="9">
        <v>45827</v>
      </c>
      <c r="E732" s="8">
        <f t="shared" si="112"/>
        <v>5</v>
      </c>
      <c r="F732" s="10">
        <v>45832</v>
      </c>
      <c r="G732" s="8" t="s">
        <v>2300</v>
      </c>
      <c r="H732" s="8" t="s">
        <v>51</v>
      </c>
      <c r="I732" s="8" t="str">
        <f t="shared" si="119"/>
        <v>Arjun Bose</v>
      </c>
      <c r="J732" s="8" t="s">
        <v>22</v>
      </c>
      <c r="K732" s="8" t="str">
        <f t="shared" si="113"/>
        <v>Consumer</v>
      </c>
      <c r="L732" s="8" t="s">
        <v>36</v>
      </c>
      <c r="M732" s="8" t="str">
        <f t="shared" si="114"/>
        <v>East</v>
      </c>
      <c r="N732" s="8" t="s">
        <v>97</v>
      </c>
      <c r="O732" s="8" t="str">
        <f t="shared" si="115"/>
        <v>West Bengal</v>
      </c>
      <c r="P732" s="8" t="s">
        <v>98</v>
      </c>
      <c r="Q732" s="8" t="str">
        <f t="shared" si="116"/>
        <v>Kolkata</v>
      </c>
      <c r="R732" s="8" t="s">
        <v>26</v>
      </c>
      <c r="S732" s="8" t="str">
        <f t="shared" si="117"/>
        <v>Office Supplies</v>
      </c>
      <c r="T732" s="8" t="s">
        <v>46</v>
      </c>
      <c r="U732" s="8" t="str">
        <f t="shared" si="118"/>
        <v>Art</v>
      </c>
      <c r="V732" s="8" t="s">
        <v>2301</v>
      </c>
    </row>
    <row r="733" spans="1:22">
      <c r="A733" s="8" t="s">
        <v>2302</v>
      </c>
      <c r="B733" s="8">
        <f t="shared" si="110"/>
        <v>1</v>
      </c>
      <c r="C733" s="8" t="str">
        <f t="shared" si="111"/>
        <v>Unique</v>
      </c>
      <c r="D733" s="9">
        <v>45368</v>
      </c>
      <c r="E733" s="8">
        <f t="shared" si="112"/>
        <v>2</v>
      </c>
      <c r="F733" s="10">
        <v>45370</v>
      </c>
      <c r="G733" s="8" t="s">
        <v>2303</v>
      </c>
      <c r="H733" s="8" t="s">
        <v>60</v>
      </c>
      <c r="I733" s="8" t="str">
        <f t="shared" si="119"/>
        <v>Ananya Rao</v>
      </c>
      <c r="J733" s="8" t="s">
        <v>88</v>
      </c>
      <c r="K733" s="8" t="str">
        <f t="shared" si="113"/>
        <v>Corporate</v>
      </c>
      <c r="L733" s="8" t="s">
        <v>36</v>
      </c>
      <c r="M733" s="8" t="str">
        <f t="shared" si="114"/>
        <v>East</v>
      </c>
      <c r="N733" s="8" t="s">
        <v>37</v>
      </c>
      <c r="O733" s="8" t="str">
        <f t="shared" si="115"/>
        <v>Odisha</v>
      </c>
      <c r="P733" s="8" t="s">
        <v>38</v>
      </c>
      <c r="Q733" s="8" t="str">
        <f t="shared" si="116"/>
        <v>Bhubaneswar</v>
      </c>
      <c r="R733" s="8" t="s">
        <v>26</v>
      </c>
      <c r="S733" s="8" t="str">
        <f t="shared" si="117"/>
        <v>Office Supplies</v>
      </c>
      <c r="T733" s="8" t="s">
        <v>151</v>
      </c>
      <c r="U733" s="8" t="str">
        <f t="shared" si="118"/>
        <v>Binders</v>
      </c>
      <c r="V733" s="8" t="s">
        <v>2304</v>
      </c>
    </row>
    <row r="734" spans="1:22">
      <c r="A734" s="8" t="s">
        <v>2305</v>
      </c>
      <c r="B734" s="8">
        <f t="shared" si="110"/>
        <v>1</v>
      </c>
      <c r="C734" s="8" t="str">
        <f t="shared" si="111"/>
        <v>Unique</v>
      </c>
      <c r="D734" s="9">
        <v>45624</v>
      </c>
      <c r="E734" s="8">
        <f t="shared" si="112"/>
        <v>-169</v>
      </c>
      <c r="F734" s="10">
        <v>45455</v>
      </c>
      <c r="G734" s="8" t="s">
        <v>2306</v>
      </c>
      <c r="H734" s="8" t="s">
        <v>51</v>
      </c>
      <c r="I734" s="8" t="str">
        <f t="shared" si="119"/>
        <v>Arjun Bose</v>
      </c>
      <c r="J734" s="8" t="s">
        <v>35</v>
      </c>
      <c r="K734" s="8" t="str">
        <f t="shared" si="113"/>
        <v>Small Business</v>
      </c>
      <c r="L734" s="8" t="s">
        <v>23</v>
      </c>
      <c r="M734" s="8" t="str">
        <f t="shared" si="114"/>
        <v>North</v>
      </c>
      <c r="N734" s="8" t="s">
        <v>120</v>
      </c>
      <c r="O734" s="8" t="str">
        <f t="shared" si="115"/>
        <v>Punjab</v>
      </c>
      <c r="P734" s="8" t="s">
        <v>121</v>
      </c>
      <c r="Q734" s="8" t="str">
        <f t="shared" si="116"/>
        <v>Ludhiana</v>
      </c>
      <c r="R734" s="8" t="s">
        <v>72</v>
      </c>
      <c r="S734" s="8" t="str">
        <f t="shared" si="117"/>
        <v>Technology</v>
      </c>
      <c r="T734" s="8" t="s">
        <v>169</v>
      </c>
      <c r="U734" s="8" t="str">
        <f t="shared" si="118"/>
        <v>Phones</v>
      </c>
      <c r="V734" s="8" t="s">
        <v>2307</v>
      </c>
    </row>
    <row r="735" spans="1:22">
      <c r="A735" s="8" t="s">
        <v>2308</v>
      </c>
      <c r="B735" s="8">
        <f t="shared" si="110"/>
        <v>1</v>
      </c>
      <c r="C735" s="8" t="str">
        <f t="shared" si="111"/>
        <v>Unique</v>
      </c>
      <c r="D735" s="9">
        <v>45464</v>
      </c>
      <c r="E735" s="8">
        <f t="shared" si="112"/>
        <v>7</v>
      </c>
      <c r="F735" s="10">
        <v>45471</v>
      </c>
      <c r="G735" s="8" t="s">
        <v>2309</v>
      </c>
      <c r="H735" s="8" t="s">
        <v>126</v>
      </c>
      <c r="I735" s="8" t="str">
        <f t="shared" si="119"/>
        <v>Aarav Sharma</v>
      </c>
      <c r="J735" s="8" t="s">
        <v>93</v>
      </c>
      <c r="K735" s="8" t="str">
        <f t="shared" si="113"/>
        <v>Home Office</v>
      </c>
      <c r="L735" s="8" t="s">
        <v>23</v>
      </c>
      <c r="M735" s="8" t="str">
        <f t="shared" si="114"/>
        <v>North</v>
      </c>
      <c r="N735" s="8" t="s">
        <v>24</v>
      </c>
      <c r="O735" s="8" t="str">
        <f t="shared" si="115"/>
        <v>Rajasthan</v>
      </c>
      <c r="P735" s="8" t="s">
        <v>25</v>
      </c>
      <c r="Q735" s="8" t="str">
        <f t="shared" si="116"/>
        <v>Jaipur</v>
      </c>
      <c r="R735" s="8" t="s">
        <v>39</v>
      </c>
      <c r="S735" s="8" t="str">
        <f t="shared" si="117"/>
        <v>Furniture</v>
      </c>
      <c r="T735" s="8" t="s">
        <v>55</v>
      </c>
      <c r="U735" s="8" t="str">
        <f t="shared" si="118"/>
        <v>Furnishings</v>
      </c>
      <c r="V735" s="8" t="s">
        <v>2310</v>
      </c>
    </row>
    <row r="736" spans="1:22">
      <c r="A736" s="8" t="s">
        <v>2311</v>
      </c>
      <c r="B736" s="8">
        <f t="shared" si="110"/>
        <v>1</v>
      </c>
      <c r="C736" s="8" t="str">
        <f t="shared" si="111"/>
        <v>Unique</v>
      </c>
      <c r="D736" s="9">
        <v>45528</v>
      </c>
      <c r="E736" s="8">
        <f t="shared" si="112"/>
        <v>0</v>
      </c>
      <c r="F736" s="10">
        <v>45528</v>
      </c>
      <c r="G736" s="8" t="s">
        <v>2312</v>
      </c>
      <c r="H736" s="8" t="s">
        <v>60</v>
      </c>
      <c r="I736" s="8" t="str">
        <f t="shared" si="119"/>
        <v>Ananya Rao</v>
      </c>
      <c r="J736" s="8" t="s">
        <v>35</v>
      </c>
      <c r="K736" s="8" t="str">
        <f t="shared" si="113"/>
        <v>Small Business</v>
      </c>
      <c r="L736" s="8" t="s">
        <v>23</v>
      </c>
      <c r="M736" s="8" t="str">
        <f t="shared" si="114"/>
        <v>North</v>
      </c>
      <c r="N736" s="8" t="s">
        <v>24</v>
      </c>
      <c r="O736" s="8" t="str">
        <f t="shared" si="115"/>
        <v>Rajasthan</v>
      </c>
      <c r="P736" s="8" t="s">
        <v>25</v>
      </c>
      <c r="Q736" s="8" t="str">
        <f t="shared" si="116"/>
        <v>Jaipur</v>
      </c>
      <c r="R736" s="8" t="s">
        <v>72</v>
      </c>
      <c r="S736" s="8" t="str">
        <f t="shared" si="117"/>
        <v>Technology</v>
      </c>
      <c r="T736" s="8" t="s">
        <v>73</v>
      </c>
      <c r="U736" s="8" t="str">
        <f t="shared" si="118"/>
        <v>Accessories</v>
      </c>
      <c r="V736" s="8" t="s">
        <v>2313</v>
      </c>
    </row>
    <row r="737" spans="1:22">
      <c r="A737" s="8" t="s">
        <v>2314</v>
      </c>
      <c r="B737" s="8">
        <f t="shared" si="110"/>
        <v>1</v>
      </c>
      <c r="C737" s="8" t="str">
        <f t="shared" si="111"/>
        <v>Unique</v>
      </c>
      <c r="D737" s="9">
        <v>45604</v>
      </c>
      <c r="E737" s="8">
        <f t="shared" si="112"/>
        <v>-81</v>
      </c>
      <c r="F737" s="10">
        <v>45523</v>
      </c>
      <c r="G737" s="8" t="s">
        <v>2315</v>
      </c>
      <c r="H737" s="8" t="s">
        <v>34</v>
      </c>
      <c r="I737" s="8" t="str">
        <f t="shared" si="119"/>
        <v>Mira Das</v>
      </c>
      <c r="J737" s="8" t="s">
        <v>22</v>
      </c>
      <c r="K737" s="8" t="str">
        <f t="shared" si="113"/>
        <v>Consumer</v>
      </c>
      <c r="L737" s="8" t="s">
        <v>61</v>
      </c>
      <c r="M737" s="8" t="str">
        <f t="shared" si="114"/>
        <v>West</v>
      </c>
      <c r="N737" s="8" t="s">
        <v>62</v>
      </c>
      <c r="O737" s="8" t="str">
        <f t="shared" si="115"/>
        <v>Maharashtra</v>
      </c>
      <c r="P737" s="8" t="s">
        <v>63</v>
      </c>
      <c r="Q737" s="8" t="str">
        <f t="shared" si="116"/>
        <v>Mumbai</v>
      </c>
      <c r="R737" s="8" t="s">
        <v>39</v>
      </c>
      <c r="S737" s="8" t="str">
        <f t="shared" si="117"/>
        <v>Furniture</v>
      </c>
      <c r="T737" s="8" t="s">
        <v>40</v>
      </c>
      <c r="U737" s="8" t="str">
        <f t="shared" si="118"/>
        <v>Tables</v>
      </c>
      <c r="V737" s="8" t="s">
        <v>2316</v>
      </c>
    </row>
    <row r="738" spans="1:22">
      <c r="A738" s="8" t="s">
        <v>2317</v>
      </c>
      <c r="B738" s="8">
        <f t="shared" si="110"/>
        <v>1</v>
      </c>
      <c r="C738" s="8" t="str">
        <f t="shared" si="111"/>
        <v>Unique</v>
      </c>
      <c r="D738" s="9">
        <v>45455</v>
      </c>
      <c r="E738" s="8">
        <f t="shared" si="112"/>
        <v>92</v>
      </c>
      <c r="F738" s="10">
        <v>45547</v>
      </c>
      <c r="G738" s="8" t="s">
        <v>2318</v>
      </c>
      <c r="H738" s="8" t="s">
        <v>87</v>
      </c>
      <c r="I738" s="8" t="str">
        <f t="shared" si="119"/>
        <v>Aditi Sen</v>
      </c>
      <c r="J738" s="8" t="s">
        <v>22</v>
      </c>
      <c r="K738" s="8" t="str">
        <f t="shared" si="113"/>
        <v>Consumer</v>
      </c>
      <c r="L738" s="8" t="s">
        <v>61</v>
      </c>
      <c r="M738" s="8" t="str">
        <f t="shared" si="114"/>
        <v>West</v>
      </c>
      <c r="N738" s="8" t="s">
        <v>62</v>
      </c>
      <c r="O738" s="8" t="str">
        <f t="shared" si="115"/>
        <v>Maharashtra</v>
      </c>
      <c r="P738" s="8" t="s">
        <v>63</v>
      </c>
      <c r="Q738" s="8" t="str">
        <f t="shared" si="116"/>
        <v>Mumbai</v>
      </c>
      <c r="R738" s="8" t="s">
        <v>39</v>
      </c>
      <c r="S738" s="8" t="str">
        <f t="shared" si="117"/>
        <v>Furniture</v>
      </c>
      <c r="T738" s="8" t="s">
        <v>64</v>
      </c>
      <c r="U738" s="8" t="str">
        <f t="shared" si="118"/>
        <v>Chairs</v>
      </c>
      <c r="V738" s="8" t="s">
        <v>2319</v>
      </c>
    </row>
    <row r="739" spans="1:22">
      <c r="A739" s="8" t="s">
        <v>2320</v>
      </c>
      <c r="B739" s="8">
        <f t="shared" si="110"/>
        <v>1</v>
      </c>
      <c r="C739" s="8" t="str">
        <f t="shared" si="111"/>
        <v>Unique</v>
      </c>
      <c r="D739" s="9">
        <v>45567</v>
      </c>
      <c r="E739" s="8">
        <f t="shared" si="112"/>
        <v>0</v>
      </c>
      <c r="F739" s="10">
        <v>45567</v>
      </c>
      <c r="G739" s="8" t="s">
        <v>2321</v>
      </c>
      <c r="H739" s="8" t="s">
        <v>45</v>
      </c>
      <c r="I739" s="8" t="str">
        <f t="shared" si="119"/>
        <v>Isha Nair</v>
      </c>
      <c r="J739" s="8" t="s">
        <v>93</v>
      </c>
      <c r="K739" s="8" t="str">
        <f t="shared" si="113"/>
        <v>Home Office</v>
      </c>
      <c r="L739" s="8" t="s">
        <v>61</v>
      </c>
      <c r="M739" s="8" t="str">
        <f t="shared" si="114"/>
        <v>West</v>
      </c>
      <c r="N739" s="8" t="s">
        <v>62</v>
      </c>
      <c r="O739" s="8" t="str">
        <f t="shared" si="115"/>
        <v>Maharashtra</v>
      </c>
      <c r="P739" s="8" t="s">
        <v>63</v>
      </c>
      <c r="Q739" s="8" t="str">
        <f t="shared" si="116"/>
        <v>Mumbai</v>
      </c>
      <c r="R739" s="8" t="s">
        <v>39</v>
      </c>
      <c r="S739" s="8" t="str">
        <f t="shared" si="117"/>
        <v>Furniture</v>
      </c>
      <c r="T739" s="8" t="s">
        <v>64</v>
      </c>
      <c r="U739" s="8" t="str">
        <f t="shared" si="118"/>
        <v>Chairs</v>
      </c>
      <c r="V739" s="8" t="s">
        <v>2322</v>
      </c>
    </row>
    <row r="740" spans="1:22">
      <c r="A740" s="8" t="s">
        <v>2323</v>
      </c>
      <c r="B740" s="8">
        <f t="shared" si="110"/>
        <v>1</v>
      </c>
      <c r="C740" s="8" t="str">
        <f t="shared" si="111"/>
        <v>Unique</v>
      </c>
      <c r="D740" s="9">
        <v>45708</v>
      </c>
      <c r="E740" s="8">
        <f t="shared" si="112"/>
        <v>2</v>
      </c>
      <c r="F740" s="10">
        <v>45710</v>
      </c>
      <c r="G740" s="8" t="s">
        <v>2324</v>
      </c>
      <c r="H740" s="8" t="s">
        <v>112</v>
      </c>
      <c r="I740" s="8" t="str">
        <f t="shared" si="119"/>
        <v>Priya Menon</v>
      </c>
      <c r="J740" s="8" t="s">
        <v>88</v>
      </c>
      <c r="K740" s="8" t="str">
        <f t="shared" si="113"/>
        <v>Corporate</v>
      </c>
      <c r="L740" s="8" t="s">
        <v>52</v>
      </c>
      <c r="M740" s="8" t="str">
        <f t="shared" si="114"/>
        <v>South</v>
      </c>
      <c r="N740" s="8" t="s">
        <v>183</v>
      </c>
      <c r="O740" s="8" t="str">
        <f t="shared" si="115"/>
        <v>Kerala</v>
      </c>
      <c r="P740" s="8" t="s">
        <v>184</v>
      </c>
      <c r="Q740" s="8" t="str">
        <f t="shared" si="116"/>
        <v>Kochi</v>
      </c>
      <c r="R740" s="8" t="s">
        <v>26</v>
      </c>
      <c r="S740" s="8" t="str">
        <f t="shared" si="117"/>
        <v>Office Supplies</v>
      </c>
      <c r="T740" s="8" t="s">
        <v>27</v>
      </c>
      <c r="U740" s="8" t="str">
        <f t="shared" si="118"/>
        <v>Paper</v>
      </c>
      <c r="V740" s="8" t="s">
        <v>2325</v>
      </c>
    </row>
    <row r="741" spans="1:22">
      <c r="A741" s="8" t="s">
        <v>2326</v>
      </c>
      <c r="B741" s="8">
        <f t="shared" si="110"/>
        <v>1</v>
      </c>
      <c r="C741" s="8" t="str">
        <f t="shared" si="111"/>
        <v>Unique</v>
      </c>
      <c r="D741" s="9">
        <v>45363</v>
      </c>
      <c r="E741" s="8">
        <f t="shared" si="112"/>
        <v>273</v>
      </c>
      <c r="F741" s="10">
        <v>45636</v>
      </c>
      <c r="G741" s="8" t="s">
        <v>2327</v>
      </c>
      <c r="H741" s="8" t="s">
        <v>77</v>
      </c>
      <c r="I741" s="8" t="str">
        <f t="shared" si="119"/>
        <v>Neha Gupta</v>
      </c>
      <c r="J741" s="8" t="s">
        <v>88</v>
      </c>
      <c r="K741" s="8" t="str">
        <f t="shared" si="113"/>
        <v>Corporate</v>
      </c>
      <c r="L741" s="8" t="s">
        <v>23</v>
      </c>
      <c r="M741" s="8" t="str">
        <f t="shared" si="114"/>
        <v>North</v>
      </c>
      <c r="N741" s="8" t="s">
        <v>24</v>
      </c>
      <c r="O741" s="8" t="str">
        <f t="shared" si="115"/>
        <v>Rajasthan</v>
      </c>
      <c r="P741" s="8" t="s">
        <v>25</v>
      </c>
      <c r="Q741" s="8" t="str">
        <f t="shared" si="116"/>
        <v>Jaipur</v>
      </c>
      <c r="R741" s="8" t="s">
        <v>72</v>
      </c>
      <c r="S741" s="8" t="str">
        <f t="shared" si="117"/>
        <v>Technology</v>
      </c>
      <c r="T741" s="8" t="s">
        <v>169</v>
      </c>
      <c r="U741" s="8" t="str">
        <f t="shared" si="118"/>
        <v>Phones</v>
      </c>
      <c r="V741" s="8" t="s">
        <v>2328</v>
      </c>
    </row>
    <row r="742" spans="1:22">
      <c r="A742" s="8" t="s">
        <v>2329</v>
      </c>
      <c r="B742" s="8">
        <f t="shared" si="110"/>
        <v>1</v>
      </c>
      <c r="C742" s="8" t="str">
        <f t="shared" si="111"/>
        <v>Unique</v>
      </c>
      <c r="D742" s="9">
        <v>45326</v>
      </c>
      <c r="E742" s="8">
        <f t="shared" si="112"/>
        <v>58</v>
      </c>
      <c r="F742" s="10">
        <v>45384</v>
      </c>
      <c r="G742" s="8" t="s">
        <v>525</v>
      </c>
      <c r="H742" s="8" t="s">
        <v>130</v>
      </c>
      <c r="I742" s="8" t="str">
        <f t="shared" si="119"/>
        <v>Sneha Kapoor</v>
      </c>
      <c r="J742" s="8" t="s">
        <v>35</v>
      </c>
      <c r="K742" s="8" t="str">
        <f t="shared" si="113"/>
        <v>Small Business</v>
      </c>
      <c r="L742" s="8" t="s">
        <v>61</v>
      </c>
      <c r="M742" s="8" t="str">
        <f t="shared" si="114"/>
        <v>West</v>
      </c>
      <c r="N742" s="8" t="s">
        <v>62</v>
      </c>
      <c r="O742" s="8" t="str">
        <f t="shared" si="115"/>
        <v>Maharashtra</v>
      </c>
      <c r="P742" s="8" t="s">
        <v>63</v>
      </c>
      <c r="Q742" s="8" t="str">
        <f t="shared" si="116"/>
        <v>Mumbai</v>
      </c>
      <c r="R742" s="8" t="s">
        <v>39</v>
      </c>
      <c r="S742" s="8" t="str">
        <f t="shared" si="117"/>
        <v>Furniture</v>
      </c>
      <c r="T742" s="8" t="s">
        <v>64</v>
      </c>
      <c r="U742" s="8" t="str">
        <f t="shared" si="118"/>
        <v>Chairs</v>
      </c>
      <c r="V742" s="8" t="s">
        <v>2330</v>
      </c>
    </row>
    <row r="743" spans="1:22">
      <c r="A743" s="8" t="s">
        <v>2331</v>
      </c>
      <c r="B743" s="8">
        <f t="shared" si="110"/>
        <v>1</v>
      </c>
      <c r="C743" s="8" t="str">
        <f t="shared" si="111"/>
        <v>Unique</v>
      </c>
      <c r="D743" s="9">
        <v>45770</v>
      </c>
      <c r="E743" s="8">
        <f t="shared" si="112"/>
        <v>2</v>
      </c>
      <c r="F743" s="10">
        <v>45772</v>
      </c>
      <c r="G743" s="8" t="s">
        <v>2332</v>
      </c>
      <c r="H743" s="8" t="s">
        <v>45</v>
      </c>
      <c r="I743" s="8" t="str">
        <f t="shared" si="119"/>
        <v>Isha Nair</v>
      </c>
      <c r="J743" s="8" t="s">
        <v>93</v>
      </c>
      <c r="K743" s="8" t="str">
        <f t="shared" si="113"/>
        <v>Home Office</v>
      </c>
      <c r="L743" s="8" t="s">
        <v>52</v>
      </c>
      <c r="M743" s="8" t="str">
        <f t="shared" si="114"/>
        <v>South</v>
      </c>
      <c r="N743" s="8" t="s">
        <v>246</v>
      </c>
      <c r="O743" s="8" t="str">
        <f t="shared" si="115"/>
        <v>Tamil Nadu</v>
      </c>
      <c r="P743" s="8" t="s">
        <v>247</v>
      </c>
      <c r="Q743" s="8" t="str">
        <f t="shared" si="116"/>
        <v>Chennai</v>
      </c>
      <c r="R743" s="8" t="s">
        <v>39</v>
      </c>
      <c r="S743" s="8" t="str">
        <f t="shared" si="117"/>
        <v>Furniture</v>
      </c>
      <c r="T743" s="8" t="s">
        <v>64</v>
      </c>
      <c r="U743" s="8" t="str">
        <f t="shared" si="118"/>
        <v>Chairs</v>
      </c>
      <c r="V743" s="8" t="s">
        <v>2333</v>
      </c>
    </row>
    <row r="744" spans="1:22">
      <c r="A744" s="8" t="s">
        <v>2334</v>
      </c>
      <c r="B744" s="8">
        <f t="shared" si="110"/>
        <v>1</v>
      </c>
      <c r="C744" s="8" t="str">
        <f t="shared" si="111"/>
        <v>Unique</v>
      </c>
      <c r="D744" s="9">
        <v>45580</v>
      </c>
      <c r="E744" s="8">
        <f t="shared" si="112"/>
        <v>7</v>
      </c>
      <c r="F744" s="10">
        <v>45587</v>
      </c>
      <c r="G744" s="8" t="s">
        <v>2335</v>
      </c>
      <c r="H744" s="8" t="s">
        <v>21</v>
      </c>
      <c r="I744" s="8" t="str">
        <f t="shared" si="119"/>
        <v>Karan Malhotra</v>
      </c>
      <c r="J744" s="8" t="s">
        <v>88</v>
      </c>
      <c r="K744" s="8" t="str">
        <f t="shared" si="113"/>
        <v>Corporate</v>
      </c>
      <c r="L744" s="8" t="s">
        <v>2336</v>
      </c>
      <c r="M744" s="8" t="str">
        <f t="shared" si="114"/>
        <v>East</v>
      </c>
      <c r="N744" s="8" t="s">
        <v>37</v>
      </c>
      <c r="O744" s="8" t="str">
        <f t="shared" si="115"/>
        <v>Odisha</v>
      </c>
      <c r="P744" s="8" t="s">
        <v>38</v>
      </c>
      <c r="Q744" s="8" t="str">
        <f t="shared" si="116"/>
        <v>Bhubaneswar</v>
      </c>
      <c r="R744" s="8" t="s">
        <v>26</v>
      </c>
      <c r="S744" s="8" t="str">
        <f t="shared" si="117"/>
        <v>Office Supplies</v>
      </c>
      <c r="T744" s="8" t="s">
        <v>27</v>
      </c>
      <c r="U744" s="8" t="str">
        <f t="shared" si="118"/>
        <v>Paper</v>
      </c>
      <c r="V744" s="8" t="s">
        <v>2337</v>
      </c>
    </row>
    <row r="745" spans="1:22">
      <c r="A745" s="8" t="s">
        <v>2338</v>
      </c>
      <c r="B745" s="8">
        <f t="shared" si="110"/>
        <v>1</v>
      </c>
      <c r="C745" s="8" t="str">
        <f t="shared" si="111"/>
        <v>Unique</v>
      </c>
      <c r="D745" s="9">
        <v>45700</v>
      </c>
      <c r="E745" s="8">
        <f t="shared" si="112"/>
        <v>2</v>
      </c>
      <c r="F745" s="10">
        <v>45702</v>
      </c>
      <c r="G745" s="8" t="s">
        <v>2339</v>
      </c>
      <c r="H745" s="8" t="s">
        <v>130</v>
      </c>
      <c r="I745" s="8" t="str">
        <f t="shared" si="119"/>
        <v>Sneha Kapoor</v>
      </c>
      <c r="J745" s="8" t="s">
        <v>22</v>
      </c>
      <c r="K745" s="8" t="str">
        <f t="shared" si="113"/>
        <v>Consumer</v>
      </c>
      <c r="L745" s="8" t="s">
        <v>23</v>
      </c>
      <c r="M745" s="8" t="str">
        <f t="shared" si="114"/>
        <v>North</v>
      </c>
      <c r="N745" s="8" t="s">
        <v>134</v>
      </c>
      <c r="O745" s="8" t="str">
        <f t="shared" si="115"/>
        <v>Uttar Pradesh</v>
      </c>
      <c r="P745" s="8" t="s">
        <v>135</v>
      </c>
      <c r="Q745" s="8" t="str">
        <f t="shared" si="116"/>
        <v>Noida</v>
      </c>
      <c r="R745" s="8" t="s">
        <v>26</v>
      </c>
      <c r="S745" s="8" t="str">
        <f t="shared" si="117"/>
        <v>Office Supplies</v>
      </c>
      <c r="T745" s="8" t="s">
        <v>46</v>
      </c>
      <c r="U745" s="8" t="str">
        <f t="shared" si="118"/>
        <v>Art</v>
      </c>
      <c r="V745" s="8" t="s">
        <v>2340</v>
      </c>
    </row>
    <row r="746" spans="1:22">
      <c r="A746" s="8" t="s">
        <v>2341</v>
      </c>
      <c r="B746" s="8">
        <f t="shared" si="110"/>
        <v>1</v>
      </c>
      <c r="C746" s="8" t="str">
        <f t="shared" si="111"/>
        <v>Unique</v>
      </c>
      <c r="D746" s="9">
        <v>45886</v>
      </c>
      <c r="E746" s="8">
        <f t="shared" si="112"/>
        <v>3</v>
      </c>
      <c r="F746" s="10">
        <v>45889</v>
      </c>
      <c r="G746" s="8" t="s">
        <v>2342</v>
      </c>
      <c r="H746" s="8" t="s">
        <v>34</v>
      </c>
      <c r="I746" s="8" t="str">
        <f t="shared" si="119"/>
        <v>Mira Das</v>
      </c>
      <c r="J746" s="8" t="s">
        <v>93</v>
      </c>
      <c r="K746" s="8" t="str">
        <f t="shared" si="113"/>
        <v>Home Office</v>
      </c>
      <c r="L746" s="8" t="s">
        <v>23</v>
      </c>
      <c r="M746" s="8" t="str">
        <f t="shared" si="114"/>
        <v>North</v>
      </c>
      <c r="N746" s="8" t="s">
        <v>120</v>
      </c>
      <c r="O746" s="8" t="str">
        <f t="shared" si="115"/>
        <v>Punjab</v>
      </c>
      <c r="P746" s="8" t="s">
        <v>121</v>
      </c>
      <c r="Q746" s="8" t="str">
        <f t="shared" si="116"/>
        <v>Ludhiana</v>
      </c>
      <c r="R746" s="8" t="s">
        <v>26</v>
      </c>
      <c r="S746" s="8" t="str">
        <f t="shared" si="117"/>
        <v>Office Supplies</v>
      </c>
      <c r="T746" s="8" t="s">
        <v>151</v>
      </c>
      <c r="U746" s="8" t="str">
        <f t="shared" si="118"/>
        <v>Binders</v>
      </c>
      <c r="V746" s="8" t="s">
        <v>2343</v>
      </c>
    </row>
    <row r="747" spans="1:22">
      <c r="A747" s="8" t="s">
        <v>2344</v>
      </c>
      <c r="B747" s="8">
        <f t="shared" si="110"/>
        <v>1</v>
      </c>
      <c r="C747" s="8" t="str">
        <f t="shared" si="111"/>
        <v>Unique</v>
      </c>
      <c r="D747" s="9">
        <v>45589</v>
      </c>
      <c r="E747" s="8">
        <f t="shared" si="112"/>
        <v>4</v>
      </c>
      <c r="F747" s="10">
        <v>45593</v>
      </c>
      <c r="G747" s="8" t="s">
        <v>2345</v>
      </c>
      <c r="H747" s="8" t="s">
        <v>34</v>
      </c>
      <c r="I747" s="8" t="str">
        <f t="shared" si="119"/>
        <v>Mira Das</v>
      </c>
      <c r="J747" s="8" t="s">
        <v>35</v>
      </c>
      <c r="K747" s="8" t="str">
        <f t="shared" si="113"/>
        <v>Small Business</v>
      </c>
      <c r="L747" s="8" t="s">
        <v>36</v>
      </c>
      <c r="M747" s="8" t="str">
        <f t="shared" si="114"/>
        <v>East</v>
      </c>
      <c r="N747" s="8" t="s">
        <v>164</v>
      </c>
      <c r="O747" s="8" t="str">
        <f t="shared" si="115"/>
        <v>Assam</v>
      </c>
      <c r="P747" s="8" t="s">
        <v>165</v>
      </c>
      <c r="Q747" s="8" t="str">
        <f t="shared" si="116"/>
        <v>Guwahati</v>
      </c>
      <c r="R747" s="8" t="s">
        <v>72</v>
      </c>
      <c r="S747" s="8" t="str">
        <f t="shared" si="117"/>
        <v>Technology</v>
      </c>
      <c r="T747" s="8" t="s">
        <v>78</v>
      </c>
      <c r="U747" s="8" t="str">
        <f t="shared" si="118"/>
        <v>Copiers</v>
      </c>
      <c r="V747" s="8" t="s">
        <v>2346</v>
      </c>
    </row>
    <row r="748" spans="1:22">
      <c r="A748" s="8" t="s">
        <v>2347</v>
      </c>
      <c r="B748" s="8">
        <f t="shared" si="110"/>
        <v>1</v>
      </c>
      <c r="C748" s="8" t="str">
        <f t="shared" si="111"/>
        <v>Unique</v>
      </c>
      <c r="D748" s="9">
        <v>45748</v>
      </c>
      <c r="E748" s="8">
        <f t="shared" si="112"/>
        <v>183</v>
      </c>
      <c r="F748" s="10">
        <v>45931</v>
      </c>
      <c r="G748" s="8" t="s">
        <v>2052</v>
      </c>
      <c r="H748" s="8" t="s">
        <v>126</v>
      </c>
      <c r="I748" s="8" t="str">
        <f t="shared" si="119"/>
        <v>Aarav Sharma</v>
      </c>
      <c r="J748" s="8" t="s">
        <v>93</v>
      </c>
      <c r="K748" s="8" t="str">
        <f t="shared" si="113"/>
        <v>Home Office</v>
      </c>
      <c r="L748" s="8" t="s">
        <v>36</v>
      </c>
      <c r="M748" s="8" t="str">
        <f t="shared" si="114"/>
        <v>East</v>
      </c>
      <c r="N748" s="8" t="s">
        <v>97</v>
      </c>
      <c r="O748" s="8" t="str">
        <f t="shared" si="115"/>
        <v>West Bengal</v>
      </c>
      <c r="P748" s="8" t="s">
        <v>98</v>
      </c>
      <c r="Q748" s="8" t="str">
        <f t="shared" si="116"/>
        <v>Kolkata</v>
      </c>
      <c r="R748" s="8" t="s">
        <v>26</v>
      </c>
      <c r="S748" s="8" t="str">
        <f t="shared" si="117"/>
        <v>Office Supplies</v>
      </c>
      <c r="T748" s="8" t="s">
        <v>27</v>
      </c>
      <c r="U748" s="8" t="str">
        <f t="shared" si="118"/>
        <v>Paper</v>
      </c>
      <c r="V748" s="8" t="s">
        <v>2348</v>
      </c>
    </row>
    <row r="749" spans="1:22">
      <c r="A749" s="8" t="s">
        <v>2349</v>
      </c>
      <c r="B749" s="8">
        <f t="shared" si="110"/>
        <v>1</v>
      </c>
      <c r="C749" s="8" t="str">
        <f t="shared" si="111"/>
        <v>Unique</v>
      </c>
      <c r="D749" s="9">
        <v>45296</v>
      </c>
      <c r="E749" s="8">
        <f t="shared" si="112"/>
        <v>182</v>
      </c>
      <c r="F749" s="10">
        <v>45478</v>
      </c>
      <c r="G749" s="8" t="s">
        <v>2350</v>
      </c>
      <c r="H749" s="8" t="s">
        <v>45</v>
      </c>
      <c r="I749" s="8" t="str">
        <f t="shared" si="119"/>
        <v>Isha Nair</v>
      </c>
      <c r="J749" s="8" t="s">
        <v>93</v>
      </c>
      <c r="K749" s="8" t="str">
        <f t="shared" si="113"/>
        <v>Home Office</v>
      </c>
      <c r="L749" s="8" t="s">
        <v>36</v>
      </c>
      <c r="M749" s="8" t="str">
        <f t="shared" si="114"/>
        <v>East</v>
      </c>
      <c r="N749" s="8" t="s">
        <v>37</v>
      </c>
      <c r="O749" s="8" t="str">
        <f t="shared" si="115"/>
        <v>Odisha</v>
      </c>
      <c r="P749" s="8" t="s">
        <v>38</v>
      </c>
      <c r="Q749" s="8" t="str">
        <f t="shared" si="116"/>
        <v>Bhubaneswar</v>
      </c>
      <c r="R749" s="8" t="s">
        <v>26</v>
      </c>
      <c r="S749" s="8" t="str">
        <f t="shared" si="117"/>
        <v>Office Supplies</v>
      </c>
      <c r="T749" s="8" t="s">
        <v>27</v>
      </c>
      <c r="U749" s="8" t="str">
        <f t="shared" si="118"/>
        <v>Paper</v>
      </c>
      <c r="V749" s="8" t="s">
        <v>2351</v>
      </c>
    </row>
    <row r="750" spans="1:22">
      <c r="A750" s="8" t="s">
        <v>2352</v>
      </c>
      <c r="B750" s="8">
        <f t="shared" si="110"/>
        <v>1</v>
      </c>
      <c r="C750" s="8" t="str">
        <f t="shared" si="111"/>
        <v>Unique</v>
      </c>
      <c r="D750" s="9">
        <v>45442</v>
      </c>
      <c r="E750" s="8">
        <f t="shared" si="112"/>
        <v>0</v>
      </c>
      <c r="F750" s="10">
        <v>45442</v>
      </c>
      <c r="G750" s="8" t="s">
        <v>2353</v>
      </c>
      <c r="H750" s="8" t="s">
        <v>160</v>
      </c>
      <c r="I750" s="8" t="str">
        <f t="shared" si="119"/>
        <v>Diya Patel</v>
      </c>
      <c r="J750" s="8" t="s">
        <v>93</v>
      </c>
      <c r="K750" s="8" t="str">
        <f t="shared" si="113"/>
        <v>Home Office</v>
      </c>
      <c r="L750" s="8" t="s">
        <v>23</v>
      </c>
      <c r="M750" s="8" t="str">
        <f t="shared" si="114"/>
        <v>North</v>
      </c>
      <c r="N750" s="8" t="s">
        <v>235</v>
      </c>
      <c r="O750" s="8" t="str">
        <f t="shared" si="115"/>
        <v>Haryana</v>
      </c>
      <c r="P750" s="8" t="s">
        <v>236</v>
      </c>
      <c r="Q750" s="8" t="str">
        <f t="shared" si="116"/>
        <v>Gurugram</v>
      </c>
      <c r="R750" s="8" t="s">
        <v>72</v>
      </c>
      <c r="S750" s="8" t="str">
        <f t="shared" si="117"/>
        <v>Technology</v>
      </c>
      <c r="T750" s="8" t="s">
        <v>169</v>
      </c>
      <c r="U750" s="8" t="str">
        <f t="shared" si="118"/>
        <v>Phones</v>
      </c>
      <c r="V750" s="8" t="s">
        <v>2354</v>
      </c>
    </row>
    <row r="751" spans="1:22">
      <c r="A751" s="8" t="s">
        <v>2355</v>
      </c>
      <c r="B751" s="8">
        <f t="shared" si="110"/>
        <v>1</v>
      </c>
      <c r="C751" s="8" t="str">
        <f t="shared" si="111"/>
        <v>Unique</v>
      </c>
      <c r="D751" s="9">
        <v>45372</v>
      </c>
      <c r="E751" s="8">
        <f t="shared" si="112"/>
        <v>4</v>
      </c>
      <c r="F751" s="10">
        <v>45376</v>
      </c>
      <c r="G751" s="8" t="s">
        <v>2356</v>
      </c>
      <c r="H751" s="8" t="s">
        <v>87</v>
      </c>
      <c r="I751" s="8" t="str">
        <f t="shared" si="119"/>
        <v>Aditi Sen</v>
      </c>
      <c r="J751" s="8" t="s">
        <v>93</v>
      </c>
      <c r="K751" s="8" t="str">
        <f t="shared" si="113"/>
        <v>Home Office</v>
      </c>
      <c r="L751" s="8" t="s">
        <v>36</v>
      </c>
      <c r="M751" s="8" t="str">
        <f t="shared" si="114"/>
        <v>East</v>
      </c>
      <c r="N751" s="8" t="s">
        <v>164</v>
      </c>
      <c r="O751" s="8" t="str">
        <f t="shared" si="115"/>
        <v>Assam</v>
      </c>
      <c r="P751" s="8" t="s">
        <v>165</v>
      </c>
      <c r="Q751" s="8" t="str">
        <f t="shared" si="116"/>
        <v>Guwahati</v>
      </c>
      <c r="R751" s="8" t="s">
        <v>72</v>
      </c>
      <c r="S751" s="8" t="str">
        <f t="shared" si="117"/>
        <v>Technology</v>
      </c>
      <c r="T751" s="8" t="s">
        <v>273</v>
      </c>
      <c r="U751" s="8" t="str">
        <f t="shared" si="118"/>
        <v>Machines</v>
      </c>
      <c r="V751" s="8" t="s">
        <v>2357</v>
      </c>
    </row>
    <row r="752" spans="1:22">
      <c r="A752" s="8" t="s">
        <v>2358</v>
      </c>
      <c r="B752" s="8">
        <f t="shared" si="110"/>
        <v>1</v>
      </c>
      <c r="C752" s="8" t="str">
        <f t="shared" si="111"/>
        <v>Unique</v>
      </c>
      <c r="D752" s="9">
        <v>45810</v>
      </c>
      <c r="E752" s="8">
        <f t="shared" si="112"/>
        <v>-116</v>
      </c>
      <c r="F752" s="10">
        <v>45694</v>
      </c>
      <c r="G752" s="8" t="s">
        <v>2359</v>
      </c>
      <c r="H752" s="8" t="s">
        <v>126</v>
      </c>
      <c r="I752" s="8" t="str">
        <f t="shared" si="119"/>
        <v>Aarav Sharma</v>
      </c>
      <c r="J752" s="8" t="s">
        <v>93</v>
      </c>
      <c r="K752" s="8" t="str">
        <f t="shared" si="113"/>
        <v>Home Office</v>
      </c>
      <c r="L752" s="8" t="s">
        <v>52</v>
      </c>
      <c r="M752" s="8" t="str">
        <f t="shared" si="114"/>
        <v>South</v>
      </c>
      <c r="N752" s="8" t="s">
        <v>53</v>
      </c>
      <c r="O752" s="8" t="str">
        <f t="shared" si="115"/>
        <v>Telangana</v>
      </c>
      <c r="P752" s="8" t="s">
        <v>54</v>
      </c>
      <c r="Q752" s="8" t="str">
        <f t="shared" si="116"/>
        <v>Hyderabad</v>
      </c>
      <c r="R752" s="8" t="s">
        <v>72</v>
      </c>
      <c r="S752" s="8" t="str">
        <f t="shared" si="117"/>
        <v>Technology</v>
      </c>
      <c r="T752" s="8" t="s">
        <v>73</v>
      </c>
      <c r="U752" s="8" t="str">
        <f t="shared" si="118"/>
        <v>Accessories</v>
      </c>
      <c r="V752" s="8" t="s">
        <v>2360</v>
      </c>
    </row>
    <row r="753" spans="1:22">
      <c r="A753" s="8" t="s">
        <v>2361</v>
      </c>
      <c r="B753" s="8">
        <f t="shared" si="110"/>
        <v>1</v>
      </c>
      <c r="C753" s="8" t="str">
        <f t="shared" si="111"/>
        <v>Unique</v>
      </c>
      <c r="D753" s="9">
        <v>45856</v>
      </c>
      <c r="E753" s="8">
        <f t="shared" si="112"/>
        <v>1</v>
      </c>
      <c r="F753" s="10">
        <v>45857</v>
      </c>
      <c r="G753" s="8" t="s">
        <v>2362</v>
      </c>
      <c r="H753" s="8" t="s">
        <v>112</v>
      </c>
      <c r="I753" s="8" t="str">
        <f t="shared" si="119"/>
        <v>Priya Menon</v>
      </c>
      <c r="J753" s="8" t="s">
        <v>93</v>
      </c>
      <c r="K753" s="8" t="str">
        <f t="shared" si="113"/>
        <v>Home Office</v>
      </c>
      <c r="M753" s="8" t="str">
        <f t="shared" si="114"/>
        <v/>
      </c>
      <c r="N753" s="8" t="s">
        <v>134</v>
      </c>
      <c r="O753" s="8" t="str">
        <f t="shared" si="115"/>
        <v>Uttar Pradesh</v>
      </c>
      <c r="P753" s="8" t="s">
        <v>135</v>
      </c>
      <c r="Q753" s="8" t="str">
        <f t="shared" si="116"/>
        <v>Noida</v>
      </c>
      <c r="R753" s="8" t="s">
        <v>72</v>
      </c>
      <c r="S753" s="8" t="str">
        <f t="shared" si="117"/>
        <v>Technology</v>
      </c>
      <c r="T753" s="8" t="s">
        <v>273</v>
      </c>
      <c r="U753" s="8" t="str">
        <f t="shared" si="118"/>
        <v>Machines</v>
      </c>
      <c r="V753" s="8" t="s">
        <v>2363</v>
      </c>
    </row>
    <row r="754" spans="1:22">
      <c r="A754" s="8" t="s">
        <v>2364</v>
      </c>
      <c r="B754" s="8">
        <f t="shared" si="110"/>
        <v>1</v>
      </c>
      <c r="C754" s="8" t="str">
        <f t="shared" si="111"/>
        <v>Unique</v>
      </c>
      <c r="D754" s="9">
        <v>45375</v>
      </c>
      <c r="E754" s="8">
        <f t="shared" si="112"/>
        <v>3</v>
      </c>
      <c r="F754" s="10">
        <v>45378</v>
      </c>
      <c r="G754" s="8" t="s">
        <v>2365</v>
      </c>
      <c r="H754" s="8" t="s">
        <v>87</v>
      </c>
      <c r="I754" s="8" t="str">
        <f t="shared" si="119"/>
        <v>Aditi Sen</v>
      </c>
      <c r="J754" s="8" t="s">
        <v>88</v>
      </c>
      <c r="K754" s="8" t="str">
        <f t="shared" si="113"/>
        <v>Corporate</v>
      </c>
      <c r="L754" s="8" t="s">
        <v>61</v>
      </c>
      <c r="M754" s="8" t="str">
        <f t="shared" si="114"/>
        <v>West</v>
      </c>
      <c r="N754" s="8" t="s">
        <v>178</v>
      </c>
      <c r="O754" s="8" t="str">
        <f t="shared" si="115"/>
        <v>Gujarat</v>
      </c>
      <c r="P754" s="8" t="s">
        <v>179</v>
      </c>
      <c r="Q754" s="8" t="str">
        <f t="shared" si="116"/>
        <v>Ahmedabad</v>
      </c>
      <c r="R754" s="8" t="s">
        <v>26</v>
      </c>
      <c r="S754" s="8" t="str">
        <f t="shared" si="117"/>
        <v>Office Supplies</v>
      </c>
      <c r="T754" s="8" t="s">
        <v>122</v>
      </c>
      <c r="U754" s="8" t="str">
        <f t="shared" si="118"/>
        <v>Storage</v>
      </c>
      <c r="V754" s="8" t="s">
        <v>2366</v>
      </c>
    </row>
    <row r="755" spans="1:22">
      <c r="A755" s="8" t="s">
        <v>2367</v>
      </c>
      <c r="B755" s="8">
        <f t="shared" si="110"/>
        <v>1</v>
      </c>
      <c r="C755" s="8" t="str">
        <f t="shared" si="111"/>
        <v>Unique</v>
      </c>
      <c r="D755" s="9">
        <v>45604</v>
      </c>
      <c r="E755" s="8">
        <f t="shared" si="112"/>
        <v>-31</v>
      </c>
      <c r="F755" s="10">
        <v>45573</v>
      </c>
      <c r="G755" s="8" t="s">
        <v>2368</v>
      </c>
      <c r="H755" s="8" t="s">
        <v>87</v>
      </c>
      <c r="I755" s="8" t="str">
        <f t="shared" si="119"/>
        <v>Aditi Sen</v>
      </c>
      <c r="J755" s="8" t="s">
        <v>88</v>
      </c>
      <c r="K755" s="8" t="str">
        <f t="shared" si="113"/>
        <v>Corporate</v>
      </c>
      <c r="L755" s="8" t="s">
        <v>23</v>
      </c>
      <c r="M755" s="8" t="str">
        <f t="shared" si="114"/>
        <v>North</v>
      </c>
      <c r="N755" s="8" t="s">
        <v>349</v>
      </c>
      <c r="O755" s="8" t="str">
        <f t="shared" si="115"/>
        <v>Delhi</v>
      </c>
      <c r="P755" s="8" t="s">
        <v>350</v>
      </c>
      <c r="Q755" s="8" t="str">
        <f t="shared" si="116"/>
        <v>New Delhi</v>
      </c>
      <c r="R755" s="8" t="s">
        <v>39</v>
      </c>
      <c r="S755" s="8" t="str">
        <f t="shared" si="117"/>
        <v>Furniture</v>
      </c>
      <c r="T755" s="8" t="s">
        <v>55</v>
      </c>
      <c r="U755" s="8" t="str">
        <f t="shared" si="118"/>
        <v>Furnishings</v>
      </c>
      <c r="V755" s="8" t="s">
        <v>2369</v>
      </c>
    </row>
    <row r="756" spans="1:22">
      <c r="A756" s="8" t="s">
        <v>2370</v>
      </c>
      <c r="B756" s="8">
        <f t="shared" si="110"/>
        <v>1</v>
      </c>
      <c r="C756" s="8" t="str">
        <f t="shared" si="111"/>
        <v>Unique</v>
      </c>
      <c r="D756" s="9">
        <v>45812</v>
      </c>
      <c r="E756" s="8">
        <f t="shared" si="112"/>
        <v>0</v>
      </c>
      <c r="F756" s="10">
        <v>45812</v>
      </c>
      <c r="G756" s="8" t="s">
        <v>2371</v>
      </c>
      <c r="H756" s="8" t="s">
        <v>77</v>
      </c>
      <c r="I756" s="8" t="str">
        <f t="shared" si="119"/>
        <v>Neha Gupta</v>
      </c>
      <c r="J756" s="8" t="s">
        <v>88</v>
      </c>
      <c r="K756" s="8" t="str">
        <f t="shared" si="113"/>
        <v>Corporate</v>
      </c>
      <c r="L756" s="8" t="s">
        <v>52</v>
      </c>
      <c r="M756" s="8" t="str">
        <f t="shared" si="114"/>
        <v>South</v>
      </c>
      <c r="N756" s="8" t="s">
        <v>183</v>
      </c>
      <c r="O756" s="8" t="str">
        <f t="shared" si="115"/>
        <v>Kerala</v>
      </c>
      <c r="P756" s="8" t="s">
        <v>184</v>
      </c>
      <c r="Q756" s="8" t="str">
        <f t="shared" si="116"/>
        <v>Kochi</v>
      </c>
      <c r="R756" s="8" t="s">
        <v>26</v>
      </c>
      <c r="S756" s="8" t="str">
        <f t="shared" si="117"/>
        <v>Office Supplies</v>
      </c>
      <c r="T756" s="8" t="s">
        <v>122</v>
      </c>
      <c r="U756" s="8" t="str">
        <f t="shared" si="118"/>
        <v>Storage</v>
      </c>
      <c r="V756" s="8" t="s">
        <v>2372</v>
      </c>
    </row>
    <row r="757" spans="1:22">
      <c r="A757" s="8" t="s">
        <v>2373</v>
      </c>
      <c r="B757" s="8">
        <f t="shared" si="110"/>
        <v>1</v>
      </c>
      <c r="C757" s="8" t="str">
        <f t="shared" si="111"/>
        <v>Unique</v>
      </c>
      <c r="D757" s="9">
        <v>45858</v>
      </c>
      <c r="E757" s="8">
        <f t="shared" si="112"/>
        <v>4</v>
      </c>
      <c r="F757" s="10">
        <v>45862</v>
      </c>
      <c r="G757" s="8" t="s">
        <v>2374</v>
      </c>
      <c r="H757" s="8" t="s">
        <v>112</v>
      </c>
      <c r="I757" s="8" t="str">
        <f t="shared" si="119"/>
        <v>Priya Menon</v>
      </c>
      <c r="J757" s="8" t="s">
        <v>93</v>
      </c>
      <c r="K757" s="8" t="str">
        <f t="shared" si="113"/>
        <v>Home Office</v>
      </c>
      <c r="L757" s="8" t="s">
        <v>61</v>
      </c>
      <c r="M757" s="8" t="str">
        <f t="shared" si="114"/>
        <v>West</v>
      </c>
      <c r="N757" s="8" t="s">
        <v>70</v>
      </c>
      <c r="O757" s="8" t="str">
        <f t="shared" si="115"/>
        <v>Madhya Pradesh</v>
      </c>
      <c r="P757" s="8" t="s">
        <v>71</v>
      </c>
      <c r="Q757" s="8" t="str">
        <f t="shared" si="116"/>
        <v>Indore</v>
      </c>
      <c r="R757" s="8" t="s">
        <v>26</v>
      </c>
      <c r="S757" s="8" t="str">
        <f t="shared" si="117"/>
        <v>Office Supplies</v>
      </c>
      <c r="T757" s="8" t="s">
        <v>122</v>
      </c>
      <c r="U757" s="8" t="str">
        <f t="shared" si="118"/>
        <v>Storage</v>
      </c>
      <c r="V757" s="8" t="s">
        <v>2375</v>
      </c>
    </row>
    <row r="758" spans="1:22">
      <c r="A758" s="8" t="s">
        <v>2376</v>
      </c>
      <c r="B758" s="8">
        <f t="shared" si="110"/>
        <v>1</v>
      </c>
      <c r="C758" s="8" t="str">
        <f t="shared" si="111"/>
        <v>Unique</v>
      </c>
      <c r="D758" s="9">
        <v>45592</v>
      </c>
      <c r="E758" s="8">
        <f t="shared" si="112"/>
        <v>5</v>
      </c>
      <c r="F758" s="10">
        <v>45597</v>
      </c>
      <c r="G758" s="8" t="s">
        <v>2377</v>
      </c>
      <c r="H758" s="8" t="s">
        <v>139</v>
      </c>
      <c r="I758" s="8" t="str">
        <f t="shared" si="119"/>
        <v>Rohan Mehta</v>
      </c>
      <c r="J758" s="8" t="s">
        <v>22</v>
      </c>
      <c r="K758" s="8" t="str">
        <f t="shared" si="113"/>
        <v>Consumer</v>
      </c>
      <c r="L758" s="8" t="s">
        <v>23</v>
      </c>
      <c r="M758" s="8" t="str">
        <f t="shared" si="114"/>
        <v>North</v>
      </c>
      <c r="N758" s="8" t="s">
        <v>24</v>
      </c>
      <c r="O758" s="8" t="str">
        <f t="shared" si="115"/>
        <v>Rajasthan</v>
      </c>
      <c r="P758" s="8" t="s">
        <v>25</v>
      </c>
      <c r="Q758" s="8" t="str">
        <f t="shared" si="116"/>
        <v>Jaipur</v>
      </c>
      <c r="R758" s="8" t="s">
        <v>72</v>
      </c>
      <c r="S758" s="8" t="str">
        <f t="shared" si="117"/>
        <v>Technology</v>
      </c>
      <c r="T758" s="8" t="s">
        <v>73</v>
      </c>
      <c r="U758" s="8" t="str">
        <f t="shared" si="118"/>
        <v>Accessories</v>
      </c>
      <c r="V758" s="8" t="s">
        <v>2378</v>
      </c>
    </row>
    <row r="759" spans="1:22">
      <c r="A759" s="8" t="s">
        <v>2379</v>
      </c>
      <c r="B759" s="8">
        <f t="shared" si="110"/>
        <v>1</v>
      </c>
      <c r="C759" s="8" t="str">
        <f t="shared" si="111"/>
        <v>Unique</v>
      </c>
      <c r="D759" s="9">
        <v>45665</v>
      </c>
      <c r="E759" s="8">
        <f t="shared" si="112"/>
        <v>59</v>
      </c>
      <c r="F759" s="10">
        <v>45724</v>
      </c>
      <c r="G759" s="8" t="s">
        <v>2380</v>
      </c>
      <c r="H759" s="8" t="s">
        <v>87</v>
      </c>
      <c r="I759" s="8" t="str">
        <f t="shared" si="119"/>
        <v>Aditi Sen</v>
      </c>
      <c r="J759" s="8" t="s">
        <v>35</v>
      </c>
      <c r="K759" s="8" t="str">
        <f t="shared" si="113"/>
        <v>Small Business</v>
      </c>
      <c r="L759" s="8" t="s">
        <v>52</v>
      </c>
      <c r="M759" s="8" t="str">
        <f t="shared" si="114"/>
        <v>South</v>
      </c>
      <c r="N759" s="8" t="s">
        <v>183</v>
      </c>
      <c r="O759" s="8" t="str">
        <f t="shared" si="115"/>
        <v>Kerala</v>
      </c>
      <c r="P759" s="8" t="s">
        <v>184</v>
      </c>
      <c r="Q759" s="8" t="str">
        <f t="shared" si="116"/>
        <v>Kochi</v>
      </c>
      <c r="R759" s="8" t="s">
        <v>39</v>
      </c>
      <c r="S759" s="8" t="str">
        <f t="shared" si="117"/>
        <v>Furniture</v>
      </c>
      <c r="T759" s="8" t="s">
        <v>156</v>
      </c>
      <c r="U759" s="8" t="str">
        <f t="shared" si="118"/>
        <v>Bookcases</v>
      </c>
      <c r="V759" s="8" t="s">
        <v>2381</v>
      </c>
    </row>
    <row r="760" spans="1:22">
      <c r="A760" s="8" t="s">
        <v>2382</v>
      </c>
      <c r="B760" s="8">
        <f t="shared" si="110"/>
        <v>1</v>
      </c>
      <c r="C760" s="8" t="str">
        <f t="shared" si="111"/>
        <v>Unique</v>
      </c>
      <c r="D760" s="9">
        <v>45327</v>
      </c>
      <c r="E760" s="8">
        <f t="shared" si="112"/>
        <v>243</v>
      </c>
      <c r="F760" s="10">
        <v>45570</v>
      </c>
      <c r="G760" s="8" t="s">
        <v>2383</v>
      </c>
      <c r="H760" s="8" t="s">
        <v>126</v>
      </c>
      <c r="I760" s="8" t="str">
        <f t="shared" si="119"/>
        <v>Aarav Sharma</v>
      </c>
      <c r="J760" s="8" t="s">
        <v>35</v>
      </c>
      <c r="K760" s="8" t="str">
        <f t="shared" si="113"/>
        <v>Small Business</v>
      </c>
      <c r="L760" s="8" t="s">
        <v>52</v>
      </c>
      <c r="M760" s="8" t="str">
        <f t="shared" si="114"/>
        <v>South</v>
      </c>
      <c r="N760" s="8" t="s">
        <v>173</v>
      </c>
      <c r="O760" s="8" t="str">
        <f t="shared" si="115"/>
        <v>Karnataka</v>
      </c>
      <c r="P760" s="8" t="s">
        <v>174</v>
      </c>
      <c r="Q760" s="8" t="str">
        <f t="shared" si="116"/>
        <v>Bengaluru</v>
      </c>
      <c r="R760" s="8" t="s">
        <v>39</v>
      </c>
      <c r="S760" s="8" t="str">
        <f t="shared" si="117"/>
        <v>Furniture</v>
      </c>
      <c r="T760" s="8" t="s">
        <v>64</v>
      </c>
      <c r="U760" s="8" t="str">
        <f t="shared" si="118"/>
        <v>Chairs</v>
      </c>
      <c r="V760" s="8" t="s">
        <v>2384</v>
      </c>
    </row>
    <row r="761" spans="1:22">
      <c r="A761" s="8" t="s">
        <v>2385</v>
      </c>
      <c r="B761" s="8">
        <f t="shared" si="110"/>
        <v>1</v>
      </c>
      <c r="C761" s="8" t="str">
        <f t="shared" si="111"/>
        <v>Unique</v>
      </c>
      <c r="D761" s="9">
        <v>45492</v>
      </c>
      <c r="E761" s="8">
        <f t="shared" si="112"/>
        <v>7</v>
      </c>
      <c r="F761" s="10">
        <v>45499</v>
      </c>
      <c r="G761" s="8" t="s">
        <v>2386</v>
      </c>
      <c r="H761" s="8" t="s">
        <v>51</v>
      </c>
      <c r="I761" s="8" t="str">
        <f t="shared" si="119"/>
        <v>Arjun Bose</v>
      </c>
      <c r="J761" s="8" t="s">
        <v>93</v>
      </c>
      <c r="K761" s="8" t="str">
        <f t="shared" si="113"/>
        <v>Home Office</v>
      </c>
      <c r="L761" s="8" t="s">
        <v>52</v>
      </c>
      <c r="M761" s="8" t="str">
        <f t="shared" si="114"/>
        <v>South</v>
      </c>
      <c r="N761" s="8" t="s">
        <v>173</v>
      </c>
      <c r="O761" s="8" t="str">
        <f t="shared" si="115"/>
        <v>Karnataka</v>
      </c>
      <c r="P761" s="8" t="s">
        <v>174</v>
      </c>
      <c r="Q761" s="8" t="str">
        <f t="shared" si="116"/>
        <v>Bengaluru</v>
      </c>
      <c r="R761" s="8" t="s">
        <v>39</v>
      </c>
      <c r="S761" s="8" t="str">
        <f t="shared" si="117"/>
        <v>Furniture</v>
      </c>
      <c r="T761" s="8" t="s">
        <v>40</v>
      </c>
      <c r="U761" s="8" t="str">
        <f t="shared" si="118"/>
        <v>Tables</v>
      </c>
      <c r="V761" s="8" t="s">
        <v>2387</v>
      </c>
    </row>
    <row r="762" spans="1:22">
      <c r="A762" s="8" t="s">
        <v>2388</v>
      </c>
      <c r="B762" s="8">
        <f t="shared" si="110"/>
        <v>1</v>
      </c>
      <c r="C762" s="8" t="str">
        <f t="shared" si="111"/>
        <v>Unique</v>
      </c>
      <c r="D762" s="9">
        <v>45532</v>
      </c>
      <c r="E762" s="8">
        <f t="shared" si="112"/>
        <v>-201</v>
      </c>
      <c r="F762" s="10">
        <v>45331</v>
      </c>
      <c r="G762" s="8" t="s">
        <v>2389</v>
      </c>
      <c r="H762" s="8" t="s">
        <v>87</v>
      </c>
      <c r="I762" s="8" t="str">
        <f t="shared" si="119"/>
        <v>Aditi Sen</v>
      </c>
      <c r="J762" s="8" t="s">
        <v>93</v>
      </c>
      <c r="K762" s="8" t="str">
        <f t="shared" si="113"/>
        <v>Home Office</v>
      </c>
      <c r="L762" s="8" t="s">
        <v>36</v>
      </c>
      <c r="M762" s="8" t="str">
        <f t="shared" si="114"/>
        <v>East</v>
      </c>
      <c r="N762" s="8" t="s">
        <v>164</v>
      </c>
      <c r="O762" s="8" t="str">
        <f t="shared" si="115"/>
        <v>Assam</v>
      </c>
      <c r="P762" s="8" t="s">
        <v>165</v>
      </c>
      <c r="Q762" s="8" t="str">
        <f t="shared" si="116"/>
        <v>Guwahati</v>
      </c>
      <c r="R762" s="8" t="s">
        <v>26</v>
      </c>
      <c r="S762" s="8" t="str">
        <f t="shared" si="117"/>
        <v>Office Supplies</v>
      </c>
      <c r="T762" s="8" t="s">
        <v>46</v>
      </c>
      <c r="U762" s="8" t="str">
        <f t="shared" si="118"/>
        <v>Art</v>
      </c>
      <c r="V762" s="8" t="s">
        <v>2390</v>
      </c>
    </row>
    <row r="763" spans="1:22">
      <c r="A763" s="8" t="s">
        <v>2391</v>
      </c>
      <c r="B763" s="8">
        <f t="shared" si="110"/>
        <v>1</v>
      </c>
      <c r="C763" s="8" t="str">
        <f t="shared" si="111"/>
        <v>Unique</v>
      </c>
      <c r="D763" s="9">
        <v>45896</v>
      </c>
      <c r="E763" s="8">
        <f t="shared" si="112"/>
        <v>4</v>
      </c>
      <c r="F763" s="10">
        <v>45900</v>
      </c>
      <c r="G763" s="8" t="s">
        <v>2392</v>
      </c>
      <c r="H763" s="8" t="s">
        <v>45</v>
      </c>
      <c r="I763" s="8" t="str">
        <f t="shared" si="119"/>
        <v>Isha Nair</v>
      </c>
      <c r="J763" s="8" t="s">
        <v>22</v>
      </c>
      <c r="K763" s="8" t="str">
        <f t="shared" si="113"/>
        <v>Consumer</v>
      </c>
      <c r="L763" s="8" t="s">
        <v>52</v>
      </c>
      <c r="M763" s="8" t="str">
        <f t="shared" si="114"/>
        <v>South</v>
      </c>
      <c r="N763" s="8" t="s">
        <v>173</v>
      </c>
      <c r="O763" s="8" t="str">
        <f t="shared" si="115"/>
        <v>Karnataka</v>
      </c>
      <c r="P763" s="8" t="s">
        <v>174</v>
      </c>
      <c r="Q763" s="8" t="str">
        <f t="shared" si="116"/>
        <v>Bengaluru</v>
      </c>
      <c r="R763" s="8" t="s">
        <v>72</v>
      </c>
      <c r="S763" s="8" t="str">
        <f t="shared" si="117"/>
        <v>Technology</v>
      </c>
      <c r="T763" s="8" t="s">
        <v>273</v>
      </c>
      <c r="U763" s="8" t="str">
        <f t="shared" si="118"/>
        <v>Machines</v>
      </c>
      <c r="V763" s="8" t="s">
        <v>2393</v>
      </c>
    </row>
    <row r="764" spans="1:22">
      <c r="A764" s="8" t="s">
        <v>2394</v>
      </c>
      <c r="B764" s="8">
        <f t="shared" si="110"/>
        <v>1</v>
      </c>
      <c r="C764" s="8" t="str">
        <f t="shared" si="111"/>
        <v>Unique</v>
      </c>
      <c r="D764" s="9">
        <v>45292</v>
      </c>
      <c r="E764" s="8">
        <f t="shared" si="112"/>
        <v>121</v>
      </c>
      <c r="F764" s="10">
        <v>45413</v>
      </c>
      <c r="G764" s="8" t="s">
        <v>2395</v>
      </c>
      <c r="H764" s="8" t="s">
        <v>160</v>
      </c>
      <c r="I764" s="8" t="str">
        <f t="shared" si="119"/>
        <v>Diya Patel</v>
      </c>
      <c r="J764" s="8" t="s">
        <v>88</v>
      </c>
      <c r="K764" s="8" t="str">
        <f t="shared" si="113"/>
        <v>Corporate</v>
      </c>
      <c r="L764" s="8" t="s">
        <v>61</v>
      </c>
      <c r="M764" s="8" t="str">
        <f t="shared" si="114"/>
        <v>West</v>
      </c>
      <c r="N764" s="8" t="s">
        <v>70</v>
      </c>
      <c r="O764" s="8" t="str">
        <f t="shared" si="115"/>
        <v>Madhya Pradesh</v>
      </c>
      <c r="P764" s="8" t="s">
        <v>71</v>
      </c>
      <c r="Q764" s="8" t="str">
        <f t="shared" si="116"/>
        <v>Indore</v>
      </c>
      <c r="R764" s="8" t="s">
        <v>72</v>
      </c>
      <c r="S764" s="8" t="str">
        <f t="shared" si="117"/>
        <v>Technology</v>
      </c>
      <c r="T764" s="8" t="s">
        <v>273</v>
      </c>
      <c r="U764" s="8" t="str">
        <f t="shared" si="118"/>
        <v>Machines</v>
      </c>
      <c r="V764" s="8" t="s">
        <v>2396</v>
      </c>
    </row>
    <row r="765" spans="1:22">
      <c r="A765" s="8" t="s">
        <v>2397</v>
      </c>
      <c r="B765" s="8">
        <f t="shared" si="110"/>
        <v>1</v>
      </c>
      <c r="C765" s="8" t="str">
        <f t="shared" si="111"/>
        <v>Unique</v>
      </c>
      <c r="D765" s="9">
        <v>45892</v>
      </c>
      <c r="E765" s="8">
        <f t="shared" si="112"/>
        <v>2</v>
      </c>
      <c r="F765" s="10">
        <v>45894</v>
      </c>
      <c r="G765" s="8" t="s">
        <v>2398</v>
      </c>
      <c r="H765" s="8" t="s">
        <v>160</v>
      </c>
      <c r="I765" s="8" t="str">
        <f t="shared" si="119"/>
        <v>Diya Patel</v>
      </c>
      <c r="J765" s="8" t="s">
        <v>22</v>
      </c>
      <c r="K765" s="8" t="str">
        <f t="shared" si="113"/>
        <v>Consumer</v>
      </c>
      <c r="L765" s="8" t="s">
        <v>23</v>
      </c>
      <c r="M765" s="8" t="str">
        <f t="shared" si="114"/>
        <v>North</v>
      </c>
      <c r="N765" s="8" t="s">
        <v>24</v>
      </c>
      <c r="O765" s="8" t="str">
        <f t="shared" si="115"/>
        <v>Rajasthan</v>
      </c>
      <c r="P765" s="8" t="s">
        <v>25</v>
      </c>
      <c r="Q765" s="8" t="str">
        <f t="shared" si="116"/>
        <v>Jaipur</v>
      </c>
      <c r="R765" s="8" t="s">
        <v>39</v>
      </c>
      <c r="S765" s="8" t="str">
        <f t="shared" si="117"/>
        <v>Furniture</v>
      </c>
      <c r="T765" s="8" t="s">
        <v>55</v>
      </c>
      <c r="U765" s="8" t="str">
        <f t="shared" si="118"/>
        <v>Furnishings</v>
      </c>
      <c r="V765" s="8" t="s">
        <v>2399</v>
      </c>
    </row>
    <row r="766" spans="1:22">
      <c r="A766" s="8" t="s">
        <v>2400</v>
      </c>
      <c r="B766" s="8">
        <f t="shared" si="110"/>
        <v>1</v>
      </c>
      <c r="C766" s="8" t="str">
        <f t="shared" si="111"/>
        <v>Unique</v>
      </c>
      <c r="D766" s="9">
        <v>45760</v>
      </c>
      <c r="E766" s="8">
        <f t="shared" si="112"/>
        <v>0</v>
      </c>
      <c r="F766" s="10">
        <v>45760</v>
      </c>
      <c r="G766" s="8" t="s">
        <v>899</v>
      </c>
      <c r="H766" s="8" t="s">
        <v>112</v>
      </c>
      <c r="I766" s="8" t="str">
        <f t="shared" si="119"/>
        <v>Priya Menon</v>
      </c>
      <c r="J766" s="8" t="s">
        <v>88</v>
      </c>
      <c r="K766" s="8" t="str">
        <f t="shared" si="113"/>
        <v>Corporate</v>
      </c>
      <c r="L766" s="8" t="s">
        <v>52</v>
      </c>
      <c r="M766" s="8" t="str">
        <f t="shared" si="114"/>
        <v>South</v>
      </c>
      <c r="N766" s="8" t="s">
        <v>183</v>
      </c>
      <c r="O766" s="8" t="str">
        <f t="shared" si="115"/>
        <v>Kerala</v>
      </c>
      <c r="P766" s="8" t="s">
        <v>184</v>
      </c>
      <c r="Q766" s="8" t="str">
        <f t="shared" si="116"/>
        <v>Kochi</v>
      </c>
      <c r="R766" s="8" t="s">
        <v>39</v>
      </c>
      <c r="S766" s="8" t="str">
        <f t="shared" si="117"/>
        <v>Furniture</v>
      </c>
      <c r="T766" s="8" t="s">
        <v>156</v>
      </c>
      <c r="U766" s="8" t="str">
        <f t="shared" si="118"/>
        <v>Bookcases</v>
      </c>
      <c r="V766" s="8" t="s">
        <v>2401</v>
      </c>
    </row>
    <row r="767" spans="1:22">
      <c r="A767" s="8" t="s">
        <v>2402</v>
      </c>
      <c r="B767" s="8">
        <f t="shared" si="110"/>
        <v>1</v>
      </c>
      <c r="C767" s="8" t="str">
        <f t="shared" si="111"/>
        <v>Unique</v>
      </c>
      <c r="D767" s="9">
        <v>45837</v>
      </c>
      <c r="E767" s="8">
        <f t="shared" si="112"/>
        <v>-114</v>
      </c>
      <c r="F767" s="10">
        <v>45723</v>
      </c>
      <c r="G767" s="8" t="s">
        <v>2403</v>
      </c>
      <c r="H767" s="8" t="s">
        <v>69</v>
      </c>
      <c r="I767" s="8" t="str">
        <f t="shared" si="119"/>
        <v>Vikram Iyer</v>
      </c>
      <c r="J767" s="8" t="s">
        <v>88</v>
      </c>
      <c r="K767" s="8" t="str">
        <f t="shared" si="113"/>
        <v>Corporate</v>
      </c>
      <c r="L767" s="8" t="s">
        <v>36</v>
      </c>
      <c r="M767" s="8" t="str">
        <f t="shared" si="114"/>
        <v>East</v>
      </c>
      <c r="N767" s="8" t="s">
        <v>227</v>
      </c>
      <c r="O767" s="8" t="str">
        <f t="shared" si="115"/>
        <v>Jharkhand</v>
      </c>
      <c r="P767" s="8" t="s">
        <v>228</v>
      </c>
      <c r="Q767" s="8" t="str">
        <f t="shared" si="116"/>
        <v>Ranchi</v>
      </c>
      <c r="R767" s="8" t="s">
        <v>26</v>
      </c>
      <c r="S767" s="8" t="str">
        <f t="shared" si="117"/>
        <v>Office Supplies</v>
      </c>
      <c r="T767" s="8" t="s">
        <v>89</v>
      </c>
      <c r="U767" s="8" t="str">
        <f t="shared" si="118"/>
        <v>Labels</v>
      </c>
      <c r="V767" s="8" t="s">
        <v>2404</v>
      </c>
    </row>
    <row r="768" spans="1:22">
      <c r="A768" s="8" t="s">
        <v>2405</v>
      </c>
      <c r="B768" s="8">
        <f t="shared" si="110"/>
        <v>1</v>
      </c>
      <c r="C768" s="8" t="str">
        <f t="shared" si="111"/>
        <v>Unique</v>
      </c>
      <c r="D768" s="9">
        <v>45552</v>
      </c>
      <c r="E768" s="8">
        <f t="shared" si="112"/>
        <v>7</v>
      </c>
      <c r="F768" s="10">
        <v>45559</v>
      </c>
      <c r="G768" s="8" t="s">
        <v>2406</v>
      </c>
      <c r="H768" s="8" t="s">
        <v>34</v>
      </c>
      <c r="I768" s="8" t="str">
        <f t="shared" si="119"/>
        <v>Mira Das</v>
      </c>
      <c r="J768" s="8" t="s">
        <v>88</v>
      </c>
      <c r="K768" s="8" t="str">
        <f t="shared" si="113"/>
        <v>Corporate</v>
      </c>
      <c r="L768" s="8" t="s">
        <v>61</v>
      </c>
      <c r="M768" s="8" t="str">
        <f t="shared" si="114"/>
        <v>West</v>
      </c>
      <c r="N768" s="8" t="s">
        <v>178</v>
      </c>
      <c r="O768" s="8" t="str">
        <f t="shared" si="115"/>
        <v>Gujarat</v>
      </c>
      <c r="P768" s="8" t="s">
        <v>179</v>
      </c>
      <c r="Q768" s="8" t="str">
        <f t="shared" si="116"/>
        <v>Ahmedabad</v>
      </c>
      <c r="R768" s="8" t="s">
        <v>26</v>
      </c>
      <c r="S768" s="8" t="str">
        <f t="shared" si="117"/>
        <v>Office Supplies</v>
      </c>
      <c r="T768" s="8" t="s">
        <v>46</v>
      </c>
      <c r="U768" s="8" t="str">
        <f t="shared" si="118"/>
        <v>Art</v>
      </c>
      <c r="V768" s="8" t="s">
        <v>2407</v>
      </c>
    </row>
    <row r="769" spans="1:22">
      <c r="A769" s="8" t="s">
        <v>2408</v>
      </c>
      <c r="B769" s="8">
        <f t="shared" si="110"/>
        <v>1</v>
      </c>
      <c r="C769" s="8" t="str">
        <f t="shared" si="111"/>
        <v>Unique</v>
      </c>
      <c r="D769" s="9">
        <v>45356</v>
      </c>
      <c r="E769" s="8">
        <f t="shared" si="112"/>
        <v>62</v>
      </c>
      <c r="F769" s="10">
        <v>45418</v>
      </c>
      <c r="G769" s="8" t="s">
        <v>2409</v>
      </c>
      <c r="H769" s="8" t="s">
        <v>60</v>
      </c>
      <c r="I769" s="8" t="str">
        <f t="shared" si="119"/>
        <v>Ananya Rao</v>
      </c>
      <c r="J769" s="8" t="s">
        <v>93</v>
      </c>
      <c r="K769" s="8" t="str">
        <f t="shared" si="113"/>
        <v>Home Office</v>
      </c>
      <c r="L769" s="8" t="s">
        <v>23</v>
      </c>
      <c r="M769" s="8" t="str">
        <f t="shared" si="114"/>
        <v>North</v>
      </c>
      <c r="N769" s="8" t="s">
        <v>134</v>
      </c>
      <c r="O769" s="8" t="str">
        <f t="shared" si="115"/>
        <v>Uttar Pradesh</v>
      </c>
      <c r="P769" s="8" t="s">
        <v>135</v>
      </c>
      <c r="Q769" s="8" t="str">
        <f t="shared" si="116"/>
        <v>Noida</v>
      </c>
      <c r="R769" s="8" t="s">
        <v>614</v>
      </c>
      <c r="S769" s="8" t="str">
        <f t="shared" si="117"/>
        <v>Office Supplies</v>
      </c>
      <c r="T769" s="8" t="s">
        <v>151</v>
      </c>
      <c r="U769" s="8" t="str">
        <f t="shared" si="118"/>
        <v>Binders</v>
      </c>
      <c r="V769" s="8" t="s">
        <v>2410</v>
      </c>
    </row>
    <row r="770" spans="1:22">
      <c r="A770" s="8" t="s">
        <v>2411</v>
      </c>
      <c r="B770" s="8">
        <f t="shared" si="110"/>
        <v>1</v>
      </c>
      <c r="C770" s="8" t="str">
        <f t="shared" si="111"/>
        <v>Unique</v>
      </c>
      <c r="D770" s="9">
        <v>45692</v>
      </c>
      <c r="E770" s="8">
        <f t="shared" si="112"/>
        <v>59</v>
      </c>
      <c r="F770" s="10">
        <v>45751</v>
      </c>
      <c r="G770" s="8" t="s">
        <v>2412</v>
      </c>
      <c r="H770" s="8" t="s">
        <v>130</v>
      </c>
      <c r="I770" s="8" t="str">
        <f t="shared" si="119"/>
        <v>Sneha Kapoor</v>
      </c>
      <c r="J770" s="8" t="s">
        <v>93</v>
      </c>
      <c r="K770" s="8" t="str">
        <f t="shared" si="113"/>
        <v>Home Office</v>
      </c>
      <c r="L770" s="8" t="s">
        <v>36</v>
      </c>
      <c r="M770" s="8" t="str">
        <f t="shared" si="114"/>
        <v>East</v>
      </c>
      <c r="N770" s="8" t="s">
        <v>227</v>
      </c>
      <c r="O770" s="8" t="str">
        <f t="shared" si="115"/>
        <v>Jharkhand</v>
      </c>
      <c r="P770" s="8" t="s">
        <v>228</v>
      </c>
      <c r="Q770" s="8" t="str">
        <f t="shared" si="116"/>
        <v>Ranchi</v>
      </c>
      <c r="R770" s="8" t="s">
        <v>26</v>
      </c>
      <c r="S770" s="8" t="str">
        <f t="shared" si="117"/>
        <v>Office Supplies</v>
      </c>
      <c r="T770" s="8" t="s">
        <v>27</v>
      </c>
      <c r="U770" s="8" t="str">
        <f t="shared" si="118"/>
        <v>Paper</v>
      </c>
      <c r="V770" s="8" t="s">
        <v>2413</v>
      </c>
    </row>
    <row r="771" spans="1:22">
      <c r="A771" s="8" t="s">
        <v>2414</v>
      </c>
      <c r="B771" s="8">
        <f t="shared" ref="B771:B834" si="120">COUNTIF($A:$A,A771)</f>
        <v>1</v>
      </c>
      <c r="C771" s="8" t="str">
        <f t="shared" ref="C771:C834" si="121">IF(B771&gt;1,"Review Duplicate ID","Unique")</f>
        <v>Unique</v>
      </c>
      <c r="D771" s="9">
        <v>45423</v>
      </c>
      <c r="E771" s="8">
        <f t="shared" ref="E771:E834" si="122">F771-D771</f>
        <v>2</v>
      </c>
      <c r="F771" s="10">
        <v>45425</v>
      </c>
      <c r="G771" s="8" t="s">
        <v>2415</v>
      </c>
      <c r="H771" s="8" t="s">
        <v>112</v>
      </c>
      <c r="I771" s="8" t="str">
        <f t="shared" si="119"/>
        <v>Priya Menon</v>
      </c>
      <c r="J771" s="8" t="s">
        <v>93</v>
      </c>
      <c r="K771" s="8" t="str">
        <f t="shared" ref="K771:K834" si="123">PROPER(TRIM(J771))</f>
        <v>Home Office</v>
      </c>
      <c r="L771" s="8" t="s">
        <v>61</v>
      </c>
      <c r="M771" s="8" t="str">
        <f t="shared" ref="M771:M834" si="124">PROPER(TRIM(L771))</f>
        <v>West</v>
      </c>
      <c r="N771" s="8" t="s">
        <v>188</v>
      </c>
      <c r="O771" s="8" t="str">
        <f t="shared" ref="O771:O834" si="125">PROPER(TRIM(N771))</f>
        <v>Goa</v>
      </c>
      <c r="P771" s="8" t="s">
        <v>189</v>
      </c>
      <c r="Q771" s="8" t="str">
        <f t="shared" ref="Q771:Q834" si="126">PROPER(TRIM(P771))</f>
        <v>Panaji</v>
      </c>
      <c r="R771" s="8" t="s">
        <v>39</v>
      </c>
      <c r="S771" s="8" t="str">
        <f t="shared" ref="S771:S834" si="127">PROPER(TRIM(R771))</f>
        <v>Furniture</v>
      </c>
      <c r="T771" s="8" t="s">
        <v>156</v>
      </c>
      <c r="U771" s="8" t="str">
        <f t="shared" ref="U771:U834" si="128">PROPER(TRIM(T771))</f>
        <v>Bookcases</v>
      </c>
      <c r="V771" s="8" t="s">
        <v>2416</v>
      </c>
    </row>
    <row r="772" spans="1:22">
      <c r="A772" s="8" t="s">
        <v>2417</v>
      </c>
      <c r="B772" s="8">
        <f t="shared" si="120"/>
        <v>1</v>
      </c>
      <c r="C772" s="8" t="str">
        <f t="shared" si="121"/>
        <v>Unique</v>
      </c>
      <c r="D772" s="9">
        <v>45337</v>
      </c>
      <c r="E772" s="8">
        <f t="shared" si="122"/>
        <v>2</v>
      </c>
      <c r="F772" s="10">
        <v>45339</v>
      </c>
      <c r="G772" s="8" t="s">
        <v>2418</v>
      </c>
      <c r="H772" s="8" t="s">
        <v>77</v>
      </c>
      <c r="I772" s="8" t="str">
        <f t="shared" ref="I772:I835" si="129">PROPER(TRIM(H772))</f>
        <v>Neha Gupta</v>
      </c>
      <c r="J772" s="8" t="s">
        <v>22</v>
      </c>
      <c r="K772" s="8" t="str">
        <f t="shared" si="123"/>
        <v>Consumer</v>
      </c>
      <c r="L772" s="8" t="s">
        <v>23</v>
      </c>
      <c r="M772" s="8" t="str">
        <f t="shared" si="124"/>
        <v>North</v>
      </c>
      <c r="N772" s="8" t="s">
        <v>134</v>
      </c>
      <c r="O772" s="8" t="str">
        <f t="shared" si="125"/>
        <v>Uttar Pradesh</v>
      </c>
      <c r="P772" s="8" t="s">
        <v>135</v>
      </c>
      <c r="Q772" s="8" t="str">
        <f t="shared" si="126"/>
        <v>Noida</v>
      </c>
      <c r="R772" s="8" t="s">
        <v>72</v>
      </c>
      <c r="S772" s="8" t="str">
        <f t="shared" si="127"/>
        <v>Technology</v>
      </c>
      <c r="T772" s="8" t="s">
        <v>78</v>
      </c>
      <c r="U772" s="8" t="str">
        <f t="shared" si="128"/>
        <v>Copiers</v>
      </c>
      <c r="V772" s="8" t="s">
        <v>2419</v>
      </c>
    </row>
    <row r="773" spans="1:22">
      <c r="A773" s="8" t="s">
        <v>2420</v>
      </c>
      <c r="B773" s="8">
        <f t="shared" si="120"/>
        <v>1</v>
      </c>
      <c r="C773" s="8" t="str">
        <f t="shared" si="121"/>
        <v>Unique</v>
      </c>
      <c r="D773" s="9">
        <v>45633</v>
      </c>
      <c r="E773" s="8">
        <f t="shared" si="122"/>
        <v>-146</v>
      </c>
      <c r="F773" s="10">
        <v>45487</v>
      </c>
      <c r="G773" s="8" t="s">
        <v>468</v>
      </c>
      <c r="H773" s="8" t="s">
        <v>60</v>
      </c>
      <c r="I773" s="8" t="str">
        <f t="shared" si="129"/>
        <v>Ananya Rao</v>
      </c>
      <c r="J773" s="8" t="s">
        <v>22</v>
      </c>
      <c r="K773" s="8" t="str">
        <f t="shared" si="123"/>
        <v>Consumer</v>
      </c>
      <c r="L773" s="8" t="s">
        <v>23</v>
      </c>
      <c r="M773" s="8" t="str">
        <f t="shared" si="124"/>
        <v>North</v>
      </c>
      <c r="N773" s="8" t="s">
        <v>235</v>
      </c>
      <c r="O773" s="8" t="str">
        <f t="shared" si="125"/>
        <v>Haryana</v>
      </c>
      <c r="P773" s="8" t="s">
        <v>236</v>
      </c>
      <c r="Q773" s="8" t="str">
        <f t="shared" si="126"/>
        <v>Gurugram</v>
      </c>
      <c r="R773" s="8" t="s">
        <v>72</v>
      </c>
      <c r="S773" s="8" t="str">
        <f t="shared" si="127"/>
        <v>Technology</v>
      </c>
      <c r="T773" s="8" t="s">
        <v>273</v>
      </c>
      <c r="U773" s="8" t="str">
        <f t="shared" si="128"/>
        <v>Machines</v>
      </c>
      <c r="V773" s="8" t="s">
        <v>2421</v>
      </c>
    </row>
    <row r="774" spans="1:22">
      <c r="A774" s="8" t="s">
        <v>2422</v>
      </c>
      <c r="B774" s="8">
        <f t="shared" si="120"/>
        <v>1</v>
      </c>
      <c r="C774" s="8" t="str">
        <f t="shared" si="121"/>
        <v>Unique</v>
      </c>
      <c r="D774" s="9">
        <v>45853</v>
      </c>
      <c r="E774" s="8">
        <f t="shared" si="122"/>
        <v>4</v>
      </c>
      <c r="F774" s="10">
        <v>45857</v>
      </c>
      <c r="G774" s="8" t="s">
        <v>2423</v>
      </c>
      <c r="H774" s="8" t="s">
        <v>160</v>
      </c>
      <c r="I774" s="8" t="str">
        <f t="shared" si="129"/>
        <v>Diya Patel</v>
      </c>
      <c r="J774" s="8" t="s">
        <v>22</v>
      </c>
      <c r="K774" s="8" t="str">
        <f t="shared" si="123"/>
        <v>Consumer</v>
      </c>
      <c r="L774" s="8" t="s">
        <v>52</v>
      </c>
      <c r="M774" s="8" t="str">
        <f t="shared" si="124"/>
        <v>South</v>
      </c>
      <c r="N774" s="8" t="s">
        <v>246</v>
      </c>
      <c r="O774" s="8" t="str">
        <f t="shared" si="125"/>
        <v>Tamil Nadu</v>
      </c>
      <c r="P774" s="8" t="s">
        <v>247</v>
      </c>
      <c r="Q774" s="8" t="str">
        <f t="shared" si="126"/>
        <v>Chennai</v>
      </c>
      <c r="R774" s="8" t="s">
        <v>39</v>
      </c>
      <c r="S774" s="8" t="str">
        <f t="shared" si="127"/>
        <v>Furniture</v>
      </c>
      <c r="T774" s="8" t="s">
        <v>64</v>
      </c>
      <c r="U774" s="8" t="str">
        <f t="shared" si="128"/>
        <v>Chairs</v>
      </c>
      <c r="V774" s="8" t="s">
        <v>2424</v>
      </c>
    </row>
    <row r="775" spans="1:22">
      <c r="A775" s="8" t="s">
        <v>2425</v>
      </c>
      <c r="B775" s="8">
        <f t="shared" si="120"/>
        <v>1</v>
      </c>
      <c r="C775" s="8" t="str">
        <f t="shared" si="121"/>
        <v>Unique</v>
      </c>
      <c r="D775" s="9">
        <v>45709</v>
      </c>
      <c r="E775" s="8">
        <f t="shared" si="122"/>
        <v>0</v>
      </c>
      <c r="F775" s="10">
        <v>45709</v>
      </c>
      <c r="G775" s="8" t="s">
        <v>2426</v>
      </c>
      <c r="H775" s="8" t="s">
        <v>21</v>
      </c>
      <c r="I775" s="8" t="str">
        <f t="shared" si="129"/>
        <v>Karan Malhotra</v>
      </c>
      <c r="J775" s="8" t="s">
        <v>93</v>
      </c>
      <c r="K775" s="8" t="str">
        <f t="shared" si="123"/>
        <v>Home Office</v>
      </c>
      <c r="L775" s="8" t="s">
        <v>61</v>
      </c>
      <c r="M775" s="8" t="str">
        <f t="shared" si="124"/>
        <v>West</v>
      </c>
      <c r="N775" s="8" t="s">
        <v>178</v>
      </c>
      <c r="O775" s="8" t="str">
        <f t="shared" si="125"/>
        <v>Gujarat</v>
      </c>
      <c r="P775" s="8" t="s">
        <v>179</v>
      </c>
      <c r="Q775" s="8" t="str">
        <f t="shared" si="126"/>
        <v>Ahmedabad</v>
      </c>
      <c r="R775" s="8" t="s">
        <v>72</v>
      </c>
      <c r="S775" s="8" t="str">
        <f t="shared" si="127"/>
        <v>Technology</v>
      </c>
      <c r="T775" s="8" t="s">
        <v>169</v>
      </c>
      <c r="U775" s="8" t="str">
        <f t="shared" si="128"/>
        <v>Phones</v>
      </c>
      <c r="V775" s="8" t="s">
        <v>2427</v>
      </c>
    </row>
    <row r="776" spans="1:22">
      <c r="A776" s="8" t="s">
        <v>2428</v>
      </c>
      <c r="B776" s="8">
        <f t="shared" si="120"/>
        <v>1</v>
      </c>
      <c r="C776" s="8" t="str">
        <f t="shared" si="121"/>
        <v>Unique</v>
      </c>
      <c r="D776" s="9">
        <v>45846</v>
      </c>
      <c r="E776" s="8">
        <f t="shared" si="122"/>
        <v>0</v>
      </c>
      <c r="F776" s="10">
        <v>45846</v>
      </c>
      <c r="G776" s="8" t="s">
        <v>2429</v>
      </c>
      <c r="H776" s="8" t="s">
        <v>263</v>
      </c>
      <c r="I776" s="8" t="str">
        <f t="shared" si="129"/>
        <v>Kabir Singh</v>
      </c>
      <c r="J776" s="8" t="s">
        <v>22</v>
      </c>
      <c r="K776" s="8" t="str">
        <f t="shared" si="123"/>
        <v>Consumer</v>
      </c>
      <c r="L776" s="8" t="s">
        <v>61</v>
      </c>
      <c r="M776" s="8" t="str">
        <f t="shared" si="124"/>
        <v>West</v>
      </c>
      <c r="N776" s="8" t="s">
        <v>24</v>
      </c>
      <c r="O776" s="8" t="str">
        <f t="shared" si="125"/>
        <v>Rajasthan</v>
      </c>
      <c r="P776" s="8" t="s">
        <v>107</v>
      </c>
      <c r="Q776" s="8" t="str">
        <f t="shared" si="126"/>
        <v>Udaipur</v>
      </c>
      <c r="R776" s="8" t="s">
        <v>72</v>
      </c>
      <c r="S776" s="8" t="str">
        <f t="shared" si="127"/>
        <v>Technology</v>
      </c>
      <c r="T776" s="8" t="s">
        <v>273</v>
      </c>
      <c r="U776" s="8" t="str">
        <f t="shared" si="128"/>
        <v>Machines</v>
      </c>
      <c r="V776" s="8" t="s">
        <v>2430</v>
      </c>
    </row>
    <row r="777" spans="1:22">
      <c r="A777" s="8" t="s">
        <v>2431</v>
      </c>
      <c r="B777" s="8">
        <f t="shared" si="120"/>
        <v>1</v>
      </c>
      <c r="C777" s="8" t="str">
        <f t="shared" si="121"/>
        <v>Unique</v>
      </c>
      <c r="D777" s="9">
        <v>45396</v>
      </c>
      <c r="E777" s="8">
        <f t="shared" si="122"/>
        <v>8</v>
      </c>
      <c r="F777" s="10">
        <v>45404</v>
      </c>
      <c r="G777" s="8" t="s">
        <v>2432</v>
      </c>
      <c r="H777" s="8" t="s">
        <v>51</v>
      </c>
      <c r="I777" s="8" t="str">
        <f t="shared" si="129"/>
        <v>Arjun Bose</v>
      </c>
      <c r="J777" s="8" t="s">
        <v>22</v>
      </c>
      <c r="K777" s="8" t="str">
        <f t="shared" si="123"/>
        <v>Consumer</v>
      </c>
      <c r="L777" s="8" t="s">
        <v>23</v>
      </c>
      <c r="M777" s="8" t="str">
        <f t="shared" si="124"/>
        <v>North</v>
      </c>
      <c r="N777" s="8" t="s">
        <v>235</v>
      </c>
      <c r="O777" s="8" t="str">
        <f t="shared" si="125"/>
        <v>Haryana</v>
      </c>
      <c r="P777" s="8" t="s">
        <v>236</v>
      </c>
      <c r="Q777" s="8" t="str">
        <f t="shared" si="126"/>
        <v>Gurugram</v>
      </c>
      <c r="R777" s="8" t="s">
        <v>72</v>
      </c>
      <c r="S777" s="8" t="str">
        <f t="shared" si="127"/>
        <v>Technology</v>
      </c>
      <c r="T777" s="8" t="s">
        <v>73</v>
      </c>
      <c r="U777" s="8" t="str">
        <f t="shared" si="128"/>
        <v>Accessories</v>
      </c>
      <c r="V777" s="8" t="s">
        <v>2433</v>
      </c>
    </row>
    <row r="778" spans="1:22">
      <c r="A778" s="8" t="s">
        <v>2434</v>
      </c>
      <c r="B778" s="8">
        <f t="shared" si="120"/>
        <v>1</v>
      </c>
      <c r="C778" s="8" t="str">
        <f t="shared" si="121"/>
        <v>Unique</v>
      </c>
      <c r="D778" s="9">
        <v>45875</v>
      </c>
      <c r="E778" s="8">
        <f t="shared" si="122"/>
        <v>-54</v>
      </c>
      <c r="F778" s="10">
        <v>45821</v>
      </c>
      <c r="G778" s="8" t="s">
        <v>2435</v>
      </c>
      <c r="H778" s="8" t="s">
        <v>87</v>
      </c>
      <c r="I778" s="8" t="str">
        <f t="shared" si="129"/>
        <v>Aditi Sen</v>
      </c>
      <c r="J778" s="8" t="s">
        <v>35</v>
      </c>
      <c r="K778" s="8" t="str">
        <f t="shared" si="123"/>
        <v>Small Business</v>
      </c>
      <c r="L778" s="8" t="s">
        <v>23</v>
      </c>
      <c r="M778" s="8" t="str">
        <f t="shared" si="124"/>
        <v>North</v>
      </c>
      <c r="N778" s="8" t="s">
        <v>24</v>
      </c>
      <c r="O778" s="8" t="str">
        <f t="shared" si="125"/>
        <v>Rajasthan</v>
      </c>
      <c r="P778" s="8" t="s">
        <v>25</v>
      </c>
      <c r="Q778" s="8" t="str">
        <f t="shared" si="126"/>
        <v>Jaipur</v>
      </c>
      <c r="R778" s="8" t="s">
        <v>72</v>
      </c>
      <c r="S778" s="8" t="str">
        <f t="shared" si="127"/>
        <v>Technology</v>
      </c>
      <c r="T778" s="8" t="s">
        <v>78</v>
      </c>
      <c r="U778" s="8" t="str">
        <f t="shared" si="128"/>
        <v>Copiers</v>
      </c>
      <c r="V778" s="8" t="s">
        <v>2436</v>
      </c>
    </row>
    <row r="779" spans="1:22">
      <c r="A779" s="8" t="s">
        <v>2437</v>
      </c>
      <c r="B779" s="8">
        <f t="shared" si="120"/>
        <v>1</v>
      </c>
      <c r="C779" s="8" t="str">
        <f t="shared" si="121"/>
        <v>Unique</v>
      </c>
      <c r="D779" s="9">
        <v>45384</v>
      </c>
      <c r="E779" s="8">
        <f t="shared" si="122"/>
        <v>61</v>
      </c>
      <c r="F779" s="10">
        <v>45445</v>
      </c>
      <c r="G779" s="8" t="s">
        <v>2438</v>
      </c>
      <c r="H779" s="8" t="s">
        <v>263</v>
      </c>
      <c r="I779" s="8" t="str">
        <f t="shared" si="129"/>
        <v>Kabir Singh</v>
      </c>
      <c r="J779" s="8" t="s">
        <v>35</v>
      </c>
      <c r="K779" s="8" t="str">
        <f t="shared" si="123"/>
        <v>Small Business</v>
      </c>
      <c r="L779" s="8" t="s">
        <v>61</v>
      </c>
      <c r="M779" s="8" t="str">
        <f t="shared" si="124"/>
        <v>West</v>
      </c>
      <c r="N779" s="8" t="s">
        <v>70</v>
      </c>
      <c r="O779" s="8" t="str">
        <f t="shared" si="125"/>
        <v>Madhya Pradesh</v>
      </c>
      <c r="P779" s="8" t="s">
        <v>71</v>
      </c>
      <c r="Q779" s="8" t="str">
        <f t="shared" si="126"/>
        <v>Indore</v>
      </c>
      <c r="R779" s="8" t="s">
        <v>72</v>
      </c>
      <c r="S779" s="8" t="str">
        <f t="shared" si="127"/>
        <v>Technology</v>
      </c>
      <c r="T779" s="8" t="s">
        <v>73</v>
      </c>
      <c r="U779" s="8" t="str">
        <f t="shared" si="128"/>
        <v>Accessories</v>
      </c>
      <c r="V779" s="8" t="s">
        <v>2439</v>
      </c>
    </row>
    <row r="780" spans="1:22">
      <c r="A780" s="8" t="s">
        <v>2440</v>
      </c>
      <c r="B780" s="8">
        <f t="shared" si="120"/>
        <v>1</v>
      </c>
      <c r="C780" s="8" t="str">
        <f t="shared" si="121"/>
        <v>Unique</v>
      </c>
      <c r="D780" s="9">
        <v>45497</v>
      </c>
      <c r="E780" s="8">
        <f t="shared" si="122"/>
        <v>0</v>
      </c>
      <c r="F780" s="10">
        <v>45497</v>
      </c>
      <c r="G780" s="8" t="s">
        <v>2441</v>
      </c>
      <c r="H780" s="8" t="s">
        <v>21</v>
      </c>
      <c r="I780" s="8" t="str">
        <f t="shared" si="129"/>
        <v>Karan Malhotra</v>
      </c>
      <c r="J780" s="8" t="s">
        <v>35</v>
      </c>
      <c r="K780" s="8" t="str">
        <f t="shared" si="123"/>
        <v>Small Business</v>
      </c>
      <c r="L780" s="8" t="s">
        <v>23</v>
      </c>
      <c r="M780" s="8" t="str">
        <f t="shared" si="124"/>
        <v>North</v>
      </c>
      <c r="N780" s="8" t="s">
        <v>235</v>
      </c>
      <c r="O780" s="8" t="str">
        <f t="shared" si="125"/>
        <v>Haryana</v>
      </c>
      <c r="P780" s="8" t="s">
        <v>236</v>
      </c>
      <c r="Q780" s="8" t="str">
        <f t="shared" si="126"/>
        <v>Gurugram</v>
      </c>
      <c r="R780" s="8" t="s">
        <v>72</v>
      </c>
      <c r="S780" s="8" t="str">
        <f t="shared" si="127"/>
        <v>Technology</v>
      </c>
      <c r="T780" s="8" t="s">
        <v>78</v>
      </c>
      <c r="U780" s="8" t="str">
        <f t="shared" si="128"/>
        <v>Copiers</v>
      </c>
      <c r="V780" s="8" t="s">
        <v>2442</v>
      </c>
    </row>
    <row r="781" spans="1:22">
      <c r="A781" s="8" t="s">
        <v>2443</v>
      </c>
      <c r="B781" s="8">
        <f t="shared" si="120"/>
        <v>1</v>
      </c>
      <c r="C781" s="8" t="str">
        <f t="shared" si="121"/>
        <v>Unique</v>
      </c>
      <c r="D781" s="9">
        <v>45306</v>
      </c>
      <c r="E781" s="8">
        <f t="shared" si="122"/>
        <v>5</v>
      </c>
      <c r="F781" s="10">
        <v>45311</v>
      </c>
      <c r="G781" s="8" t="s">
        <v>2444</v>
      </c>
      <c r="H781" s="8" t="s">
        <v>112</v>
      </c>
      <c r="I781" s="8" t="str">
        <f t="shared" si="129"/>
        <v>Priya Menon</v>
      </c>
      <c r="J781" s="8" t="s">
        <v>35</v>
      </c>
      <c r="K781" s="8" t="str">
        <f t="shared" si="123"/>
        <v>Small Business</v>
      </c>
      <c r="L781" s="8" t="s">
        <v>52</v>
      </c>
      <c r="M781" s="8" t="str">
        <f t="shared" si="124"/>
        <v>South</v>
      </c>
      <c r="N781" s="8" t="s">
        <v>82</v>
      </c>
      <c r="O781" s="8" t="str">
        <f t="shared" si="125"/>
        <v>Andhra Pradesh</v>
      </c>
      <c r="P781" s="8" t="s">
        <v>83</v>
      </c>
      <c r="Q781" s="8" t="str">
        <f t="shared" si="126"/>
        <v>Vijayawada</v>
      </c>
      <c r="R781" s="8" t="s">
        <v>39</v>
      </c>
      <c r="S781" s="8" t="str">
        <f t="shared" si="127"/>
        <v>Furniture</v>
      </c>
      <c r="T781" s="8" t="s">
        <v>64</v>
      </c>
      <c r="U781" s="8" t="str">
        <f t="shared" si="128"/>
        <v>Chairs</v>
      </c>
      <c r="V781" s="8" t="s">
        <v>2445</v>
      </c>
    </row>
    <row r="782" spans="1:22">
      <c r="A782" s="8" t="s">
        <v>2446</v>
      </c>
      <c r="B782" s="8">
        <f t="shared" si="120"/>
        <v>1</v>
      </c>
      <c r="C782" s="8" t="str">
        <f t="shared" si="121"/>
        <v>Unique</v>
      </c>
      <c r="D782" s="9">
        <v>45390</v>
      </c>
      <c r="E782" s="8">
        <f t="shared" si="122"/>
        <v>124</v>
      </c>
      <c r="F782" s="10">
        <v>45514</v>
      </c>
      <c r="G782" s="8" t="s">
        <v>2447</v>
      </c>
      <c r="H782" s="8" t="s">
        <v>160</v>
      </c>
      <c r="I782" s="8" t="str">
        <f t="shared" si="129"/>
        <v>Diya Patel</v>
      </c>
      <c r="J782" s="8" t="s">
        <v>35</v>
      </c>
      <c r="K782" s="8" t="str">
        <f t="shared" si="123"/>
        <v>Small Business</v>
      </c>
      <c r="L782" s="8" t="s">
        <v>61</v>
      </c>
      <c r="M782" s="8" t="str">
        <f t="shared" si="124"/>
        <v>West</v>
      </c>
      <c r="N782" s="8" t="s">
        <v>24</v>
      </c>
      <c r="O782" s="8" t="str">
        <f t="shared" si="125"/>
        <v>Rajasthan</v>
      </c>
      <c r="P782" s="8" t="s">
        <v>107</v>
      </c>
      <c r="Q782" s="8" t="str">
        <f t="shared" si="126"/>
        <v>Udaipur</v>
      </c>
      <c r="R782" s="8" t="s">
        <v>39</v>
      </c>
      <c r="S782" s="8" t="str">
        <f t="shared" si="127"/>
        <v>Furniture</v>
      </c>
      <c r="T782" s="8" t="s">
        <v>64</v>
      </c>
      <c r="U782" s="8" t="str">
        <f t="shared" si="128"/>
        <v>Chairs</v>
      </c>
      <c r="V782" s="8" t="s">
        <v>2448</v>
      </c>
    </row>
    <row r="783" spans="1:22">
      <c r="A783" s="8" t="s">
        <v>2449</v>
      </c>
      <c r="B783" s="8">
        <f t="shared" si="120"/>
        <v>1</v>
      </c>
      <c r="C783" s="8" t="str">
        <f t="shared" si="121"/>
        <v>Unique</v>
      </c>
      <c r="D783" s="9">
        <v>45324</v>
      </c>
      <c r="E783" s="8">
        <f t="shared" si="122"/>
        <v>243</v>
      </c>
      <c r="F783" s="10">
        <v>45567</v>
      </c>
      <c r="G783" s="8" t="s">
        <v>2450</v>
      </c>
      <c r="H783" s="8" t="s">
        <v>21</v>
      </c>
      <c r="I783" s="8" t="str">
        <f t="shared" si="129"/>
        <v>Karan Malhotra</v>
      </c>
      <c r="J783" s="8" t="s">
        <v>93</v>
      </c>
      <c r="K783" s="8" t="str">
        <f t="shared" si="123"/>
        <v>Home Office</v>
      </c>
      <c r="L783" s="8" t="s">
        <v>61</v>
      </c>
      <c r="M783" s="8" t="str">
        <f t="shared" si="124"/>
        <v>West</v>
      </c>
      <c r="N783" s="8" t="s">
        <v>24</v>
      </c>
      <c r="O783" s="8" t="str">
        <f t="shared" si="125"/>
        <v>Rajasthan</v>
      </c>
      <c r="P783" s="8" t="s">
        <v>107</v>
      </c>
      <c r="Q783" s="8" t="str">
        <f t="shared" si="126"/>
        <v>Udaipur</v>
      </c>
      <c r="R783" s="8" t="s">
        <v>26</v>
      </c>
      <c r="S783" s="8" t="str">
        <f t="shared" si="127"/>
        <v>Office Supplies</v>
      </c>
      <c r="T783" s="8" t="s">
        <v>89</v>
      </c>
      <c r="U783" s="8" t="str">
        <f t="shared" si="128"/>
        <v>Labels</v>
      </c>
      <c r="V783" s="8" t="s">
        <v>2451</v>
      </c>
    </row>
    <row r="784" spans="1:22">
      <c r="A784" s="8" t="s">
        <v>2452</v>
      </c>
      <c r="B784" s="8">
        <f t="shared" si="120"/>
        <v>1</v>
      </c>
      <c r="C784" s="8" t="str">
        <f t="shared" si="121"/>
        <v>Unique</v>
      </c>
      <c r="D784" s="9">
        <v>45730</v>
      </c>
      <c r="E784" s="8">
        <f t="shared" si="122"/>
        <v>8</v>
      </c>
      <c r="F784" s="10">
        <v>45738</v>
      </c>
      <c r="G784" s="8" t="s">
        <v>2453</v>
      </c>
      <c r="H784" s="8" t="s">
        <v>34</v>
      </c>
      <c r="I784" s="8" t="str">
        <f t="shared" si="129"/>
        <v>Mira Das</v>
      </c>
      <c r="J784" s="8" t="s">
        <v>88</v>
      </c>
      <c r="K784" s="8" t="str">
        <f t="shared" si="123"/>
        <v>Corporate</v>
      </c>
      <c r="L784" s="8" t="s">
        <v>36</v>
      </c>
      <c r="M784" s="8" t="str">
        <f t="shared" si="124"/>
        <v>East</v>
      </c>
      <c r="N784" s="8" t="s">
        <v>97</v>
      </c>
      <c r="O784" s="8" t="str">
        <f t="shared" si="125"/>
        <v>West Bengal</v>
      </c>
      <c r="P784" s="8" t="s">
        <v>98</v>
      </c>
      <c r="Q784" s="8" t="str">
        <f t="shared" si="126"/>
        <v>Kolkata</v>
      </c>
      <c r="R784" s="8" t="s">
        <v>72</v>
      </c>
      <c r="S784" s="8" t="str">
        <f t="shared" si="127"/>
        <v>Technology</v>
      </c>
      <c r="T784" s="8" t="s">
        <v>78</v>
      </c>
      <c r="U784" s="8" t="str">
        <f t="shared" si="128"/>
        <v>Copiers</v>
      </c>
      <c r="V784" s="8" t="s">
        <v>2454</v>
      </c>
    </row>
    <row r="785" spans="1:22">
      <c r="A785" s="8" t="s">
        <v>2455</v>
      </c>
      <c r="B785" s="8">
        <f t="shared" si="120"/>
        <v>1</v>
      </c>
      <c r="C785" s="8" t="str">
        <f t="shared" si="121"/>
        <v>Unique</v>
      </c>
      <c r="D785" s="9">
        <v>45479</v>
      </c>
      <c r="E785" s="8">
        <f t="shared" si="122"/>
        <v>0</v>
      </c>
      <c r="F785" s="10">
        <v>45479</v>
      </c>
      <c r="G785" s="8" t="s">
        <v>2456</v>
      </c>
      <c r="H785" s="8" t="s">
        <v>126</v>
      </c>
      <c r="I785" s="8" t="str">
        <f t="shared" si="129"/>
        <v>Aarav Sharma</v>
      </c>
      <c r="J785" s="8" t="s">
        <v>35</v>
      </c>
      <c r="K785" s="8" t="str">
        <f t="shared" si="123"/>
        <v>Small Business</v>
      </c>
      <c r="L785" s="8" t="s">
        <v>36</v>
      </c>
      <c r="M785" s="8" t="str">
        <f t="shared" si="124"/>
        <v>East</v>
      </c>
      <c r="N785" s="8" t="s">
        <v>143</v>
      </c>
      <c r="O785" s="8" t="str">
        <f t="shared" si="125"/>
        <v>Bihar</v>
      </c>
      <c r="P785" s="8" t="s">
        <v>144</v>
      </c>
      <c r="Q785" s="8" t="str">
        <f t="shared" si="126"/>
        <v>Patna</v>
      </c>
      <c r="R785" s="8" t="s">
        <v>26</v>
      </c>
      <c r="S785" s="8" t="str">
        <f t="shared" si="127"/>
        <v>Office Supplies</v>
      </c>
      <c r="T785" s="8" t="s">
        <v>46</v>
      </c>
      <c r="U785" s="8" t="str">
        <f t="shared" si="128"/>
        <v>Art</v>
      </c>
      <c r="V785" s="8" t="s">
        <v>2457</v>
      </c>
    </row>
    <row r="786" spans="1:22">
      <c r="A786" s="8" t="s">
        <v>2458</v>
      </c>
      <c r="B786" s="8">
        <f t="shared" si="120"/>
        <v>1</v>
      </c>
      <c r="C786" s="8" t="str">
        <f t="shared" si="121"/>
        <v>Unique</v>
      </c>
      <c r="D786" s="9">
        <v>45934</v>
      </c>
      <c r="E786" s="8">
        <f t="shared" si="122"/>
        <v>-147</v>
      </c>
      <c r="F786" s="10">
        <v>45787</v>
      </c>
      <c r="G786" s="8" t="s">
        <v>2459</v>
      </c>
      <c r="H786" s="8" t="s">
        <v>112</v>
      </c>
      <c r="I786" s="8" t="str">
        <f t="shared" si="129"/>
        <v>Priya Menon</v>
      </c>
      <c r="J786" s="8" t="s">
        <v>88</v>
      </c>
      <c r="K786" s="8" t="str">
        <f t="shared" si="123"/>
        <v>Corporate</v>
      </c>
      <c r="L786" s="8" t="s">
        <v>2460</v>
      </c>
      <c r="M786" s="8" t="str">
        <f t="shared" si="124"/>
        <v>North</v>
      </c>
      <c r="N786" s="8" t="s">
        <v>120</v>
      </c>
      <c r="O786" s="8" t="str">
        <f t="shared" si="125"/>
        <v>Punjab</v>
      </c>
      <c r="P786" s="8" t="s">
        <v>121</v>
      </c>
      <c r="Q786" s="8" t="str">
        <f t="shared" si="126"/>
        <v>Ludhiana</v>
      </c>
      <c r="R786" s="8" t="s">
        <v>72</v>
      </c>
      <c r="S786" s="8" t="str">
        <f t="shared" si="127"/>
        <v>Technology</v>
      </c>
      <c r="T786" s="8" t="s">
        <v>78</v>
      </c>
      <c r="U786" s="8" t="str">
        <f t="shared" si="128"/>
        <v>Copiers</v>
      </c>
      <c r="V786" s="8" t="s">
        <v>2461</v>
      </c>
    </row>
    <row r="787" spans="1:22">
      <c r="A787" s="8" t="s">
        <v>2462</v>
      </c>
      <c r="B787" s="8">
        <f t="shared" si="120"/>
        <v>1</v>
      </c>
      <c r="C787" s="8" t="str">
        <f t="shared" si="121"/>
        <v>Unique</v>
      </c>
      <c r="D787" s="9">
        <v>45435</v>
      </c>
      <c r="E787" s="8">
        <f t="shared" si="122"/>
        <v>6</v>
      </c>
      <c r="F787" s="10">
        <v>45441</v>
      </c>
      <c r="G787" s="8" t="s">
        <v>2463</v>
      </c>
      <c r="H787" s="8" t="s">
        <v>160</v>
      </c>
      <c r="I787" s="8" t="str">
        <f t="shared" si="129"/>
        <v>Diya Patel</v>
      </c>
      <c r="J787" s="8" t="s">
        <v>35</v>
      </c>
      <c r="K787" s="8" t="str">
        <f t="shared" si="123"/>
        <v>Small Business</v>
      </c>
      <c r="L787" s="8" t="s">
        <v>23</v>
      </c>
      <c r="M787" s="8" t="str">
        <f t="shared" si="124"/>
        <v>North</v>
      </c>
      <c r="N787" s="8" t="s">
        <v>235</v>
      </c>
      <c r="O787" s="8" t="str">
        <f t="shared" si="125"/>
        <v>Haryana</v>
      </c>
      <c r="P787" s="8" t="s">
        <v>236</v>
      </c>
      <c r="Q787" s="8" t="str">
        <f t="shared" si="126"/>
        <v>Gurugram</v>
      </c>
      <c r="R787" s="8" t="s">
        <v>26</v>
      </c>
      <c r="S787" s="8" t="str">
        <f t="shared" si="127"/>
        <v>Office Supplies</v>
      </c>
      <c r="T787" s="8" t="s">
        <v>122</v>
      </c>
      <c r="U787" s="8" t="str">
        <f t="shared" si="128"/>
        <v>Storage</v>
      </c>
      <c r="V787" s="8" t="s">
        <v>2464</v>
      </c>
    </row>
    <row r="788" spans="1:22">
      <c r="A788" s="8" t="s">
        <v>2465</v>
      </c>
      <c r="B788" s="8">
        <f t="shared" si="120"/>
        <v>1</v>
      </c>
      <c r="C788" s="8" t="str">
        <f t="shared" si="121"/>
        <v>Unique</v>
      </c>
      <c r="D788" s="9">
        <v>45844</v>
      </c>
      <c r="E788" s="8">
        <f t="shared" si="122"/>
        <v>32</v>
      </c>
      <c r="F788" s="10">
        <v>45876</v>
      </c>
      <c r="G788" s="8" t="s">
        <v>2466</v>
      </c>
      <c r="H788" s="8" t="s">
        <v>60</v>
      </c>
      <c r="I788" s="8" t="str">
        <f t="shared" si="129"/>
        <v>Ananya Rao</v>
      </c>
      <c r="J788" s="8" t="s">
        <v>88</v>
      </c>
      <c r="K788" s="8" t="str">
        <f t="shared" si="123"/>
        <v>Corporate</v>
      </c>
      <c r="L788" s="8" t="s">
        <v>23</v>
      </c>
      <c r="M788" s="8" t="str">
        <f t="shared" si="124"/>
        <v>North</v>
      </c>
      <c r="N788" s="8" t="s">
        <v>24</v>
      </c>
      <c r="O788" s="8" t="str">
        <f t="shared" si="125"/>
        <v>Rajasthan</v>
      </c>
      <c r="P788" s="8" t="s">
        <v>25</v>
      </c>
      <c r="Q788" s="8" t="str">
        <f t="shared" si="126"/>
        <v>Jaipur</v>
      </c>
      <c r="R788" s="8" t="s">
        <v>39</v>
      </c>
      <c r="S788" s="8" t="str">
        <f t="shared" si="127"/>
        <v>Furniture</v>
      </c>
      <c r="T788" s="8" t="s">
        <v>55</v>
      </c>
      <c r="U788" s="8" t="str">
        <f t="shared" si="128"/>
        <v>Furnishings</v>
      </c>
      <c r="V788" s="8" t="s">
        <v>2467</v>
      </c>
    </row>
    <row r="789" spans="1:22">
      <c r="A789" s="8" t="s">
        <v>2468</v>
      </c>
      <c r="B789" s="8">
        <f t="shared" si="120"/>
        <v>1</v>
      </c>
      <c r="C789" s="8" t="str">
        <f t="shared" si="121"/>
        <v>Unique</v>
      </c>
      <c r="D789" s="9">
        <v>45635</v>
      </c>
      <c r="E789" s="8">
        <f t="shared" si="122"/>
        <v>-82</v>
      </c>
      <c r="F789" s="10">
        <v>45553</v>
      </c>
      <c r="G789" s="8" t="s">
        <v>2469</v>
      </c>
      <c r="H789" s="8" t="s">
        <v>60</v>
      </c>
      <c r="I789" s="8" t="str">
        <f t="shared" si="129"/>
        <v>Ananya Rao</v>
      </c>
      <c r="J789" s="8" t="s">
        <v>93</v>
      </c>
      <c r="K789" s="8" t="str">
        <f t="shared" si="123"/>
        <v>Home Office</v>
      </c>
      <c r="L789" s="8" t="s">
        <v>36</v>
      </c>
      <c r="M789" s="8" t="str">
        <f t="shared" si="124"/>
        <v>East</v>
      </c>
      <c r="N789" s="8" t="s">
        <v>143</v>
      </c>
      <c r="O789" s="8" t="str">
        <f t="shared" si="125"/>
        <v>Bihar</v>
      </c>
      <c r="P789" s="8" t="s">
        <v>144</v>
      </c>
      <c r="Q789" s="8" t="str">
        <f t="shared" si="126"/>
        <v>Patna</v>
      </c>
      <c r="R789" s="8" t="s">
        <v>26</v>
      </c>
      <c r="S789" s="8" t="str">
        <f t="shared" si="127"/>
        <v>Office Supplies</v>
      </c>
      <c r="T789" s="8" t="s">
        <v>27</v>
      </c>
      <c r="U789" s="8" t="str">
        <f t="shared" si="128"/>
        <v>Paper</v>
      </c>
      <c r="V789" s="8" t="s">
        <v>2470</v>
      </c>
    </row>
    <row r="790" spans="1:22">
      <c r="A790" s="8" t="s">
        <v>2471</v>
      </c>
      <c r="B790" s="8">
        <f t="shared" si="120"/>
        <v>1</v>
      </c>
      <c r="C790" s="8" t="str">
        <f t="shared" si="121"/>
        <v>Unique</v>
      </c>
      <c r="D790" s="9">
        <v>45299</v>
      </c>
      <c r="E790" s="8">
        <f t="shared" si="122"/>
        <v>31</v>
      </c>
      <c r="F790" s="10">
        <v>45330</v>
      </c>
      <c r="G790" s="8" t="s">
        <v>2472</v>
      </c>
      <c r="H790" s="8" t="s">
        <v>45</v>
      </c>
      <c r="I790" s="8" t="str">
        <f t="shared" si="129"/>
        <v>Isha Nair</v>
      </c>
      <c r="J790" s="8" t="s">
        <v>88</v>
      </c>
      <c r="K790" s="8" t="str">
        <f t="shared" si="123"/>
        <v>Corporate</v>
      </c>
      <c r="L790" s="8" t="s">
        <v>23</v>
      </c>
      <c r="M790" s="8" t="str">
        <f t="shared" si="124"/>
        <v>North</v>
      </c>
      <c r="N790" s="8" t="s">
        <v>134</v>
      </c>
      <c r="O790" s="8" t="str">
        <f t="shared" si="125"/>
        <v>Uttar Pradesh</v>
      </c>
      <c r="P790" s="8" t="s">
        <v>135</v>
      </c>
      <c r="Q790" s="8" t="str">
        <f t="shared" si="126"/>
        <v>Noida</v>
      </c>
      <c r="R790" s="8" t="s">
        <v>39</v>
      </c>
      <c r="S790" s="8" t="str">
        <f t="shared" si="127"/>
        <v>Furniture</v>
      </c>
      <c r="T790" s="8" t="s">
        <v>64</v>
      </c>
      <c r="U790" s="8" t="str">
        <f t="shared" si="128"/>
        <v>Chairs</v>
      </c>
      <c r="V790" s="8" t="s">
        <v>2473</v>
      </c>
    </row>
    <row r="791" spans="1:22">
      <c r="A791" s="8" t="s">
        <v>2474</v>
      </c>
      <c r="B791" s="8">
        <f t="shared" si="120"/>
        <v>1</v>
      </c>
      <c r="C791" s="8" t="str">
        <f t="shared" si="121"/>
        <v>Unique</v>
      </c>
      <c r="D791" s="9">
        <v>45841</v>
      </c>
      <c r="E791" s="8">
        <f t="shared" si="122"/>
        <v>31</v>
      </c>
      <c r="F791" s="10">
        <v>45872</v>
      </c>
      <c r="G791" s="8" t="s">
        <v>2475</v>
      </c>
      <c r="H791" s="8" t="s">
        <v>112</v>
      </c>
      <c r="I791" s="8" t="str">
        <f t="shared" si="129"/>
        <v>Priya Menon</v>
      </c>
      <c r="J791" s="8" t="s">
        <v>93</v>
      </c>
      <c r="K791" s="8" t="str">
        <f t="shared" si="123"/>
        <v>Home Office</v>
      </c>
      <c r="M791" s="8" t="str">
        <f t="shared" si="124"/>
        <v/>
      </c>
      <c r="N791" s="8" t="s">
        <v>24</v>
      </c>
      <c r="O791" s="8" t="str">
        <f t="shared" si="125"/>
        <v>Rajasthan</v>
      </c>
      <c r="P791" s="8" t="s">
        <v>107</v>
      </c>
      <c r="Q791" s="8" t="str">
        <f t="shared" si="126"/>
        <v>Udaipur</v>
      </c>
      <c r="R791" s="8" t="s">
        <v>72</v>
      </c>
      <c r="S791" s="8" t="str">
        <f t="shared" si="127"/>
        <v>Technology</v>
      </c>
      <c r="T791" s="8" t="s">
        <v>78</v>
      </c>
      <c r="U791" s="8" t="str">
        <f t="shared" si="128"/>
        <v>Copiers</v>
      </c>
      <c r="V791" s="8" t="s">
        <v>2476</v>
      </c>
    </row>
    <row r="792" spans="1:22">
      <c r="A792" s="8" t="s">
        <v>2477</v>
      </c>
      <c r="B792" s="8">
        <f t="shared" si="120"/>
        <v>1</v>
      </c>
      <c r="C792" s="8" t="str">
        <f t="shared" si="121"/>
        <v>Unique</v>
      </c>
      <c r="D792" s="9">
        <v>45443</v>
      </c>
      <c r="E792" s="8">
        <f t="shared" si="122"/>
        <v>-115</v>
      </c>
      <c r="F792" s="10">
        <v>45328</v>
      </c>
      <c r="G792" s="8" t="s">
        <v>2478</v>
      </c>
      <c r="H792" s="8" t="s">
        <v>116</v>
      </c>
      <c r="I792" s="8" t="str">
        <f t="shared" si="129"/>
        <v>Rahul Verma</v>
      </c>
      <c r="J792" s="8" t="s">
        <v>88</v>
      </c>
      <c r="K792" s="8" t="str">
        <f t="shared" si="123"/>
        <v>Corporate</v>
      </c>
      <c r="L792" s="8" t="s">
        <v>52</v>
      </c>
      <c r="M792" s="8" t="str">
        <f t="shared" si="124"/>
        <v>South</v>
      </c>
      <c r="N792" s="8" t="s">
        <v>82</v>
      </c>
      <c r="O792" s="8" t="str">
        <f t="shared" si="125"/>
        <v>Andhra Pradesh</v>
      </c>
      <c r="P792" s="8" t="s">
        <v>83</v>
      </c>
      <c r="Q792" s="8" t="str">
        <f t="shared" si="126"/>
        <v>Vijayawada</v>
      </c>
      <c r="R792" s="8" t="s">
        <v>26</v>
      </c>
      <c r="S792" s="8" t="str">
        <f t="shared" si="127"/>
        <v>Office Supplies</v>
      </c>
      <c r="T792" s="8" t="s">
        <v>46</v>
      </c>
      <c r="U792" s="8" t="str">
        <f t="shared" si="128"/>
        <v>Art</v>
      </c>
      <c r="V792" s="8" t="s">
        <v>2479</v>
      </c>
    </row>
    <row r="793" spans="1:22">
      <c r="A793" s="8" t="s">
        <v>2480</v>
      </c>
      <c r="B793" s="8">
        <f t="shared" si="120"/>
        <v>1</v>
      </c>
      <c r="C793" s="8" t="str">
        <f t="shared" si="121"/>
        <v>Unique</v>
      </c>
      <c r="D793" s="9">
        <v>45332</v>
      </c>
      <c r="E793" s="8">
        <f t="shared" si="122"/>
        <v>121</v>
      </c>
      <c r="F793" s="10">
        <v>45453</v>
      </c>
      <c r="G793" s="8" t="s">
        <v>2481</v>
      </c>
      <c r="H793" s="8" t="s">
        <v>116</v>
      </c>
      <c r="I793" s="8" t="str">
        <f t="shared" si="129"/>
        <v>Rahul Verma</v>
      </c>
      <c r="J793" s="8" t="s">
        <v>93</v>
      </c>
      <c r="K793" s="8" t="str">
        <f t="shared" si="123"/>
        <v>Home Office</v>
      </c>
      <c r="L793" s="8" t="s">
        <v>52</v>
      </c>
      <c r="M793" s="8" t="str">
        <f t="shared" si="124"/>
        <v>South</v>
      </c>
      <c r="N793" s="8" t="s">
        <v>173</v>
      </c>
      <c r="O793" s="8" t="str">
        <f t="shared" si="125"/>
        <v>Karnataka</v>
      </c>
      <c r="P793" s="8" t="s">
        <v>174</v>
      </c>
      <c r="Q793" s="8" t="str">
        <f t="shared" si="126"/>
        <v>Bengaluru</v>
      </c>
      <c r="R793" s="8" t="s">
        <v>39</v>
      </c>
      <c r="S793" s="8" t="str">
        <f t="shared" si="127"/>
        <v>Furniture</v>
      </c>
      <c r="T793" s="8" t="s">
        <v>156</v>
      </c>
      <c r="U793" s="8" t="str">
        <f t="shared" si="128"/>
        <v>Bookcases</v>
      </c>
      <c r="V793" s="8" t="s">
        <v>2482</v>
      </c>
    </row>
    <row r="794" spans="1:22">
      <c r="A794" s="8" t="s">
        <v>2483</v>
      </c>
      <c r="B794" s="8">
        <f t="shared" si="120"/>
        <v>1</v>
      </c>
      <c r="C794" s="8" t="str">
        <f t="shared" si="121"/>
        <v>Unique</v>
      </c>
      <c r="D794" s="9">
        <v>45753</v>
      </c>
      <c r="E794" s="8">
        <f t="shared" si="122"/>
        <v>122</v>
      </c>
      <c r="F794" s="10">
        <v>45875</v>
      </c>
      <c r="G794" s="8" t="s">
        <v>2484</v>
      </c>
      <c r="H794" s="8" t="s">
        <v>51</v>
      </c>
      <c r="I794" s="8" t="str">
        <f t="shared" si="129"/>
        <v>Arjun Bose</v>
      </c>
      <c r="J794" s="8" t="s">
        <v>35</v>
      </c>
      <c r="K794" s="8" t="str">
        <f t="shared" si="123"/>
        <v>Small Business</v>
      </c>
      <c r="L794" s="8" t="s">
        <v>36</v>
      </c>
      <c r="M794" s="8" t="str">
        <f t="shared" si="124"/>
        <v>East</v>
      </c>
      <c r="N794" s="8" t="s">
        <v>164</v>
      </c>
      <c r="O794" s="8" t="str">
        <f t="shared" si="125"/>
        <v>Assam</v>
      </c>
      <c r="P794" s="8" t="s">
        <v>165</v>
      </c>
      <c r="Q794" s="8" t="str">
        <f t="shared" si="126"/>
        <v>Guwahati</v>
      </c>
      <c r="R794" s="8" t="s">
        <v>39</v>
      </c>
      <c r="S794" s="8" t="str">
        <f t="shared" si="127"/>
        <v>Furniture</v>
      </c>
      <c r="T794" s="8" t="s">
        <v>55</v>
      </c>
      <c r="U794" s="8" t="str">
        <f t="shared" si="128"/>
        <v>Furnishings</v>
      </c>
      <c r="V794" s="8" t="s">
        <v>2485</v>
      </c>
    </row>
    <row r="795" spans="1:22">
      <c r="A795" s="8" t="s">
        <v>2486</v>
      </c>
      <c r="B795" s="8">
        <f t="shared" si="120"/>
        <v>1</v>
      </c>
      <c r="C795" s="8" t="str">
        <f t="shared" si="121"/>
        <v>Unique</v>
      </c>
      <c r="D795" s="9">
        <v>45440</v>
      </c>
      <c r="E795" s="8">
        <f t="shared" si="122"/>
        <v>-83</v>
      </c>
      <c r="F795" s="10">
        <v>45357</v>
      </c>
      <c r="G795" s="8" t="s">
        <v>2487</v>
      </c>
      <c r="H795" s="8" t="s">
        <v>69</v>
      </c>
      <c r="I795" s="8" t="str">
        <f t="shared" si="129"/>
        <v>Vikram Iyer</v>
      </c>
      <c r="J795" s="8" t="s">
        <v>88</v>
      </c>
      <c r="K795" s="8" t="str">
        <f t="shared" si="123"/>
        <v>Corporate</v>
      </c>
      <c r="L795" s="8" t="s">
        <v>23</v>
      </c>
      <c r="M795" s="8" t="str">
        <f t="shared" si="124"/>
        <v>North</v>
      </c>
      <c r="N795" s="8" t="s">
        <v>24</v>
      </c>
      <c r="O795" s="8" t="str">
        <f t="shared" si="125"/>
        <v>Rajasthan</v>
      </c>
      <c r="P795" s="8" t="s">
        <v>25</v>
      </c>
      <c r="Q795" s="8" t="str">
        <f t="shared" si="126"/>
        <v>Jaipur</v>
      </c>
      <c r="R795" s="8" t="s">
        <v>72</v>
      </c>
      <c r="S795" s="8" t="str">
        <f t="shared" si="127"/>
        <v>Technology</v>
      </c>
      <c r="T795" s="8" t="s">
        <v>78</v>
      </c>
      <c r="U795" s="8" t="str">
        <f t="shared" si="128"/>
        <v>Copiers</v>
      </c>
      <c r="V795" s="8" t="s">
        <v>2488</v>
      </c>
    </row>
    <row r="796" spans="1:22">
      <c r="A796" s="8" t="s">
        <v>2489</v>
      </c>
      <c r="B796" s="8">
        <f t="shared" si="120"/>
        <v>1</v>
      </c>
      <c r="C796" s="8" t="str">
        <f t="shared" si="121"/>
        <v>Unique</v>
      </c>
      <c r="D796" s="9">
        <v>45830</v>
      </c>
      <c r="E796" s="8">
        <f t="shared" si="122"/>
        <v>2</v>
      </c>
      <c r="F796" s="10">
        <v>45832</v>
      </c>
      <c r="G796" s="8" t="s">
        <v>2490</v>
      </c>
      <c r="H796" s="8" t="s">
        <v>130</v>
      </c>
      <c r="I796" s="8" t="str">
        <f t="shared" si="129"/>
        <v>Sneha Kapoor</v>
      </c>
      <c r="J796" s="8" t="s">
        <v>88</v>
      </c>
      <c r="K796" s="8" t="str">
        <f t="shared" si="123"/>
        <v>Corporate</v>
      </c>
      <c r="L796" s="8" t="s">
        <v>36</v>
      </c>
      <c r="M796" s="8" t="str">
        <f t="shared" si="124"/>
        <v>East</v>
      </c>
      <c r="N796" s="8" t="s">
        <v>164</v>
      </c>
      <c r="O796" s="8" t="str">
        <f t="shared" si="125"/>
        <v>Assam</v>
      </c>
      <c r="P796" s="8" t="s">
        <v>165</v>
      </c>
      <c r="Q796" s="8" t="str">
        <f t="shared" si="126"/>
        <v>Guwahati</v>
      </c>
      <c r="R796" s="8" t="s">
        <v>26</v>
      </c>
      <c r="S796" s="8" t="str">
        <f t="shared" si="127"/>
        <v>Office Supplies</v>
      </c>
      <c r="T796" s="8" t="s">
        <v>27</v>
      </c>
      <c r="U796" s="8" t="str">
        <f t="shared" si="128"/>
        <v>Paper</v>
      </c>
      <c r="V796" s="8" t="s">
        <v>2491</v>
      </c>
    </row>
    <row r="797" spans="1:22">
      <c r="A797" s="8" t="s">
        <v>2492</v>
      </c>
      <c r="B797" s="8">
        <f t="shared" si="120"/>
        <v>1</v>
      </c>
      <c r="C797" s="8" t="str">
        <f t="shared" si="121"/>
        <v>Unique</v>
      </c>
      <c r="D797" s="9">
        <v>45503</v>
      </c>
      <c r="E797" s="8">
        <f t="shared" si="122"/>
        <v>0</v>
      </c>
      <c r="F797" s="10">
        <v>45503</v>
      </c>
      <c r="G797" s="8" t="s">
        <v>2493</v>
      </c>
      <c r="H797" s="8" t="s">
        <v>160</v>
      </c>
      <c r="I797" s="8" t="str">
        <f t="shared" si="129"/>
        <v>Diya Patel</v>
      </c>
      <c r="J797" s="8" t="s">
        <v>93</v>
      </c>
      <c r="K797" s="8" t="str">
        <f t="shared" si="123"/>
        <v>Home Office</v>
      </c>
      <c r="L797" s="8" t="s">
        <v>36</v>
      </c>
      <c r="M797" s="8" t="str">
        <f t="shared" si="124"/>
        <v>East</v>
      </c>
      <c r="N797" s="8" t="s">
        <v>37</v>
      </c>
      <c r="O797" s="8" t="str">
        <f t="shared" si="125"/>
        <v>Odisha</v>
      </c>
      <c r="P797" s="8" t="s">
        <v>38</v>
      </c>
      <c r="Q797" s="8" t="str">
        <f t="shared" si="126"/>
        <v>Bhubaneswar</v>
      </c>
      <c r="R797" s="8" t="s">
        <v>72</v>
      </c>
      <c r="S797" s="8" t="str">
        <f t="shared" si="127"/>
        <v>Technology</v>
      </c>
      <c r="T797" s="8" t="s">
        <v>78</v>
      </c>
      <c r="U797" s="8" t="str">
        <f t="shared" si="128"/>
        <v>Copiers</v>
      </c>
      <c r="V797" s="8" t="s">
        <v>2494</v>
      </c>
    </row>
    <row r="798" spans="1:22">
      <c r="A798" s="8" t="s">
        <v>2495</v>
      </c>
      <c r="B798" s="8">
        <f t="shared" si="120"/>
        <v>1</v>
      </c>
      <c r="C798" s="8" t="str">
        <f t="shared" si="121"/>
        <v>Unique</v>
      </c>
      <c r="D798" s="9">
        <v>45374</v>
      </c>
      <c r="E798" s="8">
        <f t="shared" si="122"/>
        <v>7</v>
      </c>
      <c r="F798" s="10">
        <v>45381</v>
      </c>
      <c r="G798" s="8" t="s">
        <v>2496</v>
      </c>
      <c r="H798" s="8" t="s">
        <v>139</v>
      </c>
      <c r="I798" s="8" t="str">
        <f t="shared" si="129"/>
        <v>Rohan Mehta</v>
      </c>
      <c r="J798" s="8" t="s">
        <v>35</v>
      </c>
      <c r="K798" s="8" t="str">
        <f t="shared" si="123"/>
        <v>Small Business</v>
      </c>
      <c r="L798" s="8" t="s">
        <v>52</v>
      </c>
      <c r="M798" s="8" t="str">
        <f t="shared" si="124"/>
        <v>South</v>
      </c>
      <c r="N798" s="8" t="s">
        <v>82</v>
      </c>
      <c r="O798" s="8" t="str">
        <f t="shared" si="125"/>
        <v>Andhra Pradesh</v>
      </c>
      <c r="P798" s="8" t="s">
        <v>83</v>
      </c>
      <c r="Q798" s="8" t="str">
        <f t="shared" si="126"/>
        <v>Vijayawada</v>
      </c>
      <c r="R798" s="8" t="s">
        <v>72</v>
      </c>
      <c r="S798" s="8" t="str">
        <f t="shared" si="127"/>
        <v>Technology</v>
      </c>
      <c r="T798" s="8" t="s">
        <v>273</v>
      </c>
      <c r="U798" s="8" t="str">
        <f t="shared" si="128"/>
        <v>Machines</v>
      </c>
      <c r="V798" s="8" t="s">
        <v>2497</v>
      </c>
    </row>
    <row r="799" spans="1:22">
      <c r="A799" s="8" t="s">
        <v>2498</v>
      </c>
      <c r="B799" s="8">
        <f t="shared" si="120"/>
        <v>1</v>
      </c>
      <c r="C799" s="8" t="str">
        <f t="shared" si="121"/>
        <v>Unique</v>
      </c>
      <c r="D799" s="9">
        <v>45400</v>
      </c>
      <c r="E799" s="8">
        <f t="shared" si="122"/>
        <v>4</v>
      </c>
      <c r="F799" s="10">
        <v>45404</v>
      </c>
      <c r="G799" s="8" t="s">
        <v>2499</v>
      </c>
      <c r="H799" s="8" t="s">
        <v>126</v>
      </c>
      <c r="I799" s="8" t="str">
        <f t="shared" si="129"/>
        <v>Aarav Sharma</v>
      </c>
      <c r="J799" s="8" t="s">
        <v>22</v>
      </c>
      <c r="K799" s="8" t="str">
        <f t="shared" si="123"/>
        <v>Consumer</v>
      </c>
      <c r="L799" s="8" t="s">
        <v>36</v>
      </c>
      <c r="M799" s="8" t="str">
        <f t="shared" si="124"/>
        <v>East</v>
      </c>
      <c r="N799" s="8" t="s">
        <v>37</v>
      </c>
      <c r="O799" s="8" t="str">
        <f t="shared" si="125"/>
        <v>Odisha</v>
      </c>
      <c r="P799" s="8" t="s">
        <v>38</v>
      </c>
      <c r="Q799" s="8" t="str">
        <f t="shared" si="126"/>
        <v>Bhubaneswar</v>
      </c>
      <c r="R799" s="8" t="s">
        <v>26</v>
      </c>
      <c r="S799" s="8" t="str">
        <f t="shared" si="127"/>
        <v>Office Supplies</v>
      </c>
      <c r="T799" s="8" t="s">
        <v>151</v>
      </c>
      <c r="U799" s="8" t="str">
        <f t="shared" si="128"/>
        <v>Binders</v>
      </c>
      <c r="V799" s="8" t="s">
        <v>2500</v>
      </c>
    </row>
    <row r="800" spans="1:22">
      <c r="A800" s="8" t="s">
        <v>2501</v>
      </c>
      <c r="B800" s="8">
        <f t="shared" si="120"/>
        <v>1</v>
      </c>
      <c r="C800" s="8" t="str">
        <f t="shared" si="121"/>
        <v>Unique</v>
      </c>
      <c r="D800" s="9">
        <v>45968</v>
      </c>
      <c r="E800" s="8">
        <f t="shared" si="122"/>
        <v>-61</v>
      </c>
      <c r="F800" s="10">
        <v>45907</v>
      </c>
      <c r="G800" s="8" t="s">
        <v>2502</v>
      </c>
      <c r="H800" s="8" t="s">
        <v>87</v>
      </c>
      <c r="I800" s="8" t="str">
        <f t="shared" si="129"/>
        <v>Aditi Sen</v>
      </c>
      <c r="J800" s="8" t="s">
        <v>88</v>
      </c>
      <c r="K800" s="8" t="str">
        <f t="shared" si="123"/>
        <v>Corporate</v>
      </c>
      <c r="L800" s="8" t="s">
        <v>23</v>
      </c>
      <c r="M800" s="8" t="str">
        <f t="shared" si="124"/>
        <v>North</v>
      </c>
      <c r="N800" s="8" t="s">
        <v>349</v>
      </c>
      <c r="O800" s="8" t="str">
        <f t="shared" si="125"/>
        <v>Delhi</v>
      </c>
      <c r="P800" s="8" t="s">
        <v>350</v>
      </c>
      <c r="Q800" s="8" t="str">
        <f t="shared" si="126"/>
        <v>New Delhi</v>
      </c>
      <c r="R800" s="8" t="s">
        <v>39</v>
      </c>
      <c r="S800" s="8" t="str">
        <f t="shared" si="127"/>
        <v>Furniture</v>
      </c>
      <c r="T800" s="8" t="s">
        <v>55</v>
      </c>
      <c r="U800" s="8" t="str">
        <f t="shared" si="128"/>
        <v>Furnishings</v>
      </c>
      <c r="V800" s="8" t="s">
        <v>2503</v>
      </c>
    </row>
    <row r="801" spans="1:22">
      <c r="A801" s="8" t="s">
        <v>2504</v>
      </c>
      <c r="B801" s="8">
        <f t="shared" si="120"/>
        <v>1</v>
      </c>
      <c r="C801" s="8" t="str">
        <f t="shared" si="121"/>
        <v>Unique</v>
      </c>
      <c r="D801" s="9">
        <v>45575</v>
      </c>
      <c r="E801" s="8">
        <f t="shared" si="122"/>
        <v>7</v>
      </c>
      <c r="F801" s="10">
        <v>45582</v>
      </c>
      <c r="G801" s="8" t="s">
        <v>2505</v>
      </c>
      <c r="H801" s="8" t="s">
        <v>45</v>
      </c>
      <c r="I801" s="8" t="str">
        <f t="shared" si="129"/>
        <v>Isha Nair</v>
      </c>
      <c r="J801" s="8" t="s">
        <v>93</v>
      </c>
      <c r="K801" s="8" t="str">
        <f t="shared" si="123"/>
        <v>Home Office</v>
      </c>
      <c r="L801" s="8" t="s">
        <v>23</v>
      </c>
      <c r="M801" s="8" t="str">
        <f t="shared" si="124"/>
        <v>North</v>
      </c>
      <c r="N801" s="8" t="s">
        <v>235</v>
      </c>
      <c r="O801" s="8" t="str">
        <f t="shared" si="125"/>
        <v>Haryana</v>
      </c>
      <c r="P801" s="8" t="s">
        <v>236</v>
      </c>
      <c r="Q801" s="8" t="str">
        <f t="shared" si="126"/>
        <v>Gurugram</v>
      </c>
      <c r="R801" s="8" t="s">
        <v>72</v>
      </c>
      <c r="S801" s="8" t="str">
        <f t="shared" si="127"/>
        <v>Technology</v>
      </c>
      <c r="T801" s="8" t="s">
        <v>73</v>
      </c>
      <c r="U801" s="8" t="str">
        <f t="shared" si="128"/>
        <v>Accessories</v>
      </c>
      <c r="V801" s="8" t="s">
        <v>2506</v>
      </c>
    </row>
    <row r="802" spans="1:22">
      <c r="A802" s="8" t="s">
        <v>2507</v>
      </c>
      <c r="B802" s="8">
        <f t="shared" si="120"/>
        <v>1</v>
      </c>
      <c r="C802" s="8" t="str">
        <f t="shared" si="121"/>
        <v>Unique</v>
      </c>
      <c r="D802" s="9">
        <v>45294</v>
      </c>
      <c r="E802" s="8">
        <f t="shared" si="122"/>
        <v>182</v>
      </c>
      <c r="F802" s="10">
        <v>45476</v>
      </c>
      <c r="G802" s="8" t="s">
        <v>2508</v>
      </c>
      <c r="H802" s="8" t="s">
        <v>69</v>
      </c>
      <c r="I802" s="8" t="str">
        <f t="shared" si="129"/>
        <v>Vikram Iyer</v>
      </c>
      <c r="J802" s="8" t="s">
        <v>35</v>
      </c>
      <c r="K802" s="8" t="str">
        <f t="shared" si="123"/>
        <v>Small Business</v>
      </c>
      <c r="L802" s="8" t="s">
        <v>61</v>
      </c>
      <c r="M802" s="8" t="str">
        <f t="shared" si="124"/>
        <v>West</v>
      </c>
      <c r="N802" s="8" t="s">
        <v>62</v>
      </c>
      <c r="O802" s="8" t="str">
        <f t="shared" si="125"/>
        <v>Maharashtra</v>
      </c>
      <c r="P802" s="8" t="s">
        <v>63</v>
      </c>
      <c r="Q802" s="8" t="str">
        <f t="shared" si="126"/>
        <v>Mumbai</v>
      </c>
      <c r="R802" s="8" t="s">
        <v>26</v>
      </c>
      <c r="S802" s="8" t="str">
        <f t="shared" si="127"/>
        <v>Office Supplies</v>
      </c>
      <c r="T802" s="8" t="s">
        <v>122</v>
      </c>
      <c r="U802" s="8" t="str">
        <f t="shared" si="128"/>
        <v>Storage</v>
      </c>
      <c r="V802" s="8" t="s">
        <v>2509</v>
      </c>
    </row>
    <row r="803" spans="1:22">
      <c r="A803" s="8" t="s">
        <v>2510</v>
      </c>
      <c r="B803" s="8">
        <f t="shared" si="120"/>
        <v>1</v>
      </c>
      <c r="C803" s="8" t="str">
        <f t="shared" si="121"/>
        <v>Unique</v>
      </c>
      <c r="D803" s="9">
        <v>45879</v>
      </c>
      <c r="E803" s="8">
        <f t="shared" si="122"/>
        <v>66</v>
      </c>
      <c r="F803" s="10">
        <v>45945</v>
      </c>
      <c r="G803" s="8" t="s">
        <v>2511</v>
      </c>
      <c r="H803" s="8" t="s">
        <v>126</v>
      </c>
      <c r="I803" s="8" t="str">
        <f t="shared" si="129"/>
        <v>Aarav Sharma</v>
      </c>
      <c r="J803" s="8" t="s">
        <v>93</v>
      </c>
      <c r="K803" s="8" t="str">
        <f t="shared" si="123"/>
        <v>Home Office</v>
      </c>
      <c r="L803" s="8" t="s">
        <v>36</v>
      </c>
      <c r="M803" s="8" t="str">
        <f t="shared" si="124"/>
        <v>East</v>
      </c>
      <c r="N803" s="8" t="s">
        <v>37</v>
      </c>
      <c r="O803" s="8" t="str">
        <f t="shared" si="125"/>
        <v>Odisha</v>
      </c>
      <c r="P803" s="8" t="s">
        <v>38</v>
      </c>
      <c r="Q803" s="8" t="str">
        <f t="shared" si="126"/>
        <v>Bhubaneswar</v>
      </c>
      <c r="R803" s="8" t="s">
        <v>72</v>
      </c>
      <c r="S803" s="8" t="str">
        <f t="shared" si="127"/>
        <v>Technology</v>
      </c>
      <c r="T803" s="8" t="s">
        <v>73</v>
      </c>
      <c r="U803" s="8" t="str">
        <f t="shared" si="128"/>
        <v>Accessories</v>
      </c>
      <c r="V803" s="8" t="s">
        <v>2512</v>
      </c>
    </row>
    <row r="804" spans="1:22">
      <c r="A804" s="8" t="s">
        <v>2513</v>
      </c>
      <c r="B804" s="8">
        <f t="shared" si="120"/>
        <v>1</v>
      </c>
      <c r="C804" s="8" t="str">
        <f t="shared" si="121"/>
        <v>Unique</v>
      </c>
      <c r="D804" s="9">
        <v>45704</v>
      </c>
      <c r="E804" s="8">
        <f t="shared" si="122"/>
        <v>0</v>
      </c>
      <c r="F804" s="10">
        <v>45704</v>
      </c>
      <c r="G804" s="8" t="s">
        <v>2514</v>
      </c>
      <c r="H804" s="8" t="s">
        <v>139</v>
      </c>
      <c r="I804" s="8" t="str">
        <f t="shared" si="129"/>
        <v>Rohan Mehta</v>
      </c>
      <c r="J804" s="8" t="s">
        <v>35</v>
      </c>
      <c r="K804" s="8" t="str">
        <f t="shared" si="123"/>
        <v>Small Business</v>
      </c>
      <c r="L804" s="8" t="s">
        <v>36</v>
      </c>
      <c r="M804" s="8" t="str">
        <f t="shared" si="124"/>
        <v>East</v>
      </c>
      <c r="N804" s="8" t="s">
        <v>164</v>
      </c>
      <c r="O804" s="8" t="str">
        <f t="shared" si="125"/>
        <v>Assam</v>
      </c>
      <c r="P804" s="8" t="s">
        <v>165</v>
      </c>
      <c r="Q804" s="8" t="str">
        <f t="shared" si="126"/>
        <v>Guwahati</v>
      </c>
      <c r="R804" s="8" t="s">
        <v>39</v>
      </c>
      <c r="S804" s="8" t="str">
        <f t="shared" si="127"/>
        <v>Furniture</v>
      </c>
      <c r="T804" s="8" t="s">
        <v>55</v>
      </c>
      <c r="U804" s="8" t="str">
        <f t="shared" si="128"/>
        <v>Furnishings</v>
      </c>
      <c r="V804" s="8" t="s">
        <v>2515</v>
      </c>
    </row>
    <row r="805" spans="1:22">
      <c r="A805" s="8" t="s">
        <v>2517</v>
      </c>
      <c r="B805" s="8">
        <f t="shared" si="120"/>
        <v>1</v>
      </c>
      <c r="C805" s="8" t="str">
        <f t="shared" si="121"/>
        <v>Unique</v>
      </c>
      <c r="D805" s="9">
        <v>45547</v>
      </c>
      <c r="E805" s="8">
        <f t="shared" si="122"/>
        <v>92</v>
      </c>
      <c r="F805" s="10">
        <v>45639</v>
      </c>
      <c r="G805" s="8" t="s">
        <v>2518</v>
      </c>
      <c r="H805" s="8" t="s">
        <v>139</v>
      </c>
      <c r="I805" s="8" t="str">
        <f t="shared" si="129"/>
        <v>Rohan Mehta</v>
      </c>
      <c r="J805" s="8" t="s">
        <v>22</v>
      </c>
      <c r="K805" s="8" t="str">
        <f t="shared" si="123"/>
        <v>Consumer</v>
      </c>
      <c r="M805" s="8" t="str">
        <f t="shared" si="124"/>
        <v/>
      </c>
      <c r="N805" s="8" t="s">
        <v>227</v>
      </c>
      <c r="O805" s="8" t="str">
        <f t="shared" si="125"/>
        <v>Jharkhand</v>
      </c>
      <c r="P805" s="8" t="s">
        <v>228</v>
      </c>
      <c r="Q805" s="8" t="str">
        <f t="shared" si="126"/>
        <v>Ranchi</v>
      </c>
      <c r="R805" s="8" t="s">
        <v>26</v>
      </c>
      <c r="S805" s="8" t="str">
        <f t="shared" si="127"/>
        <v>Office Supplies</v>
      </c>
      <c r="T805" s="8" t="s">
        <v>89</v>
      </c>
      <c r="U805" s="8" t="str">
        <f t="shared" si="128"/>
        <v>Labels</v>
      </c>
      <c r="V805" s="8" t="s">
        <v>2519</v>
      </c>
    </row>
    <row r="806" spans="1:22">
      <c r="A806" s="8" t="s">
        <v>2520</v>
      </c>
      <c r="B806" s="8">
        <f t="shared" si="120"/>
        <v>1</v>
      </c>
      <c r="C806" s="8" t="str">
        <f t="shared" si="121"/>
        <v>Unique</v>
      </c>
      <c r="D806" s="9">
        <v>45939</v>
      </c>
      <c r="E806" s="8">
        <f t="shared" si="122"/>
        <v>-21</v>
      </c>
      <c r="F806" s="10">
        <v>45918</v>
      </c>
      <c r="G806" s="8" t="s">
        <v>2521</v>
      </c>
      <c r="H806" s="8" t="s">
        <v>116</v>
      </c>
      <c r="I806" s="8" t="str">
        <f t="shared" si="129"/>
        <v>Rahul Verma</v>
      </c>
      <c r="J806" s="8" t="s">
        <v>93</v>
      </c>
      <c r="K806" s="8" t="str">
        <f t="shared" si="123"/>
        <v>Home Office</v>
      </c>
      <c r="L806" s="8" t="s">
        <v>52</v>
      </c>
      <c r="M806" s="8" t="str">
        <f t="shared" si="124"/>
        <v>South</v>
      </c>
      <c r="N806" s="8" t="s">
        <v>53</v>
      </c>
      <c r="O806" s="8" t="str">
        <f t="shared" si="125"/>
        <v>Telangana</v>
      </c>
      <c r="P806" s="8" t="s">
        <v>54</v>
      </c>
      <c r="Q806" s="8" t="str">
        <f t="shared" si="126"/>
        <v>Hyderabad</v>
      </c>
      <c r="R806" s="8" t="s">
        <v>39</v>
      </c>
      <c r="S806" s="8" t="str">
        <f t="shared" si="127"/>
        <v>Furniture</v>
      </c>
      <c r="T806" s="8" t="s">
        <v>55</v>
      </c>
      <c r="U806" s="8" t="str">
        <f t="shared" si="128"/>
        <v>Furnishings</v>
      </c>
      <c r="V806" s="8" t="s">
        <v>2522</v>
      </c>
    </row>
    <row r="807" spans="1:22">
      <c r="A807" s="8" t="s">
        <v>2523</v>
      </c>
      <c r="B807" s="8">
        <f t="shared" si="120"/>
        <v>1</v>
      </c>
      <c r="C807" s="8" t="str">
        <f t="shared" si="121"/>
        <v>Unique</v>
      </c>
      <c r="D807" s="9">
        <v>45812</v>
      </c>
      <c r="E807" s="8">
        <f t="shared" si="122"/>
        <v>30</v>
      </c>
      <c r="F807" s="10">
        <v>45842</v>
      </c>
      <c r="G807" s="8" t="s">
        <v>2386</v>
      </c>
      <c r="H807" s="8" t="s">
        <v>112</v>
      </c>
      <c r="I807" s="8" t="str">
        <f t="shared" si="129"/>
        <v>Priya Menon</v>
      </c>
      <c r="J807" s="8" t="s">
        <v>93</v>
      </c>
      <c r="K807" s="8" t="str">
        <f t="shared" si="123"/>
        <v>Home Office</v>
      </c>
      <c r="L807" s="8" t="s">
        <v>36</v>
      </c>
      <c r="M807" s="8" t="str">
        <f t="shared" si="124"/>
        <v>East</v>
      </c>
      <c r="N807" s="8" t="s">
        <v>164</v>
      </c>
      <c r="O807" s="8" t="str">
        <f t="shared" si="125"/>
        <v>Assam</v>
      </c>
      <c r="P807" s="8" t="s">
        <v>165</v>
      </c>
      <c r="Q807" s="8" t="str">
        <f t="shared" si="126"/>
        <v>Guwahati</v>
      </c>
      <c r="R807" s="8" t="s">
        <v>26</v>
      </c>
      <c r="S807" s="8" t="str">
        <f t="shared" si="127"/>
        <v>Office Supplies</v>
      </c>
      <c r="T807" s="8" t="s">
        <v>151</v>
      </c>
      <c r="U807" s="8" t="str">
        <f t="shared" si="128"/>
        <v>Binders</v>
      </c>
      <c r="V807" s="8" t="s">
        <v>2524</v>
      </c>
    </row>
    <row r="808" spans="1:22">
      <c r="A808" s="8" t="s">
        <v>2525</v>
      </c>
      <c r="B808" s="8">
        <f t="shared" si="120"/>
        <v>1</v>
      </c>
      <c r="C808" s="8" t="str">
        <f t="shared" si="121"/>
        <v>Unique</v>
      </c>
      <c r="D808" s="9">
        <v>45546</v>
      </c>
      <c r="E808" s="8">
        <f t="shared" si="122"/>
        <v>65</v>
      </c>
      <c r="F808" s="10">
        <v>45611</v>
      </c>
      <c r="G808" s="8" t="s">
        <v>2526</v>
      </c>
      <c r="H808" s="8" t="s">
        <v>45</v>
      </c>
      <c r="I808" s="8" t="str">
        <f t="shared" si="129"/>
        <v>Isha Nair</v>
      </c>
      <c r="J808" s="8" t="s">
        <v>93</v>
      </c>
      <c r="K808" s="8" t="str">
        <f t="shared" si="123"/>
        <v>Home Office</v>
      </c>
      <c r="L808" s="8" t="s">
        <v>23</v>
      </c>
      <c r="M808" s="8" t="str">
        <f t="shared" si="124"/>
        <v>North</v>
      </c>
      <c r="N808" s="8" t="s">
        <v>24</v>
      </c>
      <c r="O808" s="8" t="str">
        <f t="shared" si="125"/>
        <v>Rajasthan</v>
      </c>
      <c r="P808" s="8" t="s">
        <v>25</v>
      </c>
      <c r="Q808" s="8" t="str">
        <f t="shared" si="126"/>
        <v>Jaipur</v>
      </c>
      <c r="R808" s="8" t="s">
        <v>72</v>
      </c>
      <c r="S808" s="8" t="str">
        <f t="shared" si="127"/>
        <v>Technology</v>
      </c>
      <c r="T808" s="8" t="s">
        <v>78</v>
      </c>
      <c r="U808" s="8" t="str">
        <f t="shared" si="128"/>
        <v>Copiers</v>
      </c>
      <c r="V808" s="8" t="s">
        <v>2527</v>
      </c>
    </row>
    <row r="809" spans="1:22">
      <c r="A809" s="8" t="s">
        <v>2528</v>
      </c>
      <c r="B809" s="8">
        <f t="shared" si="120"/>
        <v>1</v>
      </c>
      <c r="C809" s="8" t="str">
        <f t="shared" si="121"/>
        <v>Unique</v>
      </c>
      <c r="D809" s="9">
        <v>45840</v>
      </c>
      <c r="E809" s="8">
        <f t="shared" si="122"/>
        <v>31</v>
      </c>
      <c r="F809" s="10">
        <v>45871</v>
      </c>
      <c r="G809" s="8" t="s">
        <v>2529</v>
      </c>
      <c r="H809" s="8" t="s">
        <v>21</v>
      </c>
      <c r="I809" s="8" t="str">
        <f t="shared" si="129"/>
        <v>Karan Malhotra</v>
      </c>
      <c r="J809" s="8" t="s">
        <v>35</v>
      </c>
      <c r="K809" s="8" t="str">
        <f t="shared" si="123"/>
        <v>Small Business</v>
      </c>
      <c r="L809" s="8" t="s">
        <v>52</v>
      </c>
      <c r="M809" s="8" t="str">
        <f t="shared" si="124"/>
        <v>South</v>
      </c>
      <c r="N809" s="8" t="s">
        <v>53</v>
      </c>
      <c r="O809" s="8" t="str">
        <f t="shared" si="125"/>
        <v>Telangana</v>
      </c>
      <c r="P809" s="8" t="s">
        <v>54</v>
      </c>
      <c r="Q809" s="8" t="str">
        <f t="shared" si="126"/>
        <v>Hyderabad</v>
      </c>
      <c r="R809" s="8" t="s">
        <v>26</v>
      </c>
      <c r="S809" s="8" t="str">
        <f t="shared" si="127"/>
        <v>Office Supplies</v>
      </c>
      <c r="T809" s="8" t="s">
        <v>89</v>
      </c>
      <c r="U809" s="8" t="str">
        <f t="shared" si="128"/>
        <v>Labels</v>
      </c>
      <c r="V809" s="8" t="s">
        <v>2530</v>
      </c>
    </row>
    <row r="810" spans="1:22">
      <c r="A810" s="8" t="s">
        <v>2532</v>
      </c>
      <c r="B810" s="8">
        <f t="shared" si="120"/>
        <v>1</v>
      </c>
      <c r="C810" s="8" t="str">
        <f t="shared" si="121"/>
        <v>Unique</v>
      </c>
      <c r="D810" s="9">
        <v>45900</v>
      </c>
      <c r="E810" s="8">
        <f t="shared" si="122"/>
        <v>-3</v>
      </c>
      <c r="F810" s="10">
        <v>45897</v>
      </c>
      <c r="G810" s="8" t="s">
        <v>2533</v>
      </c>
      <c r="H810" s="8" t="s">
        <v>126</v>
      </c>
      <c r="I810" s="8" t="str">
        <f t="shared" si="129"/>
        <v>Aarav Sharma</v>
      </c>
      <c r="J810" s="8" t="s">
        <v>35</v>
      </c>
      <c r="K810" s="8" t="str">
        <f t="shared" si="123"/>
        <v>Small Business</v>
      </c>
      <c r="L810" s="8" t="s">
        <v>52</v>
      </c>
      <c r="M810" s="8" t="str">
        <f t="shared" si="124"/>
        <v>South</v>
      </c>
      <c r="N810" s="8" t="s">
        <v>246</v>
      </c>
      <c r="O810" s="8" t="str">
        <f t="shared" si="125"/>
        <v>Tamil Nadu</v>
      </c>
      <c r="P810" s="8" t="s">
        <v>247</v>
      </c>
      <c r="Q810" s="8" t="str">
        <f t="shared" si="126"/>
        <v>Chennai</v>
      </c>
      <c r="R810" s="8" t="s">
        <v>39</v>
      </c>
      <c r="S810" s="8" t="str">
        <f t="shared" si="127"/>
        <v>Furniture</v>
      </c>
      <c r="T810" s="8" t="s">
        <v>55</v>
      </c>
      <c r="U810" s="8" t="str">
        <f t="shared" si="128"/>
        <v>Furnishings</v>
      </c>
      <c r="V810" s="8" t="s">
        <v>2534</v>
      </c>
    </row>
    <row r="811" spans="1:22">
      <c r="A811" s="8" t="s">
        <v>2535</v>
      </c>
      <c r="B811" s="8">
        <f t="shared" si="120"/>
        <v>1</v>
      </c>
      <c r="C811" s="8" t="str">
        <f t="shared" si="121"/>
        <v>Unique</v>
      </c>
      <c r="D811" s="9">
        <v>45833</v>
      </c>
      <c r="E811" s="8">
        <f t="shared" si="122"/>
        <v>0</v>
      </c>
      <c r="F811" s="10">
        <v>45833</v>
      </c>
      <c r="G811" s="8" t="s">
        <v>2536</v>
      </c>
      <c r="H811" s="8" t="s">
        <v>51</v>
      </c>
      <c r="I811" s="8" t="str">
        <f t="shared" si="129"/>
        <v>Arjun Bose</v>
      </c>
      <c r="J811" s="8" t="s">
        <v>35</v>
      </c>
      <c r="K811" s="8" t="str">
        <f t="shared" si="123"/>
        <v>Small Business</v>
      </c>
      <c r="M811" s="8" t="str">
        <f t="shared" si="124"/>
        <v/>
      </c>
      <c r="N811" s="8" t="s">
        <v>120</v>
      </c>
      <c r="O811" s="8" t="str">
        <f t="shared" si="125"/>
        <v>Punjab</v>
      </c>
      <c r="P811" s="8" t="s">
        <v>121</v>
      </c>
      <c r="Q811" s="8" t="str">
        <f t="shared" si="126"/>
        <v>Ludhiana</v>
      </c>
      <c r="R811" s="8" t="s">
        <v>26</v>
      </c>
      <c r="S811" s="8" t="str">
        <f t="shared" si="127"/>
        <v>Office Supplies</v>
      </c>
      <c r="T811" s="8" t="s">
        <v>151</v>
      </c>
      <c r="U811" s="8" t="str">
        <f t="shared" si="128"/>
        <v>Binders</v>
      </c>
      <c r="V811" s="8" t="s">
        <v>2537</v>
      </c>
    </row>
    <row r="812" spans="1:22">
      <c r="A812" s="8" t="s">
        <v>2538</v>
      </c>
      <c r="B812" s="8">
        <f t="shared" si="120"/>
        <v>1</v>
      </c>
      <c r="C812" s="8" t="str">
        <f t="shared" si="121"/>
        <v>Unique</v>
      </c>
      <c r="D812" s="9">
        <v>45385</v>
      </c>
      <c r="E812" s="8">
        <f t="shared" si="122"/>
        <v>123</v>
      </c>
      <c r="F812" s="10">
        <v>45508</v>
      </c>
      <c r="G812" s="8" t="s">
        <v>1692</v>
      </c>
      <c r="H812" s="8" t="s">
        <v>263</v>
      </c>
      <c r="I812" s="8" t="str">
        <f t="shared" si="129"/>
        <v>Kabir Singh</v>
      </c>
      <c r="J812" s="8" t="s">
        <v>93</v>
      </c>
      <c r="K812" s="8" t="str">
        <f t="shared" si="123"/>
        <v>Home Office</v>
      </c>
      <c r="L812" s="8" t="s">
        <v>61</v>
      </c>
      <c r="M812" s="8" t="str">
        <f t="shared" si="124"/>
        <v>West</v>
      </c>
      <c r="N812" s="8" t="s">
        <v>178</v>
      </c>
      <c r="O812" s="8" t="str">
        <f t="shared" si="125"/>
        <v>Gujarat</v>
      </c>
      <c r="P812" s="8" t="s">
        <v>179</v>
      </c>
      <c r="Q812" s="8" t="str">
        <f t="shared" si="126"/>
        <v>Ahmedabad</v>
      </c>
      <c r="R812" s="8" t="s">
        <v>72</v>
      </c>
      <c r="S812" s="8" t="str">
        <f t="shared" si="127"/>
        <v>Technology</v>
      </c>
      <c r="T812" s="8" t="s">
        <v>78</v>
      </c>
      <c r="U812" s="8" t="str">
        <f t="shared" si="128"/>
        <v>Copiers</v>
      </c>
      <c r="V812" s="8" t="s">
        <v>2539</v>
      </c>
    </row>
    <row r="813" spans="1:22">
      <c r="A813" s="8" t="s">
        <v>2540</v>
      </c>
      <c r="B813" s="8">
        <f t="shared" si="120"/>
        <v>1</v>
      </c>
      <c r="C813" s="8" t="str">
        <f t="shared" si="121"/>
        <v>Unique</v>
      </c>
      <c r="D813" s="9">
        <v>45638</v>
      </c>
      <c r="E813" s="8">
        <f t="shared" si="122"/>
        <v>7</v>
      </c>
      <c r="F813" s="10">
        <v>45645</v>
      </c>
      <c r="G813" s="8" t="s">
        <v>2541</v>
      </c>
      <c r="H813" s="8" t="s">
        <v>139</v>
      </c>
      <c r="I813" s="8" t="str">
        <f t="shared" si="129"/>
        <v>Rohan Mehta</v>
      </c>
      <c r="J813" s="8" t="s">
        <v>93</v>
      </c>
      <c r="K813" s="8" t="str">
        <f t="shared" si="123"/>
        <v>Home Office</v>
      </c>
      <c r="L813" s="8" t="s">
        <v>23</v>
      </c>
      <c r="M813" s="8" t="str">
        <f t="shared" si="124"/>
        <v>North</v>
      </c>
      <c r="N813" s="8" t="s">
        <v>235</v>
      </c>
      <c r="O813" s="8" t="str">
        <f t="shared" si="125"/>
        <v>Haryana</v>
      </c>
      <c r="P813" s="8" t="s">
        <v>236</v>
      </c>
      <c r="Q813" s="8" t="str">
        <f t="shared" si="126"/>
        <v>Gurugram</v>
      </c>
      <c r="R813" s="8" t="s">
        <v>72</v>
      </c>
      <c r="S813" s="8" t="str">
        <f t="shared" si="127"/>
        <v>Technology</v>
      </c>
      <c r="T813" s="8" t="s">
        <v>73</v>
      </c>
      <c r="U813" s="8" t="str">
        <f t="shared" si="128"/>
        <v>Accessories</v>
      </c>
      <c r="V813" s="8" t="s">
        <v>2542</v>
      </c>
    </row>
    <row r="814" spans="1:22">
      <c r="A814" s="8" t="s">
        <v>2543</v>
      </c>
      <c r="B814" s="8">
        <f t="shared" si="120"/>
        <v>1</v>
      </c>
      <c r="C814" s="8" t="str">
        <f t="shared" si="121"/>
        <v>Unique</v>
      </c>
      <c r="D814" s="9">
        <v>45458</v>
      </c>
      <c r="E814" s="8">
        <f t="shared" si="122"/>
        <v>5</v>
      </c>
      <c r="F814" s="10">
        <v>45463</v>
      </c>
      <c r="G814" s="8" t="s">
        <v>2544</v>
      </c>
      <c r="H814" s="8" t="s">
        <v>130</v>
      </c>
      <c r="I814" s="8" t="str">
        <f t="shared" si="129"/>
        <v>Sneha Kapoor</v>
      </c>
      <c r="J814" s="8" t="s">
        <v>35</v>
      </c>
      <c r="K814" s="8" t="str">
        <f t="shared" si="123"/>
        <v>Small Business</v>
      </c>
      <c r="L814" s="8" t="s">
        <v>36</v>
      </c>
      <c r="M814" s="8" t="str">
        <f t="shared" si="124"/>
        <v>East</v>
      </c>
      <c r="N814" s="8" t="s">
        <v>227</v>
      </c>
      <c r="O814" s="8" t="str">
        <f t="shared" si="125"/>
        <v>Jharkhand</v>
      </c>
      <c r="P814" s="8" t="s">
        <v>228</v>
      </c>
      <c r="Q814" s="8" t="str">
        <f t="shared" si="126"/>
        <v>Ranchi</v>
      </c>
      <c r="R814" s="8" t="s">
        <v>39</v>
      </c>
      <c r="S814" s="8" t="str">
        <f t="shared" si="127"/>
        <v>Furniture</v>
      </c>
      <c r="T814" s="8" t="s">
        <v>40</v>
      </c>
      <c r="U814" s="8" t="str">
        <f t="shared" si="128"/>
        <v>Tables</v>
      </c>
      <c r="V814" s="8" t="s">
        <v>2545</v>
      </c>
    </row>
    <row r="815" spans="1:22">
      <c r="A815" s="8" t="s">
        <v>2546</v>
      </c>
      <c r="B815" s="8">
        <f t="shared" si="120"/>
        <v>1</v>
      </c>
      <c r="C815" s="8" t="str">
        <f t="shared" si="121"/>
        <v>Unique</v>
      </c>
      <c r="D815" s="9">
        <v>45753</v>
      </c>
      <c r="E815" s="8">
        <f t="shared" si="122"/>
        <v>181</v>
      </c>
      <c r="F815" s="10">
        <v>45934</v>
      </c>
      <c r="G815" s="8" t="s">
        <v>2547</v>
      </c>
      <c r="H815" s="8" t="s">
        <v>139</v>
      </c>
      <c r="I815" s="8" t="str">
        <f t="shared" si="129"/>
        <v>Rohan Mehta</v>
      </c>
      <c r="J815" s="8" t="s">
        <v>22</v>
      </c>
      <c r="K815" s="8" t="str">
        <f t="shared" si="123"/>
        <v>Consumer</v>
      </c>
      <c r="L815" s="8" t="s">
        <v>36</v>
      </c>
      <c r="M815" s="8" t="str">
        <f t="shared" si="124"/>
        <v>East</v>
      </c>
      <c r="N815" s="8" t="s">
        <v>37</v>
      </c>
      <c r="O815" s="8" t="str">
        <f t="shared" si="125"/>
        <v>Odisha</v>
      </c>
      <c r="P815" s="8" t="s">
        <v>38</v>
      </c>
      <c r="Q815" s="8" t="str">
        <f t="shared" si="126"/>
        <v>Bhubaneswar</v>
      </c>
      <c r="R815" s="8" t="s">
        <v>39</v>
      </c>
      <c r="S815" s="8" t="str">
        <f t="shared" si="127"/>
        <v>Furniture</v>
      </c>
      <c r="T815" s="8" t="s">
        <v>156</v>
      </c>
      <c r="U815" s="8" t="str">
        <f t="shared" si="128"/>
        <v>Bookcases</v>
      </c>
      <c r="V815" s="8" t="s">
        <v>1138</v>
      </c>
    </row>
    <row r="816" spans="1:22">
      <c r="A816" s="8" t="s">
        <v>2548</v>
      </c>
      <c r="B816" s="8">
        <f t="shared" si="120"/>
        <v>1</v>
      </c>
      <c r="C816" s="8" t="str">
        <f t="shared" si="121"/>
        <v>Unique</v>
      </c>
      <c r="D816" s="9">
        <v>45816</v>
      </c>
      <c r="E816" s="8">
        <f t="shared" si="122"/>
        <v>153</v>
      </c>
      <c r="F816" s="10">
        <v>45969</v>
      </c>
      <c r="G816" s="8" t="s">
        <v>2549</v>
      </c>
      <c r="H816" s="8" t="s">
        <v>51</v>
      </c>
      <c r="I816" s="8" t="str">
        <f t="shared" si="129"/>
        <v>Arjun Bose</v>
      </c>
      <c r="J816" s="8" t="s">
        <v>22</v>
      </c>
      <c r="K816" s="8" t="str">
        <f t="shared" si="123"/>
        <v>Consumer</v>
      </c>
      <c r="L816" s="8" t="s">
        <v>61</v>
      </c>
      <c r="M816" s="8" t="str">
        <f t="shared" si="124"/>
        <v>West</v>
      </c>
      <c r="N816" s="8" t="s">
        <v>70</v>
      </c>
      <c r="O816" s="8" t="str">
        <f t="shared" si="125"/>
        <v>Madhya Pradesh</v>
      </c>
      <c r="P816" s="8" t="s">
        <v>71</v>
      </c>
      <c r="Q816" s="8" t="str">
        <f t="shared" si="126"/>
        <v>Indore</v>
      </c>
      <c r="R816" s="8" t="s">
        <v>26</v>
      </c>
      <c r="S816" s="8" t="str">
        <f t="shared" si="127"/>
        <v>Office Supplies</v>
      </c>
      <c r="T816" s="8" t="s">
        <v>89</v>
      </c>
      <c r="U816" s="8" t="str">
        <f t="shared" si="128"/>
        <v>Labels</v>
      </c>
      <c r="V816" s="8" t="s">
        <v>2550</v>
      </c>
    </row>
    <row r="817" spans="1:22">
      <c r="A817" s="8" t="s">
        <v>2551</v>
      </c>
      <c r="B817" s="8">
        <f t="shared" si="120"/>
        <v>1</v>
      </c>
      <c r="C817" s="8" t="str">
        <f t="shared" si="121"/>
        <v>Unique</v>
      </c>
      <c r="D817" s="9">
        <v>45383</v>
      </c>
      <c r="E817" s="8">
        <f t="shared" si="122"/>
        <v>125</v>
      </c>
      <c r="F817" s="10">
        <v>45508</v>
      </c>
      <c r="G817" s="8" t="s">
        <v>2552</v>
      </c>
      <c r="H817" s="8" t="s">
        <v>160</v>
      </c>
      <c r="I817" s="8" t="str">
        <f t="shared" si="129"/>
        <v>Diya Patel</v>
      </c>
      <c r="J817" s="8" t="s">
        <v>22</v>
      </c>
      <c r="K817" s="8" t="str">
        <f t="shared" si="123"/>
        <v>Consumer</v>
      </c>
      <c r="L817" s="8" t="s">
        <v>36</v>
      </c>
      <c r="M817" s="8" t="str">
        <f t="shared" si="124"/>
        <v>East</v>
      </c>
      <c r="N817" s="8" t="s">
        <v>37</v>
      </c>
      <c r="O817" s="8" t="str">
        <f t="shared" si="125"/>
        <v>Odisha</v>
      </c>
      <c r="P817" s="8" t="s">
        <v>38</v>
      </c>
      <c r="Q817" s="8" t="str">
        <f t="shared" si="126"/>
        <v>Bhubaneswar</v>
      </c>
      <c r="R817" s="8" t="s">
        <v>72</v>
      </c>
      <c r="S817" s="8" t="str">
        <f t="shared" si="127"/>
        <v>Technology</v>
      </c>
      <c r="T817" s="8" t="s">
        <v>273</v>
      </c>
      <c r="U817" s="8" t="str">
        <f t="shared" si="128"/>
        <v>Machines</v>
      </c>
      <c r="V817" s="8" t="s">
        <v>2553</v>
      </c>
    </row>
    <row r="818" spans="1:22">
      <c r="A818" s="8" t="s">
        <v>2554</v>
      </c>
      <c r="B818" s="8">
        <f t="shared" si="120"/>
        <v>1</v>
      </c>
      <c r="C818" s="8" t="str">
        <f t="shared" si="121"/>
        <v>Unique</v>
      </c>
      <c r="D818" s="9">
        <v>45623</v>
      </c>
      <c r="E818" s="8">
        <f t="shared" si="122"/>
        <v>3</v>
      </c>
      <c r="F818" s="10">
        <v>45626</v>
      </c>
      <c r="G818" s="8" t="s">
        <v>2555</v>
      </c>
      <c r="H818" s="8" t="s">
        <v>116</v>
      </c>
      <c r="I818" s="8" t="str">
        <f t="shared" si="129"/>
        <v>Rahul Verma</v>
      </c>
      <c r="J818" s="8" t="s">
        <v>35</v>
      </c>
      <c r="K818" s="8" t="str">
        <f t="shared" si="123"/>
        <v>Small Business</v>
      </c>
      <c r="L818" s="8" t="s">
        <v>36</v>
      </c>
      <c r="M818" s="8" t="str">
        <f t="shared" si="124"/>
        <v>East</v>
      </c>
      <c r="N818" s="8" t="s">
        <v>227</v>
      </c>
      <c r="O818" s="8" t="str">
        <f t="shared" si="125"/>
        <v>Jharkhand</v>
      </c>
      <c r="P818" s="8" t="s">
        <v>228</v>
      </c>
      <c r="Q818" s="8" t="str">
        <f t="shared" si="126"/>
        <v>Ranchi</v>
      </c>
      <c r="R818" s="8" t="s">
        <v>39</v>
      </c>
      <c r="S818" s="8" t="str">
        <f t="shared" si="127"/>
        <v>Furniture</v>
      </c>
      <c r="T818" s="8" t="s">
        <v>55</v>
      </c>
      <c r="U818" s="8" t="str">
        <f t="shared" si="128"/>
        <v>Furnishings</v>
      </c>
      <c r="V818" s="8" t="s">
        <v>2556</v>
      </c>
    </row>
    <row r="819" spans="1:22">
      <c r="A819" s="8" t="s">
        <v>2557</v>
      </c>
      <c r="B819" s="8">
        <f t="shared" si="120"/>
        <v>1</v>
      </c>
      <c r="C819" s="8" t="str">
        <f t="shared" si="121"/>
        <v>Unique</v>
      </c>
      <c r="D819" s="9">
        <v>45781</v>
      </c>
      <c r="E819" s="8">
        <f t="shared" si="122"/>
        <v>-29</v>
      </c>
      <c r="F819" s="10">
        <v>45752</v>
      </c>
      <c r="G819" s="8" t="s">
        <v>2558</v>
      </c>
      <c r="H819" s="8" t="s">
        <v>130</v>
      </c>
      <c r="I819" s="8" t="str">
        <f t="shared" si="129"/>
        <v>Sneha Kapoor</v>
      </c>
      <c r="J819" s="8" t="s">
        <v>22</v>
      </c>
      <c r="K819" s="8" t="str">
        <f t="shared" si="123"/>
        <v>Consumer</v>
      </c>
      <c r="L819" s="8" t="s">
        <v>36</v>
      </c>
      <c r="M819" s="8" t="str">
        <f t="shared" si="124"/>
        <v>East</v>
      </c>
      <c r="N819" s="8" t="s">
        <v>143</v>
      </c>
      <c r="O819" s="8" t="str">
        <f t="shared" si="125"/>
        <v>Bihar</v>
      </c>
      <c r="P819" s="8" t="s">
        <v>144</v>
      </c>
      <c r="Q819" s="8" t="str">
        <f t="shared" si="126"/>
        <v>Patna</v>
      </c>
      <c r="R819" s="8" t="s">
        <v>26</v>
      </c>
      <c r="S819" s="8" t="str">
        <f t="shared" si="127"/>
        <v>Office Supplies</v>
      </c>
      <c r="T819" s="8" t="s">
        <v>151</v>
      </c>
      <c r="U819" s="8" t="str">
        <f t="shared" si="128"/>
        <v>Binders</v>
      </c>
      <c r="V819" s="8" t="s">
        <v>2559</v>
      </c>
    </row>
    <row r="820" spans="1:22">
      <c r="A820" s="8" t="s">
        <v>2560</v>
      </c>
      <c r="B820" s="8">
        <f t="shared" si="120"/>
        <v>1</v>
      </c>
      <c r="C820" s="8" t="str">
        <f t="shared" si="121"/>
        <v>Unique</v>
      </c>
      <c r="D820" s="9">
        <v>45564</v>
      </c>
      <c r="E820" s="8">
        <f t="shared" si="122"/>
        <v>-142</v>
      </c>
      <c r="F820" s="10">
        <v>45422</v>
      </c>
      <c r="G820" s="8" t="s">
        <v>2561</v>
      </c>
      <c r="H820" s="8" t="s">
        <v>112</v>
      </c>
      <c r="I820" s="8" t="str">
        <f t="shared" si="129"/>
        <v>Priya Menon</v>
      </c>
      <c r="J820" s="8" t="s">
        <v>35</v>
      </c>
      <c r="K820" s="8" t="str">
        <f t="shared" si="123"/>
        <v>Small Business</v>
      </c>
      <c r="L820" s="8" t="s">
        <v>61</v>
      </c>
      <c r="M820" s="8" t="str">
        <f t="shared" si="124"/>
        <v>West</v>
      </c>
      <c r="N820" s="8" t="s">
        <v>62</v>
      </c>
      <c r="O820" s="8" t="str">
        <f t="shared" si="125"/>
        <v>Maharashtra</v>
      </c>
      <c r="P820" s="8" t="s">
        <v>63</v>
      </c>
      <c r="Q820" s="8" t="str">
        <f t="shared" si="126"/>
        <v>Mumbai</v>
      </c>
      <c r="R820" s="8" t="s">
        <v>26</v>
      </c>
      <c r="S820" s="8" t="str">
        <f t="shared" si="127"/>
        <v>Office Supplies</v>
      </c>
      <c r="T820" s="8" t="s">
        <v>89</v>
      </c>
      <c r="U820" s="8" t="str">
        <f t="shared" si="128"/>
        <v>Labels</v>
      </c>
      <c r="V820" s="8" t="s">
        <v>2562</v>
      </c>
    </row>
    <row r="821" spans="1:22">
      <c r="A821" s="8" t="s">
        <v>2563</v>
      </c>
      <c r="B821" s="8">
        <f t="shared" si="120"/>
        <v>1</v>
      </c>
      <c r="C821" s="8" t="str">
        <f t="shared" si="121"/>
        <v>Unique</v>
      </c>
      <c r="D821" s="9">
        <v>45504</v>
      </c>
      <c r="E821" s="8">
        <f t="shared" si="122"/>
        <v>0</v>
      </c>
      <c r="F821" s="10">
        <v>45504</v>
      </c>
      <c r="G821" s="8" t="s">
        <v>2564</v>
      </c>
      <c r="H821" s="8" t="s">
        <v>21</v>
      </c>
      <c r="I821" s="8" t="str">
        <f t="shared" si="129"/>
        <v>Karan Malhotra</v>
      </c>
      <c r="J821" s="8" t="s">
        <v>93</v>
      </c>
      <c r="K821" s="8" t="str">
        <f t="shared" si="123"/>
        <v>Home Office</v>
      </c>
      <c r="L821" s="8" t="s">
        <v>52</v>
      </c>
      <c r="M821" s="8" t="str">
        <f t="shared" si="124"/>
        <v>South</v>
      </c>
      <c r="N821" s="8" t="s">
        <v>183</v>
      </c>
      <c r="O821" s="8" t="str">
        <f t="shared" si="125"/>
        <v>Kerala</v>
      </c>
      <c r="P821" s="8" t="s">
        <v>184</v>
      </c>
      <c r="Q821" s="8" t="str">
        <f t="shared" si="126"/>
        <v>Kochi</v>
      </c>
      <c r="R821" s="8" t="s">
        <v>72</v>
      </c>
      <c r="S821" s="8" t="str">
        <f t="shared" si="127"/>
        <v>Technology</v>
      </c>
      <c r="T821" s="8" t="s">
        <v>2565</v>
      </c>
      <c r="U821" s="8" t="str">
        <f t="shared" si="128"/>
        <v>Machines</v>
      </c>
      <c r="V821" s="8" t="s">
        <v>2566</v>
      </c>
    </row>
    <row r="822" spans="1:22">
      <c r="A822" s="8" t="s">
        <v>2567</v>
      </c>
      <c r="B822" s="8">
        <f t="shared" si="120"/>
        <v>1</v>
      </c>
      <c r="C822" s="8" t="str">
        <f t="shared" si="121"/>
        <v>Unique</v>
      </c>
      <c r="D822" s="9">
        <v>45810</v>
      </c>
      <c r="E822" s="8">
        <f t="shared" si="122"/>
        <v>122</v>
      </c>
      <c r="F822" s="10">
        <v>45932</v>
      </c>
      <c r="G822" s="8" t="s">
        <v>2568</v>
      </c>
      <c r="H822" s="8" t="s">
        <v>60</v>
      </c>
      <c r="I822" s="8" t="str">
        <f t="shared" si="129"/>
        <v>Ananya Rao</v>
      </c>
      <c r="J822" s="8" t="s">
        <v>93</v>
      </c>
      <c r="K822" s="8" t="str">
        <f t="shared" si="123"/>
        <v>Home Office</v>
      </c>
      <c r="L822" s="8" t="s">
        <v>23</v>
      </c>
      <c r="M822" s="8" t="str">
        <f t="shared" si="124"/>
        <v>North</v>
      </c>
      <c r="N822" s="8" t="s">
        <v>134</v>
      </c>
      <c r="O822" s="8" t="str">
        <f t="shared" si="125"/>
        <v>Uttar Pradesh</v>
      </c>
      <c r="P822" s="8" t="s">
        <v>135</v>
      </c>
      <c r="Q822" s="8" t="str">
        <f t="shared" si="126"/>
        <v>Noida</v>
      </c>
      <c r="R822" s="8" t="s">
        <v>39</v>
      </c>
      <c r="S822" s="8" t="str">
        <f t="shared" si="127"/>
        <v>Furniture</v>
      </c>
      <c r="T822" s="8" t="s">
        <v>156</v>
      </c>
      <c r="U822" s="8" t="str">
        <f t="shared" si="128"/>
        <v>Bookcases</v>
      </c>
      <c r="V822" s="8" t="s">
        <v>2569</v>
      </c>
    </row>
    <row r="823" spans="1:22">
      <c r="A823" s="8" t="s">
        <v>2570</v>
      </c>
      <c r="B823" s="8">
        <f t="shared" si="120"/>
        <v>1</v>
      </c>
      <c r="C823" s="8" t="str">
        <f t="shared" si="121"/>
        <v>Unique</v>
      </c>
      <c r="D823" s="9">
        <v>45358</v>
      </c>
      <c r="E823" s="8">
        <f t="shared" si="122"/>
        <v>92</v>
      </c>
      <c r="F823" s="10">
        <v>45450</v>
      </c>
      <c r="G823" s="8" t="s">
        <v>2571</v>
      </c>
      <c r="H823" s="8" t="s">
        <v>126</v>
      </c>
      <c r="I823" s="8" t="str">
        <f t="shared" si="129"/>
        <v>Aarav Sharma</v>
      </c>
      <c r="J823" s="8" t="s">
        <v>88</v>
      </c>
      <c r="K823" s="8" t="str">
        <f t="shared" si="123"/>
        <v>Corporate</v>
      </c>
      <c r="L823" s="8" t="s">
        <v>52</v>
      </c>
      <c r="M823" s="8" t="str">
        <f t="shared" si="124"/>
        <v>South</v>
      </c>
      <c r="N823" s="8" t="s">
        <v>173</v>
      </c>
      <c r="O823" s="8" t="str">
        <f t="shared" si="125"/>
        <v>Karnataka</v>
      </c>
      <c r="P823" s="8" t="s">
        <v>174</v>
      </c>
      <c r="Q823" s="8" t="str">
        <f t="shared" si="126"/>
        <v>Bengaluru</v>
      </c>
      <c r="R823" s="8" t="s">
        <v>72</v>
      </c>
      <c r="S823" s="8" t="str">
        <f t="shared" si="127"/>
        <v>Technology</v>
      </c>
      <c r="T823" s="8" t="s">
        <v>73</v>
      </c>
      <c r="U823" s="8" t="str">
        <f t="shared" si="128"/>
        <v>Accessories</v>
      </c>
      <c r="V823" s="8" t="s">
        <v>2572</v>
      </c>
    </row>
    <row r="824" spans="1:22">
      <c r="A824" s="8" t="s">
        <v>2573</v>
      </c>
      <c r="B824" s="8">
        <f t="shared" si="120"/>
        <v>1</v>
      </c>
      <c r="C824" s="8" t="str">
        <f t="shared" si="121"/>
        <v>Unique</v>
      </c>
      <c r="D824" s="9">
        <v>45577</v>
      </c>
      <c r="E824" s="8">
        <f t="shared" si="122"/>
        <v>-63</v>
      </c>
      <c r="F824" s="10">
        <v>45514</v>
      </c>
      <c r="G824" s="8" t="s">
        <v>2574</v>
      </c>
      <c r="H824" s="8" t="s">
        <v>34</v>
      </c>
      <c r="I824" s="8" t="str">
        <f t="shared" si="129"/>
        <v>Mira Das</v>
      </c>
      <c r="J824" s="8" t="s">
        <v>88</v>
      </c>
      <c r="K824" s="8" t="str">
        <f t="shared" si="123"/>
        <v>Corporate</v>
      </c>
      <c r="L824" s="8" t="s">
        <v>36</v>
      </c>
      <c r="M824" s="8" t="str">
        <f t="shared" si="124"/>
        <v>East</v>
      </c>
      <c r="N824" s="8" t="s">
        <v>164</v>
      </c>
      <c r="O824" s="8" t="str">
        <f t="shared" si="125"/>
        <v>Assam</v>
      </c>
      <c r="P824" s="8" t="s">
        <v>165</v>
      </c>
      <c r="Q824" s="8" t="str">
        <f t="shared" si="126"/>
        <v>Guwahati</v>
      </c>
      <c r="R824" s="8" t="s">
        <v>39</v>
      </c>
      <c r="S824" s="8" t="str">
        <f t="shared" si="127"/>
        <v>Furniture</v>
      </c>
      <c r="T824" s="8" t="s">
        <v>55</v>
      </c>
      <c r="U824" s="8" t="str">
        <f t="shared" si="128"/>
        <v>Furnishings</v>
      </c>
      <c r="V824" s="8" t="s">
        <v>2575</v>
      </c>
    </row>
    <row r="825" spans="1:22">
      <c r="A825" s="8" t="s">
        <v>2576</v>
      </c>
      <c r="B825" s="8">
        <f t="shared" si="120"/>
        <v>1</v>
      </c>
      <c r="C825" s="8" t="str">
        <f t="shared" si="121"/>
        <v>Unique</v>
      </c>
      <c r="D825" s="9">
        <v>45809</v>
      </c>
      <c r="E825" s="8">
        <f t="shared" si="122"/>
        <v>183</v>
      </c>
      <c r="F825" s="10">
        <v>45992</v>
      </c>
      <c r="G825" s="8" t="s">
        <v>2577</v>
      </c>
      <c r="H825" s="8" t="s">
        <v>34</v>
      </c>
      <c r="I825" s="8" t="str">
        <f t="shared" si="129"/>
        <v>Mira Das</v>
      </c>
      <c r="J825" s="8" t="s">
        <v>93</v>
      </c>
      <c r="K825" s="8" t="str">
        <f t="shared" si="123"/>
        <v>Home Office</v>
      </c>
      <c r="L825" s="8" t="s">
        <v>61</v>
      </c>
      <c r="M825" s="8" t="str">
        <f t="shared" si="124"/>
        <v>West</v>
      </c>
      <c r="N825" s="8" t="s">
        <v>188</v>
      </c>
      <c r="O825" s="8" t="str">
        <f t="shared" si="125"/>
        <v>Goa</v>
      </c>
      <c r="P825" s="8" t="s">
        <v>189</v>
      </c>
      <c r="Q825" s="8" t="str">
        <f t="shared" si="126"/>
        <v>Panaji</v>
      </c>
      <c r="R825" s="8" t="s">
        <v>26</v>
      </c>
      <c r="S825" s="8" t="str">
        <f t="shared" si="127"/>
        <v>Office Supplies</v>
      </c>
      <c r="T825" s="8" t="s">
        <v>27</v>
      </c>
      <c r="U825" s="8" t="str">
        <f t="shared" si="128"/>
        <v>Paper</v>
      </c>
      <c r="V825" s="8" t="s">
        <v>2578</v>
      </c>
    </row>
    <row r="826" spans="1:22">
      <c r="A826" s="8" t="s">
        <v>2579</v>
      </c>
      <c r="B826" s="8">
        <f t="shared" si="120"/>
        <v>1</v>
      </c>
      <c r="C826" s="8" t="str">
        <f t="shared" si="121"/>
        <v>Unique</v>
      </c>
      <c r="D826" s="9">
        <v>45737</v>
      </c>
      <c r="E826" s="8">
        <f t="shared" si="122"/>
        <v>1</v>
      </c>
      <c r="F826" s="10">
        <v>45738</v>
      </c>
      <c r="G826" s="8" t="s">
        <v>2580</v>
      </c>
      <c r="H826" s="8" t="s">
        <v>112</v>
      </c>
      <c r="I826" s="8" t="str">
        <f t="shared" si="129"/>
        <v>Priya Menon</v>
      </c>
      <c r="J826" s="8" t="s">
        <v>22</v>
      </c>
      <c r="K826" s="8" t="str">
        <f t="shared" si="123"/>
        <v>Consumer</v>
      </c>
      <c r="L826" s="8" t="s">
        <v>61</v>
      </c>
      <c r="M826" s="8" t="str">
        <f t="shared" si="124"/>
        <v>West</v>
      </c>
      <c r="N826" s="8" t="s">
        <v>188</v>
      </c>
      <c r="O826" s="8" t="str">
        <f t="shared" si="125"/>
        <v>Goa</v>
      </c>
      <c r="P826" s="8" t="s">
        <v>189</v>
      </c>
      <c r="Q826" s="8" t="str">
        <f t="shared" si="126"/>
        <v>Panaji</v>
      </c>
      <c r="R826" s="8" t="s">
        <v>26</v>
      </c>
      <c r="S826" s="8" t="str">
        <f t="shared" si="127"/>
        <v>Office Supplies</v>
      </c>
      <c r="T826" s="8" t="s">
        <v>27</v>
      </c>
      <c r="U826" s="8" t="str">
        <f t="shared" si="128"/>
        <v>Paper</v>
      </c>
      <c r="V826" s="8" t="s">
        <v>2581</v>
      </c>
    </row>
    <row r="827" spans="1:22">
      <c r="A827" s="8" t="s">
        <v>2582</v>
      </c>
      <c r="B827" s="8">
        <f t="shared" si="120"/>
        <v>1</v>
      </c>
      <c r="C827" s="8" t="str">
        <f t="shared" si="121"/>
        <v>Unique</v>
      </c>
      <c r="D827" s="9">
        <v>45763</v>
      </c>
      <c r="E827" s="8">
        <f t="shared" si="122"/>
        <v>1</v>
      </c>
      <c r="F827" s="10">
        <v>45764</v>
      </c>
      <c r="G827" s="8" t="s">
        <v>2583</v>
      </c>
      <c r="H827" s="8" t="s">
        <v>69</v>
      </c>
      <c r="I827" s="8" t="str">
        <f t="shared" si="129"/>
        <v>Vikram Iyer</v>
      </c>
      <c r="J827" s="8" t="s">
        <v>35</v>
      </c>
      <c r="K827" s="8" t="str">
        <f t="shared" si="123"/>
        <v>Small Business</v>
      </c>
      <c r="L827" s="8" t="s">
        <v>23</v>
      </c>
      <c r="M827" s="8" t="str">
        <f t="shared" si="124"/>
        <v>North</v>
      </c>
      <c r="N827" s="8" t="s">
        <v>134</v>
      </c>
      <c r="O827" s="8" t="str">
        <f t="shared" si="125"/>
        <v>Uttar Pradesh</v>
      </c>
      <c r="P827" s="8" t="s">
        <v>135</v>
      </c>
      <c r="Q827" s="8" t="str">
        <f t="shared" si="126"/>
        <v>Noida</v>
      </c>
      <c r="R827" s="8" t="s">
        <v>72</v>
      </c>
      <c r="S827" s="8" t="str">
        <f t="shared" si="127"/>
        <v>Technology</v>
      </c>
      <c r="T827" s="8" t="s">
        <v>273</v>
      </c>
      <c r="U827" s="8" t="str">
        <f t="shared" si="128"/>
        <v>Machines</v>
      </c>
      <c r="V827" s="8" t="s">
        <v>2584</v>
      </c>
    </row>
    <row r="828" spans="1:22">
      <c r="A828" s="8" t="s">
        <v>2585</v>
      </c>
      <c r="B828" s="8">
        <f t="shared" si="120"/>
        <v>1</v>
      </c>
      <c r="C828" s="8" t="str">
        <f t="shared" si="121"/>
        <v>Unique</v>
      </c>
      <c r="D828" s="9">
        <v>45938</v>
      </c>
      <c r="E828" s="8">
        <f t="shared" si="122"/>
        <v>-55</v>
      </c>
      <c r="F828" s="10">
        <v>45883</v>
      </c>
      <c r="G828" s="8" t="s">
        <v>2586</v>
      </c>
      <c r="H828" s="8" t="s">
        <v>87</v>
      </c>
      <c r="I828" s="8" t="str">
        <f t="shared" si="129"/>
        <v>Aditi Sen</v>
      </c>
      <c r="J828" s="8" t="s">
        <v>22</v>
      </c>
      <c r="K828" s="8" t="str">
        <f t="shared" si="123"/>
        <v>Consumer</v>
      </c>
      <c r="L828" s="8" t="s">
        <v>61</v>
      </c>
      <c r="M828" s="8" t="str">
        <f t="shared" si="124"/>
        <v>West</v>
      </c>
      <c r="N828" s="8" t="s">
        <v>24</v>
      </c>
      <c r="O828" s="8" t="str">
        <f t="shared" si="125"/>
        <v>Rajasthan</v>
      </c>
      <c r="P828" s="8" t="s">
        <v>107</v>
      </c>
      <c r="Q828" s="8" t="str">
        <f t="shared" si="126"/>
        <v>Udaipur</v>
      </c>
      <c r="R828" s="8" t="s">
        <v>72</v>
      </c>
      <c r="S828" s="8" t="str">
        <f t="shared" si="127"/>
        <v>Technology</v>
      </c>
      <c r="T828" s="8" t="s">
        <v>73</v>
      </c>
      <c r="U828" s="8" t="str">
        <f t="shared" si="128"/>
        <v>Accessories</v>
      </c>
      <c r="V828" s="8" t="s">
        <v>2587</v>
      </c>
    </row>
    <row r="829" spans="1:22">
      <c r="A829" s="8" t="s">
        <v>2588</v>
      </c>
      <c r="B829" s="8">
        <f t="shared" si="120"/>
        <v>1</v>
      </c>
      <c r="C829" s="8" t="str">
        <f t="shared" si="121"/>
        <v>Unique</v>
      </c>
      <c r="D829" s="9">
        <v>45620</v>
      </c>
      <c r="E829" s="8">
        <f t="shared" si="122"/>
        <v>-317</v>
      </c>
      <c r="F829" s="10">
        <v>45303</v>
      </c>
      <c r="G829" s="8" t="s">
        <v>2589</v>
      </c>
      <c r="H829" s="8" t="s">
        <v>112</v>
      </c>
      <c r="I829" s="8" t="str">
        <f t="shared" si="129"/>
        <v>Priya Menon</v>
      </c>
      <c r="J829" s="8" t="s">
        <v>93</v>
      </c>
      <c r="K829" s="8" t="str">
        <f t="shared" si="123"/>
        <v>Home Office</v>
      </c>
      <c r="L829" s="8" t="s">
        <v>52</v>
      </c>
      <c r="M829" s="8" t="str">
        <f t="shared" si="124"/>
        <v>South</v>
      </c>
      <c r="N829" s="8" t="s">
        <v>246</v>
      </c>
      <c r="O829" s="8" t="str">
        <f t="shared" si="125"/>
        <v>Tamil Nadu</v>
      </c>
      <c r="P829" s="8" t="s">
        <v>247</v>
      </c>
      <c r="Q829" s="8" t="str">
        <f t="shared" si="126"/>
        <v>Chennai</v>
      </c>
      <c r="R829" s="8" t="s">
        <v>26</v>
      </c>
      <c r="S829" s="8" t="str">
        <f t="shared" si="127"/>
        <v>Office Supplies</v>
      </c>
      <c r="T829" s="8" t="s">
        <v>27</v>
      </c>
      <c r="U829" s="8" t="str">
        <f t="shared" si="128"/>
        <v>Paper</v>
      </c>
      <c r="V829" s="8" t="s">
        <v>2590</v>
      </c>
    </row>
    <row r="830" spans="1:22">
      <c r="A830" s="8" t="s">
        <v>2591</v>
      </c>
      <c r="B830" s="8">
        <f t="shared" si="120"/>
        <v>1</v>
      </c>
      <c r="C830" s="8" t="str">
        <f t="shared" si="121"/>
        <v>Unique</v>
      </c>
      <c r="D830" s="9">
        <v>45940</v>
      </c>
      <c r="E830" s="8">
        <f t="shared" si="122"/>
        <v>31</v>
      </c>
      <c r="F830" s="10">
        <v>45971</v>
      </c>
      <c r="G830" s="8" t="s">
        <v>2592</v>
      </c>
      <c r="H830" s="8" t="s">
        <v>21</v>
      </c>
      <c r="I830" s="8" t="str">
        <f t="shared" si="129"/>
        <v>Karan Malhotra</v>
      </c>
      <c r="J830" s="8" t="s">
        <v>88</v>
      </c>
      <c r="K830" s="8" t="str">
        <f t="shared" si="123"/>
        <v>Corporate</v>
      </c>
      <c r="L830" s="8" t="s">
        <v>36</v>
      </c>
      <c r="M830" s="8" t="str">
        <f t="shared" si="124"/>
        <v>East</v>
      </c>
      <c r="N830" s="8" t="s">
        <v>37</v>
      </c>
      <c r="O830" s="8" t="str">
        <f t="shared" si="125"/>
        <v>Odisha</v>
      </c>
      <c r="P830" s="8" t="s">
        <v>38</v>
      </c>
      <c r="Q830" s="8" t="str">
        <f t="shared" si="126"/>
        <v>Bhubaneswar</v>
      </c>
      <c r="R830" s="8" t="s">
        <v>39</v>
      </c>
      <c r="S830" s="8" t="str">
        <f t="shared" si="127"/>
        <v>Furniture</v>
      </c>
      <c r="T830" s="8" t="s">
        <v>64</v>
      </c>
      <c r="U830" s="8" t="str">
        <f t="shared" si="128"/>
        <v>Chairs</v>
      </c>
      <c r="V830" s="8" t="s">
        <v>2593</v>
      </c>
    </row>
    <row r="831" spans="1:22">
      <c r="A831" s="8" t="s">
        <v>2594</v>
      </c>
      <c r="B831" s="8">
        <f t="shared" si="120"/>
        <v>1</v>
      </c>
      <c r="C831" s="8" t="str">
        <f t="shared" si="121"/>
        <v>Unique</v>
      </c>
      <c r="D831" s="9">
        <v>45348</v>
      </c>
      <c r="E831" s="8">
        <f t="shared" si="122"/>
        <v>2</v>
      </c>
      <c r="F831" s="10">
        <v>45350</v>
      </c>
      <c r="G831" s="8" t="s">
        <v>2595</v>
      </c>
      <c r="H831" s="8" t="s">
        <v>87</v>
      </c>
      <c r="I831" s="8" t="str">
        <f t="shared" si="129"/>
        <v>Aditi Sen</v>
      </c>
      <c r="J831" s="8" t="s">
        <v>35</v>
      </c>
      <c r="K831" s="8" t="str">
        <f t="shared" si="123"/>
        <v>Small Business</v>
      </c>
      <c r="L831" s="8" t="s">
        <v>61</v>
      </c>
      <c r="M831" s="8" t="str">
        <f t="shared" si="124"/>
        <v>West</v>
      </c>
      <c r="N831" s="8" t="s">
        <v>188</v>
      </c>
      <c r="O831" s="8" t="str">
        <f t="shared" si="125"/>
        <v>Goa</v>
      </c>
      <c r="P831" s="8" t="s">
        <v>189</v>
      </c>
      <c r="Q831" s="8" t="str">
        <f t="shared" si="126"/>
        <v>Panaji</v>
      </c>
      <c r="R831" s="8" t="s">
        <v>39</v>
      </c>
      <c r="S831" s="8" t="str">
        <f t="shared" si="127"/>
        <v>Furniture</v>
      </c>
      <c r="T831" s="8" t="s">
        <v>55</v>
      </c>
      <c r="U831" s="8" t="str">
        <f t="shared" si="128"/>
        <v>Furnishings</v>
      </c>
      <c r="V831" s="8" t="s">
        <v>2596</v>
      </c>
    </row>
    <row r="832" spans="1:22">
      <c r="A832" s="8" t="s">
        <v>2597</v>
      </c>
      <c r="B832" s="8">
        <f t="shared" si="120"/>
        <v>1</v>
      </c>
      <c r="C832" s="8" t="str">
        <f t="shared" si="121"/>
        <v>Unique</v>
      </c>
      <c r="D832" s="9">
        <v>45853</v>
      </c>
      <c r="E832" s="8">
        <f t="shared" si="122"/>
        <v>3</v>
      </c>
      <c r="F832" s="10">
        <v>45856</v>
      </c>
      <c r="G832" s="8" t="s">
        <v>2598</v>
      </c>
      <c r="H832" s="8" t="s">
        <v>87</v>
      </c>
      <c r="I832" s="8" t="str">
        <f t="shared" si="129"/>
        <v>Aditi Sen</v>
      </c>
      <c r="J832" s="8" t="s">
        <v>35</v>
      </c>
      <c r="K832" s="8" t="str">
        <f t="shared" si="123"/>
        <v>Small Business</v>
      </c>
      <c r="M832" s="8" t="str">
        <f t="shared" si="124"/>
        <v/>
      </c>
      <c r="N832" s="8" t="s">
        <v>246</v>
      </c>
      <c r="O832" s="8" t="str">
        <f t="shared" si="125"/>
        <v>Tamil Nadu</v>
      </c>
      <c r="P832" s="8" t="s">
        <v>247</v>
      </c>
      <c r="Q832" s="8" t="str">
        <f t="shared" si="126"/>
        <v>Chennai</v>
      </c>
      <c r="R832" s="8" t="s">
        <v>72</v>
      </c>
      <c r="S832" s="8" t="str">
        <f t="shared" si="127"/>
        <v>Technology</v>
      </c>
      <c r="T832" s="8" t="s">
        <v>273</v>
      </c>
      <c r="U832" s="8" t="str">
        <f t="shared" si="128"/>
        <v>Machines</v>
      </c>
      <c r="V832" s="8" t="s">
        <v>2599</v>
      </c>
    </row>
    <row r="833" spans="1:22">
      <c r="A833" s="8" t="s">
        <v>2600</v>
      </c>
      <c r="B833" s="8">
        <f t="shared" si="120"/>
        <v>1</v>
      </c>
      <c r="C833" s="8" t="str">
        <f t="shared" si="121"/>
        <v>Unique</v>
      </c>
      <c r="D833" s="9">
        <v>45750</v>
      </c>
      <c r="E833" s="8">
        <f t="shared" si="122"/>
        <v>-30</v>
      </c>
      <c r="F833" s="10">
        <v>45720</v>
      </c>
      <c r="G833" s="8" t="s">
        <v>2601</v>
      </c>
      <c r="H833" s="8" t="s">
        <v>160</v>
      </c>
      <c r="I833" s="8" t="str">
        <f t="shared" si="129"/>
        <v>Diya Patel</v>
      </c>
      <c r="J833" s="8" t="s">
        <v>93</v>
      </c>
      <c r="K833" s="8" t="str">
        <f t="shared" si="123"/>
        <v>Home Office</v>
      </c>
      <c r="M833" s="8" t="str">
        <f t="shared" si="124"/>
        <v/>
      </c>
      <c r="N833" s="8" t="s">
        <v>235</v>
      </c>
      <c r="O833" s="8" t="str">
        <f t="shared" si="125"/>
        <v>Haryana</v>
      </c>
      <c r="P833" s="8" t="s">
        <v>236</v>
      </c>
      <c r="Q833" s="8" t="str">
        <f t="shared" si="126"/>
        <v>Gurugram</v>
      </c>
      <c r="R833" s="8" t="s">
        <v>39</v>
      </c>
      <c r="S833" s="8" t="str">
        <f t="shared" si="127"/>
        <v>Furniture</v>
      </c>
      <c r="T833" s="8" t="s">
        <v>64</v>
      </c>
      <c r="U833" s="8" t="str">
        <f t="shared" si="128"/>
        <v>Chairs</v>
      </c>
      <c r="V833" s="8" t="s">
        <v>2602</v>
      </c>
    </row>
    <row r="834" spans="1:22">
      <c r="A834" s="8" t="s">
        <v>2603</v>
      </c>
      <c r="B834" s="8">
        <f t="shared" si="120"/>
        <v>1</v>
      </c>
      <c r="C834" s="8" t="str">
        <f t="shared" si="121"/>
        <v>Unique</v>
      </c>
      <c r="D834" s="9">
        <v>45803</v>
      </c>
      <c r="E834" s="8">
        <f t="shared" si="122"/>
        <v>2</v>
      </c>
      <c r="F834" s="10">
        <v>45805</v>
      </c>
      <c r="G834" s="8" t="s">
        <v>2604</v>
      </c>
      <c r="H834" s="8" t="s">
        <v>263</v>
      </c>
      <c r="I834" s="8" t="str">
        <f t="shared" si="129"/>
        <v>Kabir Singh</v>
      </c>
      <c r="J834" s="8" t="s">
        <v>35</v>
      </c>
      <c r="K834" s="8" t="str">
        <f t="shared" si="123"/>
        <v>Small Business</v>
      </c>
      <c r="L834" s="8" t="s">
        <v>52</v>
      </c>
      <c r="M834" s="8" t="str">
        <f t="shared" si="124"/>
        <v>South</v>
      </c>
      <c r="N834" s="8" t="s">
        <v>82</v>
      </c>
      <c r="O834" s="8" t="str">
        <f t="shared" si="125"/>
        <v>Andhra Pradesh</v>
      </c>
      <c r="P834" s="8" t="s">
        <v>83</v>
      </c>
      <c r="Q834" s="8" t="str">
        <f t="shared" si="126"/>
        <v>Vijayawada</v>
      </c>
      <c r="R834" s="8" t="s">
        <v>72</v>
      </c>
      <c r="S834" s="8" t="str">
        <f t="shared" si="127"/>
        <v>Technology</v>
      </c>
      <c r="T834" s="8" t="s">
        <v>169</v>
      </c>
      <c r="U834" s="8" t="str">
        <f t="shared" si="128"/>
        <v>Phones</v>
      </c>
      <c r="V834" s="8" t="s">
        <v>2605</v>
      </c>
    </row>
    <row r="835" spans="1:22">
      <c r="A835" s="8" t="s">
        <v>2606</v>
      </c>
      <c r="B835" s="8">
        <f t="shared" ref="B835:B898" si="130">COUNTIF($A:$A,A835)</f>
        <v>1</v>
      </c>
      <c r="C835" s="8" t="str">
        <f t="shared" ref="C835:C898" si="131">IF(B835&gt;1,"Review Duplicate ID","Unique")</f>
        <v>Unique</v>
      </c>
      <c r="D835" s="9">
        <v>45388</v>
      </c>
      <c r="E835" s="8">
        <f t="shared" ref="E835:E898" si="132">F835-D835</f>
        <v>59</v>
      </c>
      <c r="F835" s="10">
        <v>45447</v>
      </c>
      <c r="G835" s="8" t="s">
        <v>2607</v>
      </c>
      <c r="H835" s="8" t="s">
        <v>116</v>
      </c>
      <c r="I835" s="8" t="str">
        <f t="shared" si="129"/>
        <v>Rahul Verma</v>
      </c>
      <c r="J835" s="8" t="s">
        <v>93</v>
      </c>
      <c r="K835" s="8" t="str">
        <f t="shared" ref="K835:K898" si="133">PROPER(TRIM(J835))</f>
        <v>Home Office</v>
      </c>
      <c r="L835" s="8" t="s">
        <v>36</v>
      </c>
      <c r="M835" s="8" t="str">
        <f t="shared" ref="M835:M898" si="134">PROPER(TRIM(L835))</f>
        <v>East</v>
      </c>
      <c r="N835" s="8" t="s">
        <v>97</v>
      </c>
      <c r="O835" s="8" t="str">
        <f t="shared" ref="O835:O898" si="135">PROPER(TRIM(N835))</f>
        <v>West Bengal</v>
      </c>
      <c r="P835" s="8" t="s">
        <v>98</v>
      </c>
      <c r="Q835" s="8" t="str">
        <f t="shared" ref="Q835:Q898" si="136">PROPER(TRIM(P835))</f>
        <v>Kolkata</v>
      </c>
      <c r="R835" s="8" t="s">
        <v>39</v>
      </c>
      <c r="S835" s="8" t="str">
        <f t="shared" ref="S835:S898" si="137">PROPER(TRIM(R835))</f>
        <v>Furniture</v>
      </c>
      <c r="T835" s="8" t="s">
        <v>156</v>
      </c>
      <c r="U835" s="8" t="str">
        <f t="shared" ref="U835:U898" si="138">PROPER(TRIM(T835))</f>
        <v>Bookcases</v>
      </c>
      <c r="V835" s="8" t="s">
        <v>2608</v>
      </c>
    </row>
    <row r="836" spans="1:22">
      <c r="A836" s="8" t="s">
        <v>2609</v>
      </c>
      <c r="B836" s="8">
        <f t="shared" si="130"/>
        <v>1</v>
      </c>
      <c r="C836" s="8" t="str">
        <f t="shared" si="131"/>
        <v>Unique</v>
      </c>
      <c r="D836" s="9">
        <v>45583</v>
      </c>
      <c r="E836" s="8">
        <f t="shared" si="132"/>
        <v>4</v>
      </c>
      <c r="F836" s="10">
        <v>45587</v>
      </c>
      <c r="G836" s="8" t="s">
        <v>2610</v>
      </c>
      <c r="H836" s="8" t="s">
        <v>126</v>
      </c>
      <c r="I836" s="8" t="str">
        <f t="shared" ref="I836:I899" si="139">PROPER(TRIM(H836))</f>
        <v>Aarav Sharma</v>
      </c>
      <c r="J836" s="8" t="s">
        <v>93</v>
      </c>
      <c r="K836" s="8" t="str">
        <f t="shared" si="133"/>
        <v>Home Office</v>
      </c>
      <c r="L836" s="8" t="s">
        <v>52</v>
      </c>
      <c r="M836" s="8" t="str">
        <f t="shared" si="134"/>
        <v>South</v>
      </c>
      <c r="N836" s="8" t="s">
        <v>53</v>
      </c>
      <c r="O836" s="8" t="str">
        <f t="shared" si="135"/>
        <v>Telangana</v>
      </c>
      <c r="P836" s="8" t="s">
        <v>54</v>
      </c>
      <c r="Q836" s="8" t="str">
        <f t="shared" si="136"/>
        <v>Hyderabad</v>
      </c>
      <c r="R836" s="8" t="s">
        <v>26</v>
      </c>
      <c r="S836" s="8" t="str">
        <f t="shared" si="137"/>
        <v>Office Supplies</v>
      </c>
      <c r="T836" s="8" t="s">
        <v>46</v>
      </c>
      <c r="U836" s="8" t="str">
        <f t="shared" si="138"/>
        <v>Art</v>
      </c>
      <c r="V836" s="8" t="s">
        <v>2611</v>
      </c>
    </row>
    <row r="837" spans="1:22">
      <c r="A837" s="8" t="s">
        <v>2612</v>
      </c>
      <c r="B837" s="8">
        <f t="shared" si="130"/>
        <v>1</v>
      </c>
      <c r="C837" s="8" t="str">
        <f t="shared" si="131"/>
        <v>Unique</v>
      </c>
      <c r="D837" s="9">
        <v>45926</v>
      </c>
      <c r="E837" s="8">
        <f t="shared" si="132"/>
        <v>-169</v>
      </c>
      <c r="F837" s="10">
        <v>45757</v>
      </c>
      <c r="G837" s="8" t="s">
        <v>2613</v>
      </c>
      <c r="H837" s="8" t="s">
        <v>112</v>
      </c>
      <c r="I837" s="8" t="str">
        <f t="shared" si="139"/>
        <v>Priya Menon</v>
      </c>
      <c r="J837" s="8" t="s">
        <v>35</v>
      </c>
      <c r="K837" s="8" t="str">
        <f t="shared" si="133"/>
        <v>Small Business</v>
      </c>
      <c r="L837" s="8" t="s">
        <v>36</v>
      </c>
      <c r="M837" s="8" t="str">
        <f t="shared" si="134"/>
        <v>East</v>
      </c>
      <c r="N837" s="8" t="s">
        <v>164</v>
      </c>
      <c r="O837" s="8" t="str">
        <f t="shared" si="135"/>
        <v>Assam</v>
      </c>
      <c r="P837" s="8" t="s">
        <v>165</v>
      </c>
      <c r="Q837" s="8" t="str">
        <f t="shared" si="136"/>
        <v>Guwahati</v>
      </c>
      <c r="R837" s="8" t="s">
        <v>72</v>
      </c>
      <c r="S837" s="8" t="str">
        <f t="shared" si="137"/>
        <v>Technology</v>
      </c>
      <c r="T837" s="8" t="s">
        <v>169</v>
      </c>
      <c r="U837" s="8" t="str">
        <f t="shared" si="138"/>
        <v>Phones</v>
      </c>
      <c r="V837" s="8" t="s">
        <v>2614</v>
      </c>
    </row>
    <row r="838" spans="1:22">
      <c r="A838" s="8" t="s">
        <v>2615</v>
      </c>
      <c r="B838" s="8">
        <f t="shared" si="130"/>
        <v>1</v>
      </c>
      <c r="C838" s="8" t="str">
        <f t="shared" si="131"/>
        <v>Unique</v>
      </c>
      <c r="D838" s="9">
        <v>45641</v>
      </c>
      <c r="E838" s="8">
        <f t="shared" si="132"/>
        <v>3</v>
      </c>
      <c r="F838" s="10">
        <v>45644</v>
      </c>
      <c r="G838" s="8" t="s">
        <v>2616</v>
      </c>
      <c r="H838" s="8" t="s">
        <v>45</v>
      </c>
      <c r="I838" s="8" t="str">
        <f t="shared" si="139"/>
        <v>Isha Nair</v>
      </c>
      <c r="J838" s="8" t="s">
        <v>35</v>
      </c>
      <c r="K838" s="8" t="str">
        <f t="shared" si="133"/>
        <v>Small Business</v>
      </c>
      <c r="L838" s="8" t="s">
        <v>23</v>
      </c>
      <c r="M838" s="8" t="str">
        <f t="shared" si="134"/>
        <v>North</v>
      </c>
      <c r="N838" s="8" t="s">
        <v>24</v>
      </c>
      <c r="O838" s="8" t="str">
        <f t="shared" si="135"/>
        <v>Rajasthan</v>
      </c>
      <c r="P838" s="8" t="s">
        <v>25</v>
      </c>
      <c r="Q838" s="8" t="str">
        <f t="shared" si="136"/>
        <v>Jaipur</v>
      </c>
      <c r="R838" s="8" t="s">
        <v>26</v>
      </c>
      <c r="S838" s="8" t="str">
        <f t="shared" si="137"/>
        <v>Office Supplies</v>
      </c>
      <c r="T838" s="8" t="s">
        <v>89</v>
      </c>
      <c r="U838" s="8" t="str">
        <f t="shared" si="138"/>
        <v>Labels</v>
      </c>
      <c r="V838" s="8" t="s">
        <v>2617</v>
      </c>
    </row>
    <row r="839" spans="1:22">
      <c r="A839" s="8" t="s">
        <v>2618</v>
      </c>
      <c r="B839" s="8">
        <f t="shared" si="130"/>
        <v>1</v>
      </c>
      <c r="C839" s="8" t="str">
        <f t="shared" si="131"/>
        <v>Unique</v>
      </c>
      <c r="D839" s="9">
        <v>45927</v>
      </c>
      <c r="E839" s="8">
        <f t="shared" si="132"/>
        <v>1</v>
      </c>
      <c r="F839" s="10">
        <v>45928</v>
      </c>
      <c r="G839" s="8" t="s">
        <v>2619</v>
      </c>
      <c r="H839" s="8" t="s">
        <v>21</v>
      </c>
      <c r="I839" s="8" t="str">
        <f t="shared" si="139"/>
        <v>Karan Malhotra</v>
      </c>
      <c r="J839" s="8" t="s">
        <v>93</v>
      </c>
      <c r="K839" s="8" t="str">
        <f t="shared" si="133"/>
        <v>Home Office</v>
      </c>
      <c r="L839" s="8" t="s">
        <v>61</v>
      </c>
      <c r="M839" s="8" t="str">
        <f t="shared" si="134"/>
        <v>West</v>
      </c>
      <c r="N839" s="8" t="s">
        <v>62</v>
      </c>
      <c r="O839" s="8" t="str">
        <f t="shared" si="135"/>
        <v>Maharashtra</v>
      </c>
      <c r="P839" s="8" t="s">
        <v>63</v>
      </c>
      <c r="Q839" s="8" t="str">
        <f t="shared" si="136"/>
        <v>Mumbai</v>
      </c>
      <c r="R839" s="8" t="s">
        <v>26</v>
      </c>
      <c r="S839" s="8" t="str">
        <f t="shared" si="137"/>
        <v>Office Supplies</v>
      </c>
      <c r="T839" s="8" t="s">
        <v>27</v>
      </c>
      <c r="U839" s="8" t="str">
        <f t="shared" si="138"/>
        <v>Paper</v>
      </c>
      <c r="V839" s="8" t="s">
        <v>2620</v>
      </c>
    </row>
    <row r="840" spans="1:22">
      <c r="A840" s="8" t="s">
        <v>2621</v>
      </c>
      <c r="B840" s="8">
        <f t="shared" si="130"/>
        <v>1</v>
      </c>
      <c r="C840" s="8" t="str">
        <f t="shared" si="131"/>
        <v>Unique</v>
      </c>
      <c r="D840" s="9">
        <v>45750</v>
      </c>
      <c r="E840" s="8">
        <f t="shared" si="132"/>
        <v>92</v>
      </c>
      <c r="F840" s="10">
        <v>45842</v>
      </c>
      <c r="G840" s="8" t="s">
        <v>2622</v>
      </c>
      <c r="H840" s="8" t="s">
        <v>60</v>
      </c>
      <c r="I840" s="8" t="str">
        <f t="shared" si="139"/>
        <v>Ananya Rao</v>
      </c>
      <c r="J840" s="8" t="s">
        <v>35</v>
      </c>
      <c r="K840" s="8" t="str">
        <f t="shared" si="133"/>
        <v>Small Business</v>
      </c>
      <c r="L840" s="8" t="s">
        <v>61</v>
      </c>
      <c r="M840" s="8" t="str">
        <f t="shared" si="134"/>
        <v>West</v>
      </c>
      <c r="N840" s="8" t="s">
        <v>188</v>
      </c>
      <c r="O840" s="8" t="str">
        <f t="shared" si="135"/>
        <v>Goa</v>
      </c>
      <c r="P840" s="8" t="s">
        <v>189</v>
      </c>
      <c r="Q840" s="8" t="str">
        <f t="shared" si="136"/>
        <v>Panaji</v>
      </c>
      <c r="R840" s="8" t="s">
        <v>26</v>
      </c>
      <c r="S840" s="8" t="str">
        <f t="shared" si="137"/>
        <v>Office Supplies</v>
      </c>
      <c r="T840" s="8" t="s">
        <v>27</v>
      </c>
      <c r="U840" s="8" t="str">
        <f t="shared" si="138"/>
        <v>Paper</v>
      </c>
      <c r="V840" s="8" t="s">
        <v>2623</v>
      </c>
    </row>
    <row r="841" spans="1:22">
      <c r="A841" s="8" t="s">
        <v>2624</v>
      </c>
      <c r="B841" s="8">
        <f t="shared" si="130"/>
        <v>1</v>
      </c>
      <c r="C841" s="8" t="str">
        <f t="shared" si="131"/>
        <v>Unique</v>
      </c>
      <c r="D841" s="9">
        <v>45555</v>
      </c>
      <c r="E841" s="8">
        <f t="shared" si="132"/>
        <v>2</v>
      </c>
      <c r="F841" s="10">
        <v>45557</v>
      </c>
      <c r="G841" s="8" t="s">
        <v>2625</v>
      </c>
      <c r="H841" s="8" t="s">
        <v>139</v>
      </c>
      <c r="I841" s="8" t="str">
        <f t="shared" si="139"/>
        <v>Rohan Mehta</v>
      </c>
      <c r="J841" s="8" t="s">
        <v>93</v>
      </c>
      <c r="K841" s="8" t="str">
        <f t="shared" si="133"/>
        <v>Home Office</v>
      </c>
      <c r="L841" s="8" t="s">
        <v>36</v>
      </c>
      <c r="M841" s="8" t="str">
        <f t="shared" si="134"/>
        <v>East</v>
      </c>
      <c r="N841" s="8" t="s">
        <v>37</v>
      </c>
      <c r="O841" s="8" t="str">
        <f t="shared" si="135"/>
        <v>Odisha</v>
      </c>
      <c r="P841" s="8" t="s">
        <v>38</v>
      </c>
      <c r="Q841" s="8" t="str">
        <f t="shared" si="136"/>
        <v>Bhubaneswar</v>
      </c>
      <c r="R841" s="8" t="s">
        <v>72</v>
      </c>
      <c r="S841" s="8" t="str">
        <f t="shared" si="137"/>
        <v>Technology</v>
      </c>
      <c r="T841" s="8" t="s">
        <v>169</v>
      </c>
      <c r="U841" s="8" t="str">
        <f t="shared" si="138"/>
        <v>Phones</v>
      </c>
      <c r="V841" s="8" t="s">
        <v>2626</v>
      </c>
    </row>
    <row r="842" spans="1:22">
      <c r="A842" s="8" t="s">
        <v>2627</v>
      </c>
      <c r="B842" s="8">
        <f t="shared" si="130"/>
        <v>1</v>
      </c>
      <c r="C842" s="8" t="str">
        <f t="shared" si="131"/>
        <v>Unique</v>
      </c>
      <c r="D842" s="9">
        <v>45919</v>
      </c>
      <c r="E842" s="8">
        <f t="shared" si="132"/>
        <v>0</v>
      </c>
      <c r="F842" s="10">
        <v>45919</v>
      </c>
      <c r="G842" s="8" t="s">
        <v>2628</v>
      </c>
      <c r="H842" s="8" t="s">
        <v>77</v>
      </c>
      <c r="I842" s="8" t="str">
        <f t="shared" si="139"/>
        <v>Neha Gupta</v>
      </c>
      <c r="J842" s="8" t="s">
        <v>93</v>
      </c>
      <c r="K842" s="8" t="str">
        <f t="shared" si="133"/>
        <v>Home Office</v>
      </c>
      <c r="L842" s="8" t="s">
        <v>23</v>
      </c>
      <c r="M842" s="8" t="str">
        <f t="shared" si="134"/>
        <v>North</v>
      </c>
      <c r="N842" s="8" t="s">
        <v>349</v>
      </c>
      <c r="O842" s="8" t="str">
        <f t="shared" si="135"/>
        <v>Delhi</v>
      </c>
      <c r="P842" s="8" t="s">
        <v>350</v>
      </c>
      <c r="Q842" s="8" t="str">
        <f t="shared" si="136"/>
        <v>New Delhi</v>
      </c>
      <c r="R842" s="8" t="s">
        <v>39</v>
      </c>
      <c r="S842" s="8" t="str">
        <f t="shared" si="137"/>
        <v>Furniture</v>
      </c>
      <c r="T842" s="8" t="s">
        <v>64</v>
      </c>
      <c r="U842" s="8" t="str">
        <f t="shared" si="138"/>
        <v>Chairs</v>
      </c>
      <c r="V842" s="8" t="s">
        <v>2629</v>
      </c>
    </row>
    <row r="843" spans="1:22">
      <c r="A843" s="8" t="s">
        <v>2630</v>
      </c>
      <c r="B843" s="8">
        <f t="shared" si="130"/>
        <v>1</v>
      </c>
      <c r="C843" s="8" t="str">
        <f t="shared" si="131"/>
        <v>Unique</v>
      </c>
      <c r="D843" s="9">
        <v>45810</v>
      </c>
      <c r="E843" s="8">
        <f t="shared" si="132"/>
        <v>183</v>
      </c>
      <c r="F843" s="10">
        <v>45993</v>
      </c>
      <c r="G843" s="8" t="s">
        <v>2631</v>
      </c>
      <c r="H843" s="8" t="s">
        <v>60</v>
      </c>
      <c r="I843" s="8" t="str">
        <f t="shared" si="139"/>
        <v>Ananya Rao</v>
      </c>
      <c r="J843" s="8" t="s">
        <v>35</v>
      </c>
      <c r="K843" s="8" t="str">
        <f t="shared" si="133"/>
        <v>Small Business</v>
      </c>
      <c r="L843" s="8" t="s">
        <v>36</v>
      </c>
      <c r="M843" s="8" t="str">
        <f t="shared" si="134"/>
        <v>East</v>
      </c>
      <c r="N843" s="8" t="s">
        <v>143</v>
      </c>
      <c r="O843" s="8" t="str">
        <f t="shared" si="135"/>
        <v>Bihar</v>
      </c>
      <c r="P843" s="8" t="s">
        <v>144</v>
      </c>
      <c r="Q843" s="8" t="str">
        <f t="shared" si="136"/>
        <v>Patna</v>
      </c>
      <c r="R843" s="8" t="s">
        <v>26</v>
      </c>
      <c r="S843" s="8" t="str">
        <f t="shared" si="137"/>
        <v>Office Supplies</v>
      </c>
      <c r="T843" s="8" t="s">
        <v>46</v>
      </c>
      <c r="U843" s="8" t="str">
        <f t="shared" si="138"/>
        <v>Art</v>
      </c>
      <c r="V843" s="8" t="s">
        <v>2632</v>
      </c>
    </row>
    <row r="844" spans="1:22">
      <c r="A844" s="8" t="s">
        <v>2633</v>
      </c>
      <c r="B844" s="8">
        <f t="shared" si="130"/>
        <v>1</v>
      </c>
      <c r="C844" s="8" t="str">
        <f t="shared" si="131"/>
        <v>Unique</v>
      </c>
      <c r="D844" s="9">
        <v>45382</v>
      </c>
      <c r="E844" s="8">
        <f t="shared" si="132"/>
        <v>-1</v>
      </c>
      <c r="F844" s="10">
        <v>45381</v>
      </c>
      <c r="G844" s="8" t="s">
        <v>2634</v>
      </c>
      <c r="H844" s="8" t="s">
        <v>2635</v>
      </c>
      <c r="I844" s="8" t="str">
        <f t="shared" si="139"/>
        <v>Kabir Singh</v>
      </c>
      <c r="J844" s="8" t="s">
        <v>22</v>
      </c>
      <c r="K844" s="8" t="str">
        <f t="shared" si="133"/>
        <v>Consumer</v>
      </c>
      <c r="L844" s="8" t="s">
        <v>23</v>
      </c>
      <c r="M844" s="8" t="str">
        <f t="shared" si="134"/>
        <v>North</v>
      </c>
      <c r="N844" s="8" t="s">
        <v>235</v>
      </c>
      <c r="O844" s="8" t="str">
        <f t="shared" si="135"/>
        <v>Haryana</v>
      </c>
      <c r="P844" s="8" t="s">
        <v>236</v>
      </c>
      <c r="Q844" s="8" t="str">
        <f t="shared" si="136"/>
        <v>Gurugram</v>
      </c>
      <c r="R844" s="8" t="s">
        <v>72</v>
      </c>
      <c r="S844" s="8" t="str">
        <f t="shared" si="137"/>
        <v>Technology</v>
      </c>
      <c r="T844" s="8" t="s">
        <v>273</v>
      </c>
      <c r="U844" s="8" t="str">
        <f t="shared" si="138"/>
        <v>Machines</v>
      </c>
      <c r="V844" s="8" t="s">
        <v>2636</v>
      </c>
    </row>
    <row r="845" spans="1:22">
      <c r="A845" s="8" t="s">
        <v>2637</v>
      </c>
      <c r="B845" s="8">
        <f t="shared" si="130"/>
        <v>1</v>
      </c>
      <c r="C845" s="8" t="str">
        <f t="shared" si="131"/>
        <v>Unique</v>
      </c>
      <c r="D845" s="9">
        <v>45856</v>
      </c>
      <c r="E845" s="8">
        <f t="shared" si="132"/>
        <v>7</v>
      </c>
      <c r="F845" s="10">
        <v>45863</v>
      </c>
      <c r="G845" s="8" t="s">
        <v>2638</v>
      </c>
      <c r="H845" s="8" t="s">
        <v>112</v>
      </c>
      <c r="I845" s="8" t="str">
        <f t="shared" si="139"/>
        <v>Priya Menon</v>
      </c>
      <c r="J845" s="8" t="s">
        <v>35</v>
      </c>
      <c r="K845" s="8" t="str">
        <f t="shared" si="133"/>
        <v>Small Business</v>
      </c>
      <c r="L845" s="8" t="s">
        <v>23</v>
      </c>
      <c r="M845" s="8" t="str">
        <f t="shared" si="134"/>
        <v>North</v>
      </c>
      <c r="N845" s="8" t="s">
        <v>134</v>
      </c>
      <c r="O845" s="8" t="str">
        <f t="shared" si="135"/>
        <v>Uttar Pradesh</v>
      </c>
      <c r="P845" s="8" t="s">
        <v>135</v>
      </c>
      <c r="Q845" s="8" t="str">
        <f t="shared" si="136"/>
        <v>Noida</v>
      </c>
      <c r="R845" s="8" t="s">
        <v>72</v>
      </c>
      <c r="S845" s="8" t="str">
        <f t="shared" si="137"/>
        <v>Technology</v>
      </c>
      <c r="T845" s="8" t="s">
        <v>169</v>
      </c>
      <c r="U845" s="8" t="str">
        <f t="shared" si="138"/>
        <v>Phones</v>
      </c>
      <c r="V845" s="8" t="s">
        <v>2639</v>
      </c>
    </row>
    <row r="846" spans="1:22">
      <c r="A846" s="8" t="s">
        <v>2640</v>
      </c>
      <c r="B846" s="8">
        <f t="shared" si="130"/>
        <v>1</v>
      </c>
      <c r="C846" s="8" t="str">
        <f t="shared" si="131"/>
        <v>Unique</v>
      </c>
      <c r="D846" s="9">
        <v>45677</v>
      </c>
      <c r="E846" s="8">
        <f t="shared" si="132"/>
        <v>5</v>
      </c>
      <c r="F846" s="10">
        <v>45682</v>
      </c>
      <c r="G846" s="8" t="s">
        <v>2641</v>
      </c>
      <c r="H846" s="8" t="s">
        <v>87</v>
      </c>
      <c r="I846" s="8" t="str">
        <f t="shared" si="139"/>
        <v>Aditi Sen</v>
      </c>
      <c r="J846" s="8" t="s">
        <v>93</v>
      </c>
      <c r="K846" s="8" t="str">
        <f t="shared" si="133"/>
        <v>Home Office</v>
      </c>
      <c r="L846" s="8" t="s">
        <v>61</v>
      </c>
      <c r="M846" s="8" t="str">
        <f t="shared" si="134"/>
        <v>West</v>
      </c>
      <c r="N846" s="8" t="s">
        <v>188</v>
      </c>
      <c r="O846" s="8" t="str">
        <f t="shared" si="135"/>
        <v>Goa</v>
      </c>
      <c r="P846" s="8" t="s">
        <v>189</v>
      </c>
      <c r="Q846" s="8" t="str">
        <f t="shared" si="136"/>
        <v>Panaji</v>
      </c>
      <c r="R846" s="8" t="s">
        <v>26</v>
      </c>
      <c r="S846" s="8" t="str">
        <f t="shared" si="137"/>
        <v>Office Supplies</v>
      </c>
      <c r="T846" s="8" t="s">
        <v>46</v>
      </c>
      <c r="U846" s="8" t="str">
        <f t="shared" si="138"/>
        <v>Art</v>
      </c>
      <c r="V846" s="8" t="s">
        <v>2642</v>
      </c>
    </row>
    <row r="847" spans="1:22">
      <c r="A847" s="8" t="s">
        <v>2643</v>
      </c>
      <c r="B847" s="8">
        <f t="shared" si="130"/>
        <v>1</v>
      </c>
      <c r="C847" s="8" t="str">
        <f t="shared" si="131"/>
        <v>Unique</v>
      </c>
      <c r="D847" s="9">
        <v>45345</v>
      </c>
      <c r="E847" s="8">
        <f t="shared" si="132"/>
        <v>4</v>
      </c>
      <c r="F847" s="10">
        <v>45349</v>
      </c>
      <c r="G847" s="8" t="s">
        <v>597</v>
      </c>
      <c r="H847" s="8" t="s">
        <v>21</v>
      </c>
      <c r="I847" s="8" t="str">
        <f t="shared" si="139"/>
        <v>Karan Malhotra</v>
      </c>
      <c r="J847" s="8" t="s">
        <v>22</v>
      </c>
      <c r="K847" s="8" t="str">
        <f t="shared" si="133"/>
        <v>Consumer</v>
      </c>
      <c r="L847" s="8" t="s">
        <v>36</v>
      </c>
      <c r="M847" s="8" t="str">
        <f t="shared" si="134"/>
        <v>East</v>
      </c>
      <c r="N847" s="8" t="s">
        <v>37</v>
      </c>
      <c r="O847" s="8" t="str">
        <f t="shared" si="135"/>
        <v>Odisha</v>
      </c>
      <c r="P847" s="8" t="s">
        <v>38</v>
      </c>
      <c r="Q847" s="8" t="str">
        <f t="shared" si="136"/>
        <v>Bhubaneswar</v>
      </c>
      <c r="R847" s="8" t="s">
        <v>39</v>
      </c>
      <c r="S847" s="8" t="str">
        <f t="shared" si="137"/>
        <v>Furniture</v>
      </c>
      <c r="T847" s="8" t="s">
        <v>40</v>
      </c>
      <c r="U847" s="8" t="str">
        <f t="shared" si="138"/>
        <v>Tables</v>
      </c>
      <c r="V847" s="8" t="s">
        <v>2644</v>
      </c>
    </row>
    <row r="848" spans="1:22">
      <c r="A848" s="8" t="s">
        <v>2645</v>
      </c>
      <c r="B848" s="8">
        <f t="shared" si="130"/>
        <v>1</v>
      </c>
      <c r="C848" s="8" t="str">
        <f t="shared" si="131"/>
        <v>Unique</v>
      </c>
      <c r="D848" s="9">
        <v>45396</v>
      </c>
      <c r="E848" s="8">
        <f t="shared" si="132"/>
        <v>8</v>
      </c>
      <c r="F848" s="10">
        <v>45404</v>
      </c>
      <c r="G848" s="8" t="s">
        <v>2646</v>
      </c>
      <c r="H848" s="8" t="s">
        <v>112</v>
      </c>
      <c r="I848" s="8" t="str">
        <f t="shared" si="139"/>
        <v>Priya Menon</v>
      </c>
      <c r="J848" s="8" t="s">
        <v>35</v>
      </c>
      <c r="K848" s="8" t="str">
        <f t="shared" si="133"/>
        <v>Small Business</v>
      </c>
      <c r="L848" s="8" t="s">
        <v>61</v>
      </c>
      <c r="M848" s="8" t="str">
        <f t="shared" si="134"/>
        <v>West</v>
      </c>
      <c r="N848" s="8" t="s">
        <v>178</v>
      </c>
      <c r="O848" s="8" t="str">
        <f t="shared" si="135"/>
        <v>Gujarat</v>
      </c>
      <c r="P848" s="8" t="s">
        <v>179</v>
      </c>
      <c r="Q848" s="8" t="str">
        <f t="shared" si="136"/>
        <v>Ahmedabad</v>
      </c>
      <c r="R848" s="8" t="s">
        <v>39</v>
      </c>
      <c r="S848" s="8" t="str">
        <f t="shared" si="137"/>
        <v>Furniture</v>
      </c>
      <c r="T848" s="8" t="s">
        <v>156</v>
      </c>
      <c r="U848" s="8" t="str">
        <f t="shared" si="138"/>
        <v>Bookcases</v>
      </c>
      <c r="V848" s="8" t="s">
        <v>2647</v>
      </c>
    </row>
    <row r="849" spans="1:22">
      <c r="A849" s="8" t="s">
        <v>2648</v>
      </c>
      <c r="B849" s="8">
        <f t="shared" si="130"/>
        <v>1</v>
      </c>
      <c r="C849" s="8" t="str">
        <f t="shared" si="131"/>
        <v>Unique</v>
      </c>
      <c r="D849" s="9">
        <v>45797</v>
      </c>
      <c r="E849" s="8">
        <f t="shared" si="132"/>
        <v>2</v>
      </c>
      <c r="F849" s="10">
        <v>45799</v>
      </c>
      <c r="G849" s="8" t="s">
        <v>2649</v>
      </c>
      <c r="H849" s="8" t="s">
        <v>160</v>
      </c>
      <c r="I849" s="8" t="str">
        <f t="shared" si="139"/>
        <v>Diya Patel</v>
      </c>
      <c r="J849" s="8" t="s">
        <v>93</v>
      </c>
      <c r="K849" s="8" t="str">
        <f t="shared" si="133"/>
        <v>Home Office</v>
      </c>
      <c r="L849" s="8" t="s">
        <v>36</v>
      </c>
      <c r="M849" s="8" t="str">
        <f t="shared" si="134"/>
        <v>East</v>
      </c>
      <c r="N849" s="8" t="s">
        <v>37</v>
      </c>
      <c r="O849" s="8" t="str">
        <f t="shared" si="135"/>
        <v>Odisha</v>
      </c>
      <c r="P849" s="8" t="s">
        <v>38</v>
      </c>
      <c r="Q849" s="8" t="str">
        <f t="shared" si="136"/>
        <v>Bhubaneswar</v>
      </c>
      <c r="R849" s="8" t="s">
        <v>39</v>
      </c>
      <c r="S849" s="8" t="str">
        <f t="shared" si="137"/>
        <v>Furniture</v>
      </c>
      <c r="T849" s="8" t="s">
        <v>40</v>
      </c>
      <c r="U849" s="8" t="str">
        <f t="shared" si="138"/>
        <v>Tables</v>
      </c>
      <c r="V849" s="8" t="s">
        <v>2650</v>
      </c>
    </row>
    <row r="850" spans="1:22">
      <c r="A850" s="8" t="s">
        <v>2651</v>
      </c>
      <c r="B850" s="8">
        <f t="shared" si="130"/>
        <v>1</v>
      </c>
      <c r="C850" s="8" t="str">
        <f t="shared" si="131"/>
        <v>Unique</v>
      </c>
      <c r="D850" s="9">
        <v>45804</v>
      </c>
      <c r="E850" s="8">
        <f t="shared" si="132"/>
        <v>2</v>
      </c>
      <c r="F850" s="10">
        <v>45806</v>
      </c>
      <c r="G850" s="8" t="s">
        <v>2652</v>
      </c>
      <c r="H850" s="8" t="s">
        <v>116</v>
      </c>
      <c r="I850" s="8" t="str">
        <f t="shared" si="139"/>
        <v>Rahul Verma</v>
      </c>
      <c r="J850" s="8" t="s">
        <v>93</v>
      </c>
      <c r="K850" s="8" t="str">
        <f t="shared" si="133"/>
        <v>Home Office</v>
      </c>
      <c r="L850" s="8" t="s">
        <v>52</v>
      </c>
      <c r="M850" s="8" t="str">
        <f t="shared" si="134"/>
        <v>South</v>
      </c>
      <c r="N850" s="8" t="s">
        <v>246</v>
      </c>
      <c r="O850" s="8" t="str">
        <f t="shared" si="135"/>
        <v>Tamil Nadu</v>
      </c>
      <c r="P850" s="8" t="s">
        <v>247</v>
      </c>
      <c r="Q850" s="8" t="str">
        <f t="shared" si="136"/>
        <v>Chennai</v>
      </c>
      <c r="R850" s="8" t="s">
        <v>39</v>
      </c>
      <c r="S850" s="8" t="str">
        <f t="shared" si="137"/>
        <v>Furniture</v>
      </c>
      <c r="T850" s="8" t="s">
        <v>55</v>
      </c>
      <c r="U850" s="8" t="str">
        <f t="shared" si="138"/>
        <v>Furnishings</v>
      </c>
      <c r="V850" s="8" t="s">
        <v>2653</v>
      </c>
    </row>
    <row r="851" spans="1:22">
      <c r="A851" s="8" t="s">
        <v>2654</v>
      </c>
      <c r="B851" s="8">
        <f t="shared" si="130"/>
        <v>2</v>
      </c>
      <c r="C851" s="8" t="str">
        <f t="shared" si="131"/>
        <v>Review Duplicate ID</v>
      </c>
      <c r="D851" s="9">
        <v>45446</v>
      </c>
      <c r="E851" s="8">
        <f t="shared" si="132"/>
        <v>183</v>
      </c>
      <c r="F851" s="10">
        <v>45629</v>
      </c>
      <c r="G851" s="8" t="s">
        <v>2655</v>
      </c>
      <c r="H851" s="8" t="s">
        <v>45</v>
      </c>
      <c r="I851" s="8" t="str">
        <f t="shared" si="139"/>
        <v>Isha Nair</v>
      </c>
      <c r="J851" s="8" t="s">
        <v>93</v>
      </c>
      <c r="K851" s="8" t="str">
        <f t="shared" si="133"/>
        <v>Home Office</v>
      </c>
      <c r="L851" s="8" t="s">
        <v>61</v>
      </c>
      <c r="M851" s="8" t="str">
        <f t="shared" si="134"/>
        <v>West</v>
      </c>
      <c r="N851" s="8" t="s">
        <v>178</v>
      </c>
      <c r="O851" s="8" t="str">
        <f t="shared" si="135"/>
        <v>Gujarat</v>
      </c>
      <c r="P851" s="8" t="s">
        <v>179</v>
      </c>
      <c r="Q851" s="8" t="str">
        <f t="shared" si="136"/>
        <v>Ahmedabad</v>
      </c>
      <c r="R851" s="8" t="s">
        <v>39</v>
      </c>
      <c r="S851" s="8" t="str">
        <f t="shared" si="137"/>
        <v>Furniture</v>
      </c>
      <c r="T851" s="8" t="s">
        <v>156</v>
      </c>
      <c r="U851" s="8" t="str">
        <f t="shared" si="138"/>
        <v>Bookcases</v>
      </c>
      <c r="V851" s="8" t="s">
        <v>2656</v>
      </c>
    </row>
    <row r="852" spans="1:22">
      <c r="A852" s="8" t="s">
        <v>2657</v>
      </c>
      <c r="B852" s="8">
        <f t="shared" si="130"/>
        <v>1</v>
      </c>
      <c r="C852" s="8" t="str">
        <f t="shared" si="131"/>
        <v>Unique</v>
      </c>
      <c r="D852" s="9">
        <v>45473</v>
      </c>
      <c r="E852" s="8">
        <f t="shared" si="132"/>
        <v>-115</v>
      </c>
      <c r="F852" s="10">
        <v>45358</v>
      </c>
      <c r="G852" s="8" t="s">
        <v>2658</v>
      </c>
      <c r="H852" s="8" t="s">
        <v>112</v>
      </c>
      <c r="I852" s="8" t="str">
        <f t="shared" si="139"/>
        <v>Priya Menon</v>
      </c>
      <c r="J852" s="8" t="s">
        <v>93</v>
      </c>
      <c r="K852" s="8" t="str">
        <f t="shared" si="133"/>
        <v>Home Office</v>
      </c>
      <c r="L852" s="8" t="s">
        <v>36</v>
      </c>
      <c r="M852" s="8" t="str">
        <f t="shared" si="134"/>
        <v>East</v>
      </c>
      <c r="N852" s="8" t="s">
        <v>97</v>
      </c>
      <c r="O852" s="8" t="str">
        <f t="shared" si="135"/>
        <v>West Bengal</v>
      </c>
      <c r="P852" s="8" t="s">
        <v>98</v>
      </c>
      <c r="Q852" s="8" t="str">
        <f t="shared" si="136"/>
        <v>Kolkata</v>
      </c>
      <c r="R852" s="8" t="s">
        <v>26</v>
      </c>
      <c r="S852" s="8" t="str">
        <f t="shared" si="137"/>
        <v>Office Supplies</v>
      </c>
      <c r="T852" s="8" t="s">
        <v>27</v>
      </c>
      <c r="U852" s="8" t="str">
        <f t="shared" si="138"/>
        <v>Paper</v>
      </c>
      <c r="V852" s="8" t="s">
        <v>2659</v>
      </c>
    </row>
    <row r="853" spans="1:22">
      <c r="A853" s="8" t="s">
        <v>2660</v>
      </c>
      <c r="B853" s="8">
        <f t="shared" si="130"/>
        <v>1</v>
      </c>
      <c r="C853" s="8" t="str">
        <f t="shared" si="131"/>
        <v>Unique</v>
      </c>
      <c r="D853" s="9">
        <v>45377</v>
      </c>
      <c r="E853" s="8">
        <f t="shared" si="132"/>
        <v>-82</v>
      </c>
      <c r="F853" s="10">
        <v>45295</v>
      </c>
      <c r="G853" s="8" t="s">
        <v>2661</v>
      </c>
      <c r="H853" s="8" t="s">
        <v>21</v>
      </c>
      <c r="I853" s="8" t="str">
        <f t="shared" si="139"/>
        <v>Karan Malhotra</v>
      </c>
      <c r="J853" s="8" t="s">
        <v>35</v>
      </c>
      <c r="K853" s="8" t="str">
        <f t="shared" si="133"/>
        <v>Small Business</v>
      </c>
      <c r="L853" s="8" t="s">
        <v>61</v>
      </c>
      <c r="M853" s="8" t="str">
        <f t="shared" si="134"/>
        <v>West</v>
      </c>
      <c r="N853" s="8" t="s">
        <v>178</v>
      </c>
      <c r="O853" s="8" t="str">
        <f t="shared" si="135"/>
        <v>Gujarat</v>
      </c>
      <c r="P853" s="8" t="s">
        <v>179</v>
      </c>
      <c r="Q853" s="8" t="str">
        <f t="shared" si="136"/>
        <v>Ahmedabad</v>
      </c>
      <c r="R853" s="8" t="s">
        <v>72</v>
      </c>
      <c r="S853" s="8" t="str">
        <f t="shared" si="137"/>
        <v>Technology</v>
      </c>
      <c r="T853" s="8" t="s">
        <v>73</v>
      </c>
      <c r="U853" s="8" t="str">
        <f t="shared" si="138"/>
        <v>Accessories</v>
      </c>
      <c r="V853" s="8" t="s">
        <v>2662</v>
      </c>
    </row>
    <row r="854" spans="1:22">
      <c r="A854" s="8" t="s">
        <v>2663</v>
      </c>
      <c r="B854" s="8">
        <f t="shared" si="130"/>
        <v>1</v>
      </c>
      <c r="C854" s="8" t="str">
        <f t="shared" si="131"/>
        <v>Unique</v>
      </c>
      <c r="D854" s="9">
        <v>45295</v>
      </c>
      <c r="E854" s="8">
        <f t="shared" si="132"/>
        <v>213</v>
      </c>
      <c r="F854" s="10">
        <v>45508</v>
      </c>
      <c r="G854" s="8" t="s">
        <v>2664</v>
      </c>
      <c r="H854" s="8" t="s">
        <v>60</v>
      </c>
      <c r="I854" s="8" t="str">
        <f t="shared" si="139"/>
        <v>Ananya Rao</v>
      </c>
      <c r="J854" s="8" t="s">
        <v>22</v>
      </c>
      <c r="K854" s="8" t="str">
        <f t="shared" si="133"/>
        <v>Consumer</v>
      </c>
      <c r="L854" s="8" t="s">
        <v>36</v>
      </c>
      <c r="M854" s="8" t="str">
        <f t="shared" si="134"/>
        <v>East</v>
      </c>
      <c r="N854" s="8" t="s">
        <v>164</v>
      </c>
      <c r="O854" s="8" t="str">
        <f t="shared" si="135"/>
        <v>Assam</v>
      </c>
      <c r="P854" s="8" t="s">
        <v>165</v>
      </c>
      <c r="Q854" s="8" t="str">
        <f t="shared" si="136"/>
        <v>Guwahati</v>
      </c>
      <c r="R854" s="8" t="s">
        <v>39</v>
      </c>
      <c r="S854" s="8" t="str">
        <f t="shared" si="137"/>
        <v>Furniture</v>
      </c>
      <c r="T854" s="8" t="s">
        <v>40</v>
      </c>
      <c r="U854" s="8" t="str">
        <f t="shared" si="138"/>
        <v>Tables</v>
      </c>
      <c r="V854" s="8" t="s">
        <v>2665</v>
      </c>
    </row>
    <row r="855" spans="1:22">
      <c r="A855" s="8" t="s">
        <v>2666</v>
      </c>
      <c r="B855" s="8">
        <f t="shared" si="130"/>
        <v>1</v>
      </c>
      <c r="C855" s="8" t="str">
        <f t="shared" si="131"/>
        <v>Unique</v>
      </c>
      <c r="D855" s="9">
        <v>45793</v>
      </c>
      <c r="E855" s="8">
        <f t="shared" si="132"/>
        <v>6</v>
      </c>
      <c r="F855" s="10">
        <v>45799</v>
      </c>
      <c r="G855" s="8" t="s">
        <v>2667</v>
      </c>
      <c r="H855" s="8" t="s">
        <v>51</v>
      </c>
      <c r="I855" s="8" t="str">
        <f t="shared" si="139"/>
        <v>Arjun Bose</v>
      </c>
      <c r="J855" s="8" t="s">
        <v>88</v>
      </c>
      <c r="K855" s="8" t="str">
        <f t="shared" si="133"/>
        <v>Corporate</v>
      </c>
      <c r="L855" s="8" t="s">
        <v>52</v>
      </c>
      <c r="M855" s="8" t="str">
        <f t="shared" si="134"/>
        <v>South</v>
      </c>
      <c r="N855" s="8" t="s">
        <v>246</v>
      </c>
      <c r="O855" s="8" t="str">
        <f t="shared" si="135"/>
        <v>Tamil Nadu</v>
      </c>
      <c r="P855" s="8" t="s">
        <v>247</v>
      </c>
      <c r="Q855" s="8" t="str">
        <f t="shared" si="136"/>
        <v>Chennai</v>
      </c>
      <c r="R855" s="8" t="s">
        <v>72</v>
      </c>
      <c r="S855" s="8" t="str">
        <f t="shared" si="137"/>
        <v>Technology</v>
      </c>
      <c r="T855" s="8" t="s">
        <v>73</v>
      </c>
      <c r="U855" s="8" t="str">
        <f t="shared" si="138"/>
        <v>Accessories</v>
      </c>
      <c r="V855" s="8" t="s">
        <v>2668</v>
      </c>
    </row>
    <row r="856" spans="1:22">
      <c r="A856" s="8" t="s">
        <v>2669</v>
      </c>
      <c r="B856" s="8">
        <f t="shared" si="130"/>
        <v>1</v>
      </c>
      <c r="C856" s="8" t="str">
        <f t="shared" si="131"/>
        <v>Unique</v>
      </c>
      <c r="D856" s="9">
        <v>45741</v>
      </c>
      <c r="E856" s="8">
        <f t="shared" si="132"/>
        <v>8</v>
      </c>
      <c r="F856" s="10">
        <v>45749</v>
      </c>
      <c r="G856" s="8" t="s">
        <v>2670</v>
      </c>
      <c r="H856" s="8" t="s">
        <v>112</v>
      </c>
      <c r="I856" s="8" t="str">
        <f t="shared" si="139"/>
        <v>Priya Menon</v>
      </c>
      <c r="J856" s="8" t="s">
        <v>22</v>
      </c>
      <c r="K856" s="8" t="str">
        <f t="shared" si="133"/>
        <v>Consumer</v>
      </c>
      <c r="L856" s="8" t="s">
        <v>52</v>
      </c>
      <c r="M856" s="8" t="str">
        <f t="shared" si="134"/>
        <v>South</v>
      </c>
      <c r="N856" s="8" t="s">
        <v>173</v>
      </c>
      <c r="O856" s="8" t="str">
        <f t="shared" si="135"/>
        <v>Karnataka</v>
      </c>
      <c r="P856" s="8" t="s">
        <v>174</v>
      </c>
      <c r="Q856" s="8" t="str">
        <f t="shared" si="136"/>
        <v>Bengaluru</v>
      </c>
      <c r="R856" s="8" t="s">
        <v>39</v>
      </c>
      <c r="S856" s="8" t="str">
        <f t="shared" si="137"/>
        <v>Furniture</v>
      </c>
      <c r="T856" s="8" t="s">
        <v>156</v>
      </c>
      <c r="U856" s="8" t="str">
        <f t="shared" si="138"/>
        <v>Bookcases</v>
      </c>
      <c r="V856" s="8" t="s">
        <v>2671</v>
      </c>
    </row>
    <row r="857" spans="1:22">
      <c r="A857" s="8" t="s">
        <v>2672</v>
      </c>
      <c r="B857" s="8">
        <f t="shared" si="130"/>
        <v>1</v>
      </c>
      <c r="C857" s="8" t="str">
        <f t="shared" si="131"/>
        <v>Unique</v>
      </c>
      <c r="D857" s="9">
        <v>45498</v>
      </c>
      <c r="E857" s="8">
        <f t="shared" si="132"/>
        <v>-168</v>
      </c>
      <c r="F857" s="10">
        <v>45330</v>
      </c>
      <c r="G857" s="8" t="s">
        <v>1137</v>
      </c>
      <c r="H857" s="8" t="s">
        <v>116</v>
      </c>
      <c r="I857" s="8" t="str">
        <f t="shared" si="139"/>
        <v>Rahul Verma</v>
      </c>
      <c r="J857" s="8" t="s">
        <v>22</v>
      </c>
      <c r="K857" s="8" t="str">
        <f t="shared" si="133"/>
        <v>Consumer</v>
      </c>
      <c r="L857" s="8" t="s">
        <v>23</v>
      </c>
      <c r="M857" s="8" t="str">
        <f t="shared" si="134"/>
        <v>North</v>
      </c>
      <c r="N857" s="8" t="s">
        <v>24</v>
      </c>
      <c r="O857" s="8" t="str">
        <f t="shared" si="135"/>
        <v>Rajasthan</v>
      </c>
      <c r="P857" s="8" t="s">
        <v>25</v>
      </c>
      <c r="Q857" s="8" t="str">
        <f t="shared" si="136"/>
        <v>Jaipur</v>
      </c>
      <c r="R857" s="8" t="s">
        <v>26</v>
      </c>
      <c r="S857" s="8" t="str">
        <f t="shared" si="137"/>
        <v>Office Supplies</v>
      </c>
      <c r="T857" s="8" t="s">
        <v>2673</v>
      </c>
      <c r="U857" s="8" t="str">
        <f t="shared" si="138"/>
        <v>Labels</v>
      </c>
      <c r="V857" s="8" t="s">
        <v>2674</v>
      </c>
    </row>
    <row r="858" spans="1:22">
      <c r="A858" s="8" t="s">
        <v>2675</v>
      </c>
      <c r="B858" s="8">
        <f t="shared" si="130"/>
        <v>1</v>
      </c>
      <c r="C858" s="8" t="str">
        <f t="shared" si="131"/>
        <v>Unique</v>
      </c>
      <c r="D858" s="9">
        <v>45632</v>
      </c>
      <c r="E858" s="8">
        <f t="shared" si="132"/>
        <v>-170</v>
      </c>
      <c r="F858" s="10">
        <v>45462</v>
      </c>
      <c r="G858" s="8" t="s">
        <v>1319</v>
      </c>
      <c r="H858" s="8" t="s">
        <v>139</v>
      </c>
      <c r="I858" s="8" t="str">
        <f t="shared" si="139"/>
        <v>Rohan Mehta</v>
      </c>
      <c r="J858" s="8" t="s">
        <v>93</v>
      </c>
      <c r="K858" s="8" t="str">
        <f t="shared" si="133"/>
        <v>Home Office</v>
      </c>
      <c r="L858" s="8" t="s">
        <v>52</v>
      </c>
      <c r="M858" s="8" t="str">
        <f t="shared" si="134"/>
        <v>South</v>
      </c>
      <c r="N858" s="8" t="s">
        <v>246</v>
      </c>
      <c r="O858" s="8" t="str">
        <f t="shared" si="135"/>
        <v>Tamil Nadu</v>
      </c>
      <c r="P858" s="8" t="s">
        <v>247</v>
      </c>
      <c r="Q858" s="8" t="str">
        <f t="shared" si="136"/>
        <v>Chennai</v>
      </c>
      <c r="R858" s="8" t="s">
        <v>26</v>
      </c>
      <c r="S858" s="8" t="str">
        <f t="shared" si="137"/>
        <v>Office Supplies</v>
      </c>
      <c r="T858" s="8" t="s">
        <v>122</v>
      </c>
      <c r="U858" s="8" t="str">
        <f t="shared" si="138"/>
        <v>Storage</v>
      </c>
      <c r="V858" s="8" t="s">
        <v>2676</v>
      </c>
    </row>
    <row r="859" spans="1:22">
      <c r="A859" s="8" t="s">
        <v>2677</v>
      </c>
      <c r="B859" s="8">
        <f t="shared" si="130"/>
        <v>1</v>
      </c>
      <c r="C859" s="8" t="str">
        <f t="shared" si="131"/>
        <v>Unique</v>
      </c>
      <c r="D859" s="9">
        <v>45388</v>
      </c>
      <c r="E859" s="8">
        <f t="shared" si="132"/>
        <v>0</v>
      </c>
      <c r="F859" s="10">
        <v>45388</v>
      </c>
      <c r="G859" s="8" t="s">
        <v>2177</v>
      </c>
      <c r="H859" s="8" t="s">
        <v>130</v>
      </c>
      <c r="I859" s="8" t="str">
        <f t="shared" si="139"/>
        <v>Sneha Kapoor</v>
      </c>
      <c r="J859" s="8" t="s">
        <v>93</v>
      </c>
      <c r="K859" s="8" t="str">
        <f t="shared" si="133"/>
        <v>Home Office</v>
      </c>
      <c r="L859" s="8" t="s">
        <v>52</v>
      </c>
      <c r="M859" s="8" t="str">
        <f t="shared" si="134"/>
        <v>South</v>
      </c>
      <c r="N859" s="8" t="s">
        <v>183</v>
      </c>
      <c r="O859" s="8" t="str">
        <f t="shared" si="135"/>
        <v>Kerala</v>
      </c>
      <c r="P859" s="8" t="s">
        <v>184</v>
      </c>
      <c r="Q859" s="8" t="str">
        <f t="shared" si="136"/>
        <v>Kochi</v>
      </c>
      <c r="R859" s="8" t="s">
        <v>26</v>
      </c>
      <c r="S859" s="8" t="str">
        <f t="shared" si="137"/>
        <v>Office Supplies</v>
      </c>
      <c r="T859" s="8" t="s">
        <v>122</v>
      </c>
      <c r="U859" s="8" t="str">
        <f t="shared" si="138"/>
        <v>Storage</v>
      </c>
      <c r="V859" s="8" t="s">
        <v>2678</v>
      </c>
    </row>
    <row r="860" spans="1:22">
      <c r="A860" s="8" t="s">
        <v>2679</v>
      </c>
      <c r="B860" s="8">
        <f t="shared" si="130"/>
        <v>1</v>
      </c>
      <c r="C860" s="8" t="str">
        <f t="shared" si="131"/>
        <v>Unique</v>
      </c>
      <c r="D860" s="9">
        <v>45414</v>
      </c>
      <c r="E860" s="8">
        <f t="shared" si="132"/>
        <v>126</v>
      </c>
      <c r="F860" s="10">
        <v>45540</v>
      </c>
      <c r="G860" s="8" t="s">
        <v>2680</v>
      </c>
      <c r="H860" s="8" t="s">
        <v>51</v>
      </c>
      <c r="I860" s="8" t="str">
        <f t="shared" si="139"/>
        <v>Arjun Bose</v>
      </c>
      <c r="J860" s="8" t="s">
        <v>22</v>
      </c>
      <c r="K860" s="8" t="str">
        <f t="shared" si="133"/>
        <v>Consumer</v>
      </c>
      <c r="L860" s="8" t="s">
        <v>36</v>
      </c>
      <c r="M860" s="8" t="str">
        <f t="shared" si="134"/>
        <v>East</v>
      </c>
      <c r="N860" s="8" t="s">
        <v>37</v>
      </c>
      <c r="O860" s="8" t="str">
        <f t="shared" si="135"/>
        <v>Odisha</v>
      </c>
      <c r="P860" s="8" t="s">
        <v>38</v>
      </c>
      <c r="Q860" s="8" t="str">
        <f t="shared" si="136"/>
        <v>Bhubaneswar</v>
      </c>
      <c r="R860" s="8" t="s">
        <v>72</v>
      </c>
      <c r="S860" s="8" t="str">
        <f t="shared" si="137"/>
        <v>Technology</v>
      </c>
      <c r="T860" s="8" t="s">
        <v>73</v>
      </c>
      <c r="U860" s="8" t="str">
        <f t="shared" si="138"/>
        <v>Accessories</v>
      </c>
      <c r="V860" s="8" t="s">
        <v>2681</v>
      </c>
    </row>
    <row r="861" spans="1:22">
      <c r="A861" s="8" t="s">
        <v>2682</v>
      </c>
      <c r="B861" s="8">
        <f t="shared" si="130"/>
        <v>1</v>
      </c>
      <c r="C861" s="8" t="str">
        <f t="shared" si="131"/>
        <v>Unique</v>
      </c>
      <c r="D861" s="9">
        <v>45592</v>
      </c>
      <c r="E861" s="8">
        <f t="shared" si="132"/>
        <v>-290</v>
      </c>
      <c r="F861" s="10">
        <v>45302</v>
      </c>
      <c r="G861" s="8" t="s">
        <v>2683</v>
      </c>
      <c r="H861" s="8" t="s">
        <v>87</v>
      </c>
      <c r="I861" s="8" t="str">
        <f t="shared" si="139"/>
        <v>Aditi Sen</v>
      </c>
      <c r="J861" s="8" t="s">
        <v>88</v>
      </c>
      <c r="K861" s="8" t="str">
        <f t="shared" si="133"/>
        <v>Corporate</v>
      </c>
      <c r="L861" s="8" t="s">
        <v>52</v>
      </c>
      <c r="M861" s="8" t="str">
        <f t="shared" si="134"/>
        <v>South</v>
      </c>
      <c r="N861" s="8" t="s">
        <v>246</v>
      </c>
      <c r="O861" s="8" t="str">
        <f t="shared" si="135"/>
        <v>Tamil Nadu</v>
      </c>
      <c r="P861" s="8" t="s">
        <v>247</v>
      </c>
      <c r="Q861" s="8" t="str">
        <f t="shared" si="136"/>
        <v>Chennai</v>
      </c>
      <c r="R861" s="8" t="s">
        <v>72</v>
      </c>
      <c r="S861" s="8" t="str">
        <f t="shared" si="137"/>
        <v>Technology</v>
      </c>
      <c r="T861" s="8" t="s">
        <v>169</v>
      </c>
      <c r="U861" s="8" t="str">
        <f t="shared" si="138"/>
        <v>Phones</v>
      </c>
      <c r="V861" s="8" t="s">
        <v>2684</v>
      </c>
    </row>
    <row r="862" spans="1:22">
      <c r="A862" s="8" t="s">
        <v>2685</v>
      </c>
      <c r="B862" s="8">
        <f t="shared" si="130"/>
        <v>1</v>
      </c>
      <c r="C862" s="8" t="str">
        <f t="shared" si="131"/>
        <v>Unique</v>
      </c>
      <c r="D862" s="9">
        <v>45324</v>
      </c>
      <c r="E862" s="8">
        <f t="shared" si="132"/>
        <v>60</v>
      </c>
      <c r="F862" s="10">
        <v>45384</v>
      </c>
      <c r="G862" s="8" t="s">
        <v>2686</v>
      </c>
      <c r="H862" s="8" t="s">
        <v>69</v>
      </c>
      <c r="I862" s="8" t="str">
        <f t="shared" si="139"/>
        <v>Vikram Iyer</v>
      </c>
      <c r="J862" s="8" t="s">
        <v>93</v>
      </c>
      <c r="K862" s="8" t="str">
        <f t="shared" si="133"/>
        <v>Home Office</v>
      </c>
      <c r="L862" s="8" t="s">
        <v>23</v>
      </c>
      <c r="M862" s="8" t="str">
        <f t="shared" si="134"/>
        <v>North</v>
      </c>
      <c r="N862" s="8" t="s">
        <v>134</v>
      </c>
      <c r="O862" s="8" t="str">
        <f t="shared" si="135"/>
        <v>Uttar Pradesh</v>
      </c>
      <c r="P862" s="8" t="s">
        <v>135</v>
      </c>
      <c r="Q862" s="8" t="str">
        <f t="shared" si="136"/>
        <v>Noida</v>
      </c>
      <c r="R862" s="8" t="s">
        <v>26</v>
      </c>
      <c r="S862" s="8" t="str">
        <f t="shared" si="137"/>
        <v>Office Supplies</v>
      </c>
      <c r="T862" s="8" t="s">
        <v>122</v>
      </c>
      <c r="U862" s="8" t="str">
        <f t="shared" si="138"/>
        <v>Storage</v>
      </c>
      <c r="V862" s="8" t="s">
        <v>2687</v>
      </c>
    </row>
    <row r="863" spans="1:22">
      <c r="A863" s="8" t="s">
        <v>2688</v>
      </c>
      <c r="B863" s="8">
        <f t="shared" si="130"/>
        <v>1</v>
      </c>
      <c r="C863" s="8" t="str">
        <f t="shared" si="131"/>
        <v>Unique</v>
      </c>
      <c r="D863" s="9">
        <v>45872</v>
      </c>
      <c r="E863" s="8">
        <f t="shared" si="132"/>
        <v>31</v>
      </c>
      <c r="F863" s="10">
        <v>45903</v>
      </c>
      <c r="G863" s="8" t="s">
        <v>2689</v>
      </c>
      <c r="H863" s="8" t="s">
        <v>112</v>
      </c>
      <c r="I863" s="8" t="str">
        <f t="shared" si="139"/>
        <v>Priya Menon</v>
      </c>
      <c r="J863" s="8" t="s">
        <v>93</v>
      </c>
      <c r="K863" s="8" t="str">
        <f t="shared" si="133"/>
        <v>Home Office</v>
      </c>
      <c r="L863" s="8" t="s">
        <v>23</v>
      </c>
      <c r="M863" s="8" t="str">
        <f t="shared" si="134"/>
        <v>North</v>
      </c>
      <c r="N863" s="8" t="s">
        <v>349</v>
      </c>
      <c r="O863" s="8" t="str">
        <f t="shared" si="135"/>
        <v>Delhi</v>
      </c>
      <c r="P863" s="8" t="s">
        <v>350</v>
      </c>
      <c r="Q863" s="8" t="str">
        <f t="shared" si="136"/>
        <v>New Delhi</v>
      </c>
      <c r="R863" s="8" t="s">
        <v>39</v>
      </c>
      <c r="S863" s="8" t="str">
        <f t="shared" si="137"/>
        <v>Furniture</v>
      </c>
      <c r="T863" s="8" t="s">
        <v>55</v>
      </c>
      <c r="U863" s="8" t="str">
        <f t="shared" si="138"/>
        <v>Furnishings</v>
      </c>
      <c r="V863" s="8" t="s">
        <v>2690</v>
      </c>
    </row>
    <row r="864" spans="1:22">
      <c r="A864" s="8" t="s">
        <v>2691</v>
      </c>
      <c r="B864" s="8">
        <f t="shared" si="130"/>
        <v>1</v>
      </c>
      <c r="C864" s="8" t="str">
        <f t="shared" si="131"/>
        <v>Unique</v>
      </c>
      <c r="D864" s="9">
        <v>45742</v>
      </c>
      <c r="E864" s="8">
        <f t="shared" si="132"/>
        <v>5</v>
      </c>
      <c r="F864" s="10">
        <v>45747</v>
      </c>
      <c r="G864" s="8" t="s">
        <v>2692</v>
      </c>
      <c r="H864" s="8" t="s">
        <v>112</v>
      </c>
      <c r="I864" s="8" t="str">
        <f t="shared" si="139"/>
        <v>Priya Menon</v>
      </c>
      <c r="J864" s="8" t="s">
        <v>35</v>
      </c>
      <c r="K864" s="8" t="str">
        <f t="shared" si="133"/>
        <v>Small Business</v>
      </c>
      <c r="L864" s="8" t="s">
        <v>36</v>
      </c>
      <c r="M864" s="8" t="str">
        <f t="shared" si="134"/>
        <v>East</v>
      </c>
      <c r="N864" s="8" t="s">
        <v>227</v>
      </c>
      <c r="O864" s="8" t="str">
        <f t="shared" si="135"/>
        <v>Jharkhand</v>
      </c>
      <c r="P864" s="8" t="s">
        <v>228</v>
      </c>
      <c r="Q864" s="8" t="str">
        <f t="shared" si="136"/>
        <v>Ranchi</v>
      </c>
      <c r="R864" s="8" t="s">
        <v>26</v>
      </c>
      <c r="S864" s="8" t="str">
        <f t="shared" si="137"/>
        <v>Office Supplies</v>
      </c>
      <c r="T864" s="8" t="s">
        <v>151</v>
      </c>
      <c r="U864" s="8" t="str">
        <f t="shared" si="138"/>
        <v>Binders</v>
      </c>
      <c r="V864" s="8" t="s">
        <v>2693</v>
      </c>
    </row>
    <row r="865" spans="1:22">
      <c r="A865" s="8" t="s">
        <v>2694</v>
      </c>
      <c r="B865" s="8">
        <f t="shared" si="130"/>
        <v>1</v>
      </c>
      <c r="C865" s="8" t="str">
        <f t="shared" si="131"/>
        <v>Unique</v>
      </c>
      <c r="D865" s="9">
        <v>45906</v>
      </c>
      <c r="E865" s="8">
        <f t="shared" si="132"/>
        <v>2</v>
      </c>
      <c r="F865" s="10">
        <v>45908</v>
      </c>
      <c r="G865" s="8" t="s">
        <v>2695</v>
      </c>
      <c r="H865" s="8" t="s">
        <v>126</v>
      </c>
      <c r="I865" s="8" t="str">
        <f t="shared" si="139"/>
        <v>Aarav Sharma</v>
      </c>
      <c r="J865" s="8" t="s">
        <v>93</v>
      </c>
      <c r="K865" s="8" t="str">
        <f t="shared" si="133"/>
        <v>Home Office</v>
      </c>
      <c r="L865" s="8" t="s">
        <v>61</v>
      </c>
      <c r="M865" s="8" t="str">
        <f t="shared" si="134"/>
        <v>West</v>
      </c>
      <c r="N865" s="8" t="s">
        <v>70</v>
      </c>
      <c r="O865" s="8" t="str">
        <f t="shared" si="135"/>
        <v>Madhya Pradesh</v>
      </c>
      <c r="P865" s="8" t="s">
        <v>71</v>
      </c>
      <c r="Q865" s="8" t="str">
        <f t="shared" si="136"/>
        <v>Indore</v>
      </c>
      <c r="R865" s="8" t="s">
        <v>39</v>
      </c>
      <c r="S865" s="8" t="str">
        <f t="shared" si="137"/>
        <v>Furniture</v>
      </c>
      <c r="T865" s="8" t="s">
        <v>55</v>
      </c>
      <c r="U865" s="8" t="str">
        <f t="shared" si="138"/>
        <v>Furnishings</v>
      </c>
      <c r="V865" s="8" t="s">
        <v>2696</v>
      </c>
    </row>
    <row r="866" spans="1:22">
      <c r="A866" s="8" t="s">
        <v>2697</v>
      </c>
      <c r="B866" s="8">
        <f t="shared" si="130"/>
        <v>1</v>
      </c>
      <c r="C866" s="8" t="str">
        <f t="shared" si="131"/>
        <v>Unique</v>
      </c>
      <c r="D866" s="9">
        <v>45697</v>
      </c>
      <c r="E866" s="8">
        <f t="shared" si="132"/>
        <v>89</v>
      </c>
      <c r="F866" s="10">
        <v>45786</v>
      </c>
      <c r="G866" s="8" t="s">
        <v>2698</v>
      </c>
      <c r="H866" s="8" t="s">
        <v>69</v>
      </c>
      <c r="I866" s="8" t="str">
        <f t="shared" si="139"/>
        <v>Vikram Iyer</v>
      </c>
      <c r="J866" s="8" t="s">
        <v>22</v>
      </c>
      <c r="K866" s="8" t="str">
        <f t="shared" si="133"/>
        <v>Consumer</v>
      </c>
      <c r="L866" s="8" t="s">
        <v>52</v>
      </c>
      <c r="M866" s="8" t="str">
        <f t="shared" si="134"/>
        <v>South</v>
      </c>
      <c r="N866" s="8" t="s">
        <v>246</v>
      </c>
      <c r="O866" s="8" t="str">
        <f t="shared" si="135"/>
        <v>Tamil Nadu</v>
      </c>
      <c r="P866" s="8" t="s">
        <v>247</v>
      </c>
      <c r="Q866" s="8" t="str">
        <f t="shared" si="136"/>
        <v>Chennai</v>
      </c>
      <c r="R866" s="8" t="s">
        <v>72</v>
      </c>
      <c r="S866" s="8" t="str">
        <f t="shared" si="137"/>
        <v>Technology</v>
      </c>
      <c r="T866" s="8" t="s">
        <v>169</v>
      </c>
      <c r="U866" s="8" t="str">
        <f t="shared" si="138"/>
        <v>Phones</v>
      </c>
      <c r="V866" s="8" t="s">
        <v>2699</v>
      </c>
    </row>
    <row r="867" spans="1:22">
      <c r="A867" s="8" t="s">
        <v>2700</v>
      </c>
      <c r="B867" s="8">
        <f t="shared" si="130"/>
        <v>1</v>
      </c>
      <c r="C867" s="8" t="str">
        <f t="shared" si="131"/>
        <v>Unique</v>
      </c>
      <c r="D867" s="9">
        <v>45810</v>
      </c>
      <c r="E867" s="8">
        <f t="shared" si="132"/>
        <v>-108</v>
      </c>
      <c r="F867" s="10">
        <v>45702</v>
      </c>
      <c r="G867" s="8" t="s">
        <v>2701</v>
      </c>
      <c r="H867" s="8" t="s">
        <v>263</v>
      </c>
      <c r="I867" s="8" t="str">
        <f t="shared" si="139"/>
        <v>Kabir Singh</v>
      </c>
      <c r="J867" s="8" t="s">
        <v>22</v>
      </c>
      <c r="K867" s="8" t="str">
        <f t="shared" si="133"/>
        <v>Consumer</v>
      </c>
      <c r="L867" s="8" t="s">
        <v>61</v>
      </c>
      <c r="M867" s="8" t="str">
        <f t="shared" si="134"/>
        <v>West</v>
      </c>
      <c r="N867" s="8" t="s">
        <v>62</v>
      </c>
      <c r="O867" s="8" t="str">
        <f t="shared" si="135"/>
        <v>Maharashtra</v>
      </c>
      <c r="P867" s="8" t="s">
        <v>63</v>
      </c>
      <c r="Q867" s="8" t="str">
        <f t="shared" si="136"/>
        <v>Mumbai</v>
      </c>
      <c r="R867" s="8" t="s">
        <v>26</v>
      </c>
      <c r="S867" s="8" t="str">
        <f t="shared" si="137"/>
        <v>Office Supplies</v>
      </c>
      <c r="T867" s="8" t="s">
        <v>89</v>
      </c>
      <c r="U867" s="8" t="str">
        <f t="shared" si="138"/>
        <v>Labels</v>
      </c>
      <c r="V867" s="8" t="s">
        <v>2702</v>
      </c>
    </row>
    <row r="868" spans="1:22">
      <c r="A868" s="8" t="s">
        <v>2703</v>
      </c>
      <c r="B868" s="8">
        <f t="shared" si="130"/>
        <v>1</v>
      </c>
      <c r="C868" s="8" t="str">
        <f t="shared" si="131"/>
        <v>Unique</v>
      </c>
      <c r="D868" s="9">
        <v>45714</v>
      </c>
      <c r="E868" s="8">
        <f t="shared" si="132"/>
        <v>97</v>
      </c>
      <c r="F868" s="10">
        <v>45811</v>
      </c>
      <c r="G868" s="8" t="s">
        <v>2704</v>
      </c>
      <c r="H868" s="8" t="s">
        <v>112</v>
      </c>
      <c r="I868" s="8" t="str">
        <f t="shared" si="139"/>
        <v>Priya Menon</v>
      </c>
      <c r="J868" s="8" t="s">
        <v>22</v>
      </c>
      <c r="K868" s="8" t="str">
        <f t="shared" si="133"/>
        <v>Consumer</v>
      </c>
      <c r="L868" s="8" t="s">
        <v>36</v>
      </c>
      <c r="M868" s="8" t="str">
        <f t="shared" si="134"/>
        <v>East</v>
      </c>
      <c r="N868" s="8" t="s">
        <v>143</v>
      </c>
      <c r="O868" s="8" t="str">
        <f t="shared" si="135"/>
        <v>Bihar</v>
      </c>
      <c r="P868" s="8" t="s">
        <v>144</v>
      </c>
      <c r="Q868" s="8" t="str">
        <f t="shared" si="136"/>
        <v>Patna</v>
      </c>
      <c r="R868" s="8" t="s">
        <v>39</v>
      </c>
      <c r="S868" s="8" t="str">
        <f t="shared" si="137"/>
        <v>Furniture</v>
      </c>
      <c r="T868" s="8" t="s">
        <v>156</v>
      </c>
      <c r="U868" s="8" t="str">
        <f t="shared" si="138"/>
        <v>Bookcases</v>
      </c>
      <c r="V868" s="8" t="s">
        <v>2705</v>
      </c>
    </row>
    <row r="869" spans="1:22">
      <c r="A869" s="8" t="s">
        <v>2706</v>
      </c>
      <c r="B869" s="8">
        <f t="shared" si="130"/>
        <v>1</v>
      </c>
      <c r="C869" s="8" t="str">
        <f t="shared" si="131"/>
        <v>Unique</v>
      </c>
      <c r="D869" s="9">
        <v>45617</v>
      </c>
      <c r="E869" s="8">
        <f t="shared" si="132"/>
        <v>1</v>
      </c>
      <c r="F869" s="10">
        <v>45618</v>
      </c>
      <c r="G869" s="8" t="s">
        <v>2707</v>
      </c>
      <c r="H869" s="8" t="s">
        <v>116</v>
      </c>
      <c r="I869" s="8" t="str">
        <f t="shared" si="139"/>
        <v>Rahul Verma</v>
      </c>
      <c r="J869" s="8" t="s">
        <v>93</v>
      </c>
      <c r="K869" s="8" t="str">
        <f t="shared" si="133"/>
        <v>Home Office</v>
      </c>
      <c r="L869" s="8" t="s">
        <v>52</v>
      </c>
      <c r="M869" s="8" t="str">
        <f t="shared" si="134"/>
        <v>South</v>
      </c>
      <c r="N869" s="8" t="s">
        <v>82</v>
      </c>
      <c r="O869" s="8" t="str">
        <f t="shared" si="135"/>
        <v>Andhra Pradesh</v>
      </c>
      <c r="P869" s="8" t="s">
        <v>83</v>
      </c>
      <c r="Q869" s="8" t="str">
        <f t="shared" si="136"/>
        <v>Vijayawada</v>
      </c>
      <c r="R869" s="8" t="s">
        <v>72</v>
      </c>
      <c r="S869" s="8" t="str">
        <f t="shared" si="137"/>
        <v>Technology</v>
      </c>
      <c r="T869" s="8" t="s">
        <v>73</v>
      </c>
      <c r="U869" s="8" t="str">
        <f t="shared" si="138"/>
        <v>Accessories</v>
      </c>
      <c r="V869" s="8" t="s">
        <v>2708</v>
      </c>
    </row>
    <row r="870" spans="1:22">
      <c r="A870" s="8" t="s">
        <v>2709</v>
      </c>
      <c r="B870" s="8">
        <f t="shared" si="130"/>
        <v>1</v>
      </c>
      <c r="C870" s="8" t="str">
        <f t="shared" si="131"/>
        <v>Unique</v>
      </c>
      <c r="D870" s="9">
        <v>45965</v>
      </c>
      <c r="E870" s="8">
        <f t="shared" si="132"/>
        <v>-203</v>
      </c>
      <c r="F870" s="10">
        <v>45762</v>
      </c>
      <c r="G870" s="8" t="s">
        <v>2710</v>
      </c>
      <c r="H870" s="8" t="s">
        <v>69</v>
      </c>
      <c r="I870" s="8" t="str">
        <f t="shared" si="139"/>
        <v>Vikram Iyer</v>
      </c>
      <c r="J870" s="8" t="s">
        <v>93</v>
      </c>
      <c r="K870" s="8" t="str">
        <f t="shared" si="133"/>
        <v>Home Office</v>
      </c>
      <c r="L870" s="8" t="s">
        <v>52</v>
      </c>
      <c r="M870" s="8" t="str">
        <f t="shared" si="134"/>
        <v>South</v>
      </c>
      <c r="N870" s="8" t="s">
        <v>173</v>
      </c>
      <c r="O870" s="8" t="str">
        <f t="shared" si="135"/>
        <v>Karnataka</v>
      </c>
      <c r="P870" s="8" t="s">
        <v>174</v>
      </c>
      <c r="Q870" s="8" t="str">
        <f t="shared" si="136"/>
        <v>Bengaluru</v>
      </c>
      <c r="R870" s="8" t="s">
        <v>26</v>
      </c>
      <c r="S870" s="8" t="str">
        <f t="shared" si="137"/>
        <v>Office Supplies</v>
      </c>
      <c r="T870" s="8" t="s">
        <v>122</v>
      </c>
      <c r="U870" s="8" t="str">
        <f t="shared" si="138"/>
        <v>Storage</v>
      </c>
      <c r="V870" s="8" t="s">
        <v>2711</v>
      </c>
    </row>
    <row r="871" spans="1:22">
      <c r="A871" s="8" t="s">
        <v>2712</v>
      </c>
      <c r="B871" s="8">
        <f t="shared" si="130"/>
        <v>1</v>
      </c>
      <c r="C871" s="8" t="str">
        <f t="shared" si="131"/>
        <v>Unique</v>
      </c>
      <c r="D871" s="9">
        <v>45722</v>
      </c>
      <c r="E871" s="8">
        <f t="shared" si="132"/>
        <v>119</v>
      </c>
      <c r="F871" s="10">
        <v>45841</v>
      </c>
      <c r="G871" s="8" t="s">
        <v>2713</v>
      </c>
      <c r="H871" s="8" t="s">
        <v>139</v>
      </c>
      <c r="I871" s="8" t="str">
        <f t="shared" si="139"/>
        <v>Rohan Mehta</v>
      </c>
      <c r="J871" s="8" t="s">
        <v>93</v>
      </c>
      <c r="K871" s="8" t="str">
        <f t="shared" si="133"/>
        <v>Home Office</v>
      </c>
      <c r="M871" s="8" t="str">
        <f t="shared" si="134"/>
        <v/>
      </c>
      <c r="N871" s="8" t="s">
        <v>349</v>
      </c>
      <c r="O871" s="8" t="str">
        <f t="shared" si="135"/>
        <v>Delhi</v>
      </c>
      <c r="P871" s="8" t="s">
        <v>350</v>
      </c>
      <c r="Q871" s="8" t="str">
        <f t="shared" si="136"/>
        <v>New Delhi</v>
      </c>
      <c r="R871" s="8" t="s">
        <v>39</v>
      </c>
      <c r="S871" s="8" t="str">
        <f t="shared" si="137"/>
        <v>Furniture</v>
      </c>
      <c r="T871" s="8" t="s">
        <v>64</v>
      </c>
      <c r="U871" s="8" t="str">
        <f t="shared" si="138"/>
        <v>Chairs</v>
      </c>
      <c r="V871" s="8" t="s">
        <v>1162</v>
      </c>
    </row>
    <row r="872" spans="1:22">
      <c r="A872" s="8" t="s">
        <v>2714</v>
      </c>
      <c r="B872" s="8">
        <f t="shared" si="130"/>
        <v>1</v>
      </c>
      <c r="C872" s="8" t="str">
        <f t="shared" si="131"/>
        <v>Unique</v>
      </c>
      <c r="D872" s="9">
        <v>45814</v>
      </c>
      <c r="E872" s="8">
        <f t="shared" si="132"/>
        <v>30</v>
      </c>
      <c r="F872" s="10">
        <v>45844</v>
      </c>
      <c r="G872" s="8" t="s">
        <v>2715</v>
      </c>
      <c r="H872" s="8" t="s">
        <v>69</v>
      </c>
      <c r="I872" s="8" t="str">
        <f t="shared" si="139"/>
        <v>Vikram Iyer</v>
      </c>
      <c r="J872" s="8" t="s">
        <v>88</v>
      </c>
      <c r="K872" s="8" t="str">
        <f t="shared" si="133"/>
        <v>Corporate</v>
      </c>
      <c r="L872" s="8" t="s">
        <v>61</v>
      </c>
      <c r="M872" s="8" t="str">
        <f t="shared" si="134"/>
        <v>West</v>
      </c>
      <c r="N872" s="8" t="s">
        <v>188</v>
      </c>
      <c r="O872" s="8" t="str">
        <f t="shared" si="135"/>
        <v>Goa</v>
      </c>
      <c r="P872" s="8" t="s">
        <v>189</v>
      </c>
      <c r="Q872" s="8" t="str">
        <f t="shared" si="136"/>
        <v>Panaji</v>
      </c>
      <c r="R872" s="8" t="s">
        <v>39</v>
      </c>
      <c r="S872" s="8" t="str">
        <f t="shared" si="137"/>
        <v>Furniture</v>
      </c>
      <c r="T872" s="8" t="s">
        <v>40</v>
      </c>
      <c r="U872" s="8" t="str">
        <f t="shared" si="138"/>
        <v>Tables</v>
      </c>
      <c r="V872" s="8" t="s">
        <v>2716</v>
      </c>
    </row>
    <row r="873" spans="1:22">
      <c r="A873" s="8" t="s">
        <v>2717</v>
      </c>
      <c r="B873" s="8">
        <f t="shared" si="130"/>
        <v>1</v>
      </c>
      <c r="C873" s="8" t="str">
        <f t="shared" si="131"/>
        <v>Unique</v>
      </c>
      <c r="D873" s="9">
        <v>45342</v>
      </c>
      <c r="E873" s="8">
        <f t="shared" si="132"/>
        <v>2</v>
      </c>
      <c r="F873" s="10">
        <v>45344</v>
      </c>
      <c r="G873" s="8" t="s">
        <v>2586</v>
      </c>
      <c r="H873" s="8" t="s">
        <v>77</v>
      </c>
      <c r="I873" s="8" t="str">
        <f t="shared" si="139"/>
        <v>Neha Gupta</v>
      </c>
      <c r="J873" s="8" t="s">
        <v>35</v>
      </c>
      <c r="K873" s="8" t="str">
        <f t="shared" si="133"/>
        <v>Small Business</v>
      </c>
      <c r="L873" s="8" t="s">
        <v>52</v>
      </c>
      <c r="M873" s="8" t="str">
        <f t="shared" si="134"/>
        <v>South</v>
      </c>
      <c r="N873" s="8" t="s">
        <v>53</v>
      </c>
      <c r="O873" s="8" t="str">
        <f t="shared" si="135"/>
        <v>Telangana</v>
      </c>
      <c r="P873" s="8" t="s">
        <v>54</v>
      </c>
      <c r="Q873" s="8" t="str">
        <f t="shared" si="136"/>
        <v>Hyderabad</v>
      </c>
      <c r="R873" s="8" t="s">
        <v>72</v>
      </c>
      <c r="S873" s="8" t="str">
        <f t="shared" si="137"/>
        <v>Technology</v>
      </c>
      <c r="T873" s="8" t="s">
        <v>73</v>
      </c>
      <c r="U873" s="8" t="str">
        <f t="shared" si="138"/>
        <v>Accessories</v>
      </c>
      <c r="V873" s="8" t="s">
        <v>2718</v>
      </c>
    </row>
    <row r="874" spans="1:22">
      <c r="A874" s="8" t="s">
        <v>2719</v>
      </c>
      <c r="B874" s="8">
        <f t="shared" si="130"/>
        <v>1</v>
      </c>
      <c r="C874" s="8" t="str">
        <f t="shared" si="131"/>
        <v>Unique</v>
      </c>
      <c r="D874" s="9">
        <v>45597</v>
      </c>
      <c r="E874" s="8">
        <f t="shared" si="132"/>
        <v>-264</v>
      </c>
      <c r="F874" s="10">
        <v>45333</v>
      </c>
      <c r="G874" s="8" t="s">
        <v>1986</v>
      </c>
      <c r="H874" s="8" t="s">
        <v>21</v>
      </c>
      <c r="I874" s="8" t="str">
        <f t="shared" si="139"/>
        <v>Karan Malhotra</v>
      </c>
      <c r="J874" s="8" t="s">
        <v>88</v>
      </c>
      <c r="K874" s="8" t="str">
        <f t="shared" si="133"/>
        <v>Corporate</v>
      </c>
      <c r="L874" s="8" t="s">
        <v>36</v>
      </c>
      <c r="M874" s="8" t="str">
        <f t="shared" si="134"/>
        <v>East</v>
      </c>
      <c r="N874" s="8" t="s">
        <v>97</v>
      </c>
      <c r="O874" s="8" t="str">
        <f t="shared" si="135"/>
        <v>West Bengal</v>
      </c>
      <c r="P874" s="8" t="s">
        <v>98</v>
      </c>
      <c r="Q874" s="8" t="str">
        <f t="shared" si="136"/>
        <v>Kolkata</v>
      </c>
      <c r="R874" s="8" t="s">
        <v>39</v>
      </c>
      <c r="S874" s="8" t="str">
        <f t="shared" si="137"/>
        <v>Furniture</v>
      </c>
      <c r="T874" s="8" t="s">
        <v>55</v>
      </c>
      <c r="U874" s="8" t="str">
        <f t="shared" si="138"/>
        <v>Furnishings</v>
      </c>
      <c r="V874" s="8" t="s">
        <v>2720</v>
      </c>
    </row>
    <row r="875" spans="1:22">
      <c r="A875" s="8" t="s">
        <v>2721</v>
      </c>
      <c r="B875" s="8">
        <f t="shared" si="130"/>
        <v>1</v>
      </c>
      <c r="C875" s="8" t="str">
        <f t="shared" si="131"/>
        <v>Unique</v>
      </c>
      <c r="D875" s="9">
        <v>45659</v>
      </c>
      <c r="E875" s="8">
        <f t="shared" si="132"/>
        <v>212</v>
      </c>
      <c r="F875" s="10">
        <v>45871</v>
      </c>
      <c r="G875" s="8" t="s">
        <v>2722</v>
      </c>
      <c r="H875" s="8" t="s">
        <v>87</v>
      </c>
      <c r="I875" s="8" t="str">
        <f t="shared" si="139"/>
        <v>Aditi Sen</v>
      </c>
      <c r="J875" s="8" t="s">
        <v>93</v>
      </c>
      <c r="K875" s="8" t="str">
        <f t="shared" si="133"/>
        <v>Home Office</v>
      </c>
      <c r="L875" s="8" t="s">
        <v>61</v>
      </c>
      <c r="M875" s="8" t="str">
        <f t="shared" si="134"/>
        <v>West</v>
      </c>
      <c r="N875" s="8" t="s">
        <v>178</v>
      </c>
      <c r="O875" s="8" t="str">
        <f t="shared" si="135"/>
        <v>Gujarat</v>
      </c>
      <c r="P875" s="8" t="s">
        <v>179</v>
      </c>
      <c r="Q875" s="8" t="str">
        <f t="shared" si="136"/>
        <v>Ahmedabad</v>
      </c>
      <c r="R875" s="8" t="s">
        <v>26</v>
      </c>
      <c r="S875" s="8" t="str">
        <f t="shared" si="137"/>
        <v>Office Supplies</v>
      </c>
      <c r="T875" s="8" t="s">
        <v>122</v>
      </c>
      <c r="U875" s="8" t="str">
        <f t="shared" si="138"/>
        <v>Storage</v>
      </c>
      <c r="V875" s="8" t="s">
        <v>2723</v>
      </c>
    </row>
    <row r="876" spans="1:22">
      <c r="A876" s="8" t="s">
        <v>2724</v>
      </c>
      <c r="B876" s="8">
        <f t="shared" si="130"/>
        <v>1</v>
      </c>
      <c r="C876" s="8" t="str">
        <f t="shared" si="131"/>
        <v>Unique</v>
      </c>
      <c r="D876" s="9">
        <v>45853</v>
      </c>
      <c r="E876" s="8">
        <f t="shared" si="132"/>
        <v>1</v>
      </c>
      <c r="F876" s="10">
        <v>45854</v>
      </c>
      <c r="G876" s="8" t="s">
        <v>2725</v>
      </c>
      <c r="H876" s="8" t="s">
        <v>69</v>
      </c>
      <c r="I876" s="8" t="str">
        <f t="shared" si="139"/>
        <v>Vikram Iyer</v>
      </c>
      <c r="J876" s="8" t="s">
        <v>35</v>
      </c>
      <c r="K876" s="8" t="str">
        <f t="shared" si="133"/>
        <v>Small Business</v>
      </c>
      <c r="L876" s="8" t="s">
        <v>61</v>
      </c>
      <c r="M876" s="8" t="str">
        <f t="shared" si="134"/>
        <v>West</v>
      </c>
      <c r="N876" s="8" t="s">
        <v>62</v>
      </c>
      <c r="O876" s="8" t="str">
        <f t="shared" si="135"/>
        <v>Maharashtra</v>
      </c>
      <c r="P876" s="8" t="s">
        <v>63</v>
      </c>
      <c r="Q876" s="8" t="str">
        <f t="shared" si="136"/>
        <v>Mumbai</v>
      </c>
      <c r="R876" s="8" t="s">
        <v>26</v>
      </c>
      <c r="S876" s="8" t="str">
        <f t="shared" si="137"/>
        <v>Office Supplies</v>
      </c>
      <c r="T876" s="8" t="s">
        <v>27</v>
      </c>
      <c r="U876" s="8" t="str">
        <f t="shared" si="138"/>
        <v>Paper</v>
      </c>
      <c r="V876" s="8" t="s">
        <v>2726</v>
      </c>
    </row>
    <row r="877" spans="1:22">
      <c r="A877" s="8" t="s">
        <v>2727</v>
      </c>
      <c r="B877" s="8">
        <f t="shared" si="130"/>
        <v>1</v>
      </c>
      <c r="C877" s="8" t="str">
        <f t="shared" si="131"/>
        <v>Unique</v>
      </c>
      <c r="D877" s="9">
        <v>45573</v>
      </c>
      <c r="E877" s="8">
        <f t="shared" si="132"/>
        <v>-58</v>
      </c>
      <c r="F877" s="10">
        <v>45515</v>
      </c>
      <c r="G877" s="8" t="s">
        <v>2728</v>
      </c>
      <c r="H877" s="8" t="s">
        <v>34</v>
      </c>
      <c r="I877" s="8" t="str">
        <f t="shared" si="139"/>
        <v>Mira Das</v>
      </c>
      <c r="J877" s="8" t="s">
        <v>88</v>
      </c>
      <c r="K877" s="8" t="str">
        <f t="shared" si="133"/>
        <v>Corporate</v>
      </c>
      <c r="L877" s="8" t="s">
        <v>61</v>
      </c>
      <c r="M877" s="8" t="str">
        <f t="shared" si="134"/>
        <v>West</v>
      </c>
      <c r="N877" s="8" t="s">
        <v>62</v>
      </c>
      <c r="O877" s="8" t="str">
        <f t="shared" si="135"/>
        <v>Maharashtra</v>
      </c>
      <c r="P877" s="8" t="s">
        <v>63</v>
      </c>
      <c r="Q877" s="8" t="str">
        <f t="shared" si="136"/>
        <v>Mumbai</v>
      </c>
      <c r="R877" s="8" t="s">
        <v>72</v>
      </c>
      <c r="S877" s="8" t="str">
        <f t="shared" si="137"/>
        <v>Technology</v>
      </c>
      <c r="T877" s="8" t="s">
        <v>78</v>
      </c>
      <c r="U877" s="8" t="str">
        <f t="shared" si="138"/>
        <v>Copiers</v>
      </c>
      <c r="V877" s="8" t="s">
        <v>2729</v>
      </c>
    </row>
    <row r="878" spans="1:22">
      <c r="A878" s="8" t="s">
        <v>2730</v>
      </c>
      <c r="B878" s="8">
        <f t="shared" si="130"/>
        <v>1</v>
      </c>
      <c r="C878" s="8" t="str">
        <f t="shared" si="131"/>
        <v>Unique</v>
      </c>
      <c r="D878" s="9">
        <v>45614</v>
      </c>
      <c r="E878" s="8">
        <f t="shared" si="132"/>
        <v>2</v>
      </c>
      <c r="F878" s="10">
        <v>45616</v>
      </c>
      <c r="G878" s="8" t="s">
        <v>2731</v>
      </c>
      <c r="H878" s="8" t="s">
        <v>112</v>
      </c>
      <c r="I878" s="8" t="str">
        <f t="shared" si="139"/>
        <v>Priya Menon</v>
      </c>
      <c r="J878" s="8" t="s">
        <v>22</v>
      </c>
      <c r="K878" s="8" t="str">
        <f t="shared" si="133"/>
        <v>Consumer</v>
      </c>
      <c r="L878" s="8" t="s">
        <v>61</v>
      </c>
      <c r="M878" s="8" t="str">
        <f t="shared" si="134"/>
        <v>West</v>
      </c>
      <c r="N878" s="8" t="s">
        <v>24</v>
      </c>
      <c r="O878" s="8" t="str">
        <f t="shared" si="135"/>
        <v>Rajasthan</v>
      </c>
      <c r="P878" s="8" t="s">
        <v>107</v>
      </c>
      <c r="Q878" s="8" t="str">
        <f t="shared" si="136"/>
        <v>Udaipur</v>
      </c>
      <c r="R878" s="8" t="s">
        <v>39</v>
      </c>
      <c r="S878" s="8" t="str">
        <f t="shared" si="137"/>
        <v>Furniture</v>
      </c>
      <c r="T878" s="8" t="s">
        <v>64</v>
      </c>
      <c r="U878" s="8" t="str">
        <f t="shared" si="138"/>
        <v>Chairs</v>
      </c>
      <c r="V878" s="8" t="s">
        <v>858</v>
      </c>
    </row>
    <row r="879" spans="1:22">
      <c r="A879" s="8" t="s">
        <v>2732</v>
      </c>
      <c r="B879" s="8">
        <f t="shared" si="130"/>
        <v>1</v>
      </c>
      <c r="C879" s="8" t="str">
        <f t="shared" si="131"/>
        <v>Unique</v>
      </c>
      <c r="D879" s="9">
        <v>45895</v>
      </c>
      <c r="E879" s="8">
        <f t="shared" si="132"/>
        <v>-170</v>
      </c>
      <c r="F879" s="10">
        <v>45725</v>
      </c>
      <c r="G879" s="8" t="s">
        <v>2733</v>
      </c>
      <c r="H879" s="8" t="s">
        <v>126</v>
      </c>
      <c r="I879" s="8" t="str">
        <f t="shared" si="139"/>
        <v>Aarav Sharma</v>
      </c>
      <c r="J879" s="8" t="s">
        <v>22</v>
      </c>
      <c r="K879" s="8" t="str">
        <f t="shared" si="133"/>
        <v>Consumer</v>
      </c>
      <c r="L879" s="8" t="s">
        <v>61</v>
      </c>
      <c r="M879" s="8" t="str">
        <f t="shared" si="134"/>
        <v>West</v>
      </c>
      <c r="N879" s="8" t="s">
        <v>24</v>
      </c>
      <c r="O879" s="8" t="str">
        <f t="shared" si="135"/>
        <v>Rajasthan</v>
      </c>
      <c r="P879" s="8" t="s">
        <v>107</v>
      </c>
      <c r="Q879" s="8" t="str">
        <f t="shared" si="136"/>
        <v>Udaipur</v>
      </c>
      <c r="R879" s="8" t="s">
        <v>26</v>
      </c>
      <c r="S879" s="8" t="str">
        <f t="shared" si="137"/>
        <v>Office Supplies</v>
      </c>
      <c r="T879" s="8" t="s">
        <v>122</v>
      </c>
      <c r="U879" s="8" t="str">
        <f t="shared" si="138"/>
        <v>Storage</v>
      </c>
      <c r="V879" s="8" t="s">
        <v>2734</v>
      </c>
    </row>
    <row r="880" spans="1:22">
      <c r="A880" s="8" t="s">
        <v>2735</v>
      </c>
      <c r="B880" s="8">
        <f t="shared" si="130"/>
        <v>1</v>
      </c>
      <c r="C880" s="8" t="str">
        <f t="shared" si="131"/>
        <v>Unique</v>
      </c>
      <c r="D880" s="9">
        <v>45313</v>
      </c>
      <c r="E880" s="8">
        <f t="shared" si="132"/>
        <v>0</v>
      </c>
      <c r="F880" s="10">
        <v>45313</v>
      </c>
      <c r="G880" s="8" t="s">
        <v>2736</v>
      </c>
      <c r="H880" s="8" t="s">
        <v>21</v>
      </c>
      <c r="I880" s="8" t="str">
        <f t="shared" si="139"/>
        <v>Karan Malhotra</v>
      </c>
      <c r="J880" s="8" t="s">
        <v>88</v>
      </c>
      <c r="K880" s="8" t="str">
        <f t="shared" si="133"/>
        <v>Corporate</v>
      </c>
      <c r="L880" s="8" t="s">
        <v>36</v>
      </c>
      <c r="M880" s="8" t="str">
        <f t="shared" si="134"/>
        <v>East</v>
      </c>
      <c r="N880" s="8" t="s">
        <v>97</v>
      </c>
      <c r="O880" s="8" t="str">
        <f t="shared" si="135"/>
        <v>West Bengal</v>
      </c>
      <c r="P880" s="8" t="s">
        <v>98</v>
      </c>
      <c r="Q880" s="8" t="str">
        <f t="shared" si="136"/>
        <v>Kolkata</v>
      </c>
      <c r="R880" s="8" t="s">
        <v>26</v>
      </c>
      <c r="S880" s="8" t="str">
        <f t="shared" si="137"/>
        <v>Office Supplies</v>
      </c>
      <c r="T880" s="8" t="s">
        <v>27</v>
      </c>
      <c r="U880" s="8" t="str">
        <f t="shared" si="138"/>
        <v>Paper</v>
      </c>
      <c r="V880" s="8" t="s">
        <v>2737</v>
      </c>
    </row>
    <row r="881" spans="1:22">
      <c r="A881" s="8" t="s">
        <v>2738</v>
      </c>
      <c r="B881" s="8">
        <f t="shared" si="130"/>
        <v>1</v>
      </c>
      <c r="C881" s="8" t="str">
        <f t="shared" si="131"/>
        <v>Unique</v>
      </c>
      <c r="D881" s="9">
        <v>45896</v>
      </c>
      <c r="E881" s="8">
        <f t="shared" si="132"/>
        <v>1</v>
      </c>
      <c r="F881" s="10">
        <v>45897</v>
      </c>
      <c r="G881" s="8" t="s">
        <v>2739</v>
      </c>
      <c r="H881" s="8" t="s">
        <v>60</v>
      </c>
      <c r="I881" s="8" t="str">
        <f t="shared" si="139"/>
        <v>Ananya Rao</v>
      </c>
      <c r="J881" s="8" t="s">
        <v>93</v>
      </c>
      <c r="K881" s="8" t="str">
        <f t="shared" si="133"/>
        <v>Home Office</v>
      </c>
      <c r="L881" s="8" t="s">
        <v>23</v>
      </c>
      <c r="M881" s="8" t="str">
        <f t="shared" si="134"/>
        <v>North</v>
      </c>
      <c r="N881" s="8" t="s">
        <v>134</v>
      </c>
      <c r="O881" s="8" t="str">
        <f t="shared" si="135"/>
        <v>Uttar Pradesh</v>
      </c>
      <c r="P881" s="8" t="s">
        <v>135</v>
      </c>
      <c r="Q881" s="8" t="str">
        <f t="shared" si="136"/>
        <v>Noida</v>
      </c>
      <c r="R881" s="8" t="s">
        <v>26</v>
      </c>
      <c r="S881" s="8" t="str">
        <f t="shared" si="137"/>
        <v>Office Supplies</v>
      </c>
      <c r="T881" s="8" t="s">
        <v>46</v>
      </c>
      <c r="U881" s="8" t="str">
        <f t="shared" si="138"/>
        <v>Art</v>
      </c>
      <c r="V881" s="8" t="s">
        <v>2740</v>
      </c>
    </row>
    <row r="882" spans="1:22">
      <c r="A882" s="8" t="s">
        <v>2741</v>
      </c>
      <c r="B882" s="8">
        <f t="shared" si="130"/>
        <v>1</v>
      </c>
      <c r="C882" s="8" t="str">
        <f t="shared" si="131"/>
        <v>Unique</v>
      </c>
      <c r="D882" s="9">
        <v>45507</v>
      </c>
      <c r="E882" s="8">
        <f t="shared" si="132"/>
        <v>-141</v>
      </c>
      <c r="F882" s="10">
        <v>45366</v>
      </c>
      <c r="G882" s="8" t="s">
        <v>2742</v>
      </c>
      <c r="H882" s="8" t="s">
        <v>126</v>
      </c>
      <c r="I882" s="8" t="str">
        <f t="shared" si="139"/>
        <v>Aarav Sharma</v>
      </c>
      <c r="J882" s="8" t="s">
        <v>35</v>
      </c>
      <c r="K882" s="8" t="str">
        <f t="shared" si="133"/>
        <v>Small Business</v>
      </c>
      <c r="M882" s="8" t="str">
        <f t="shared" si="134"/>
        <v/>
      </c>
      <c r="N882" s="8" t="s">
        <v>120</v>
      </c>
      <c r="O882" s="8" t="str">
        <f t="shared" si="135"/>
        <v>Punjab</v>
      </c>
      <c r="P882" s="8" t="s">
        <v>121</v>
      </c>
      <c r="Q882" s="8" t="str">
        <f t="shared" si="136"/>
        <v>Ludhiana</v>
      </c>
      <c r="R882" s="8" t="s">
        <v>39</v>
      </c>
      <c r="S882" s="8" t="str">
        <f t="shared" si="137"/>
        <v>Furniture</v>
      </c>
      <c r="T882" s="8" t="s">
        <v>64</v>
      </c>
      <c r="U882" s="8" t="str">
        <f t="shared" si="138"/>
        <v>Chairs</v>
      </c>
      <c r="V882" s="8" t="s">
        <v>2743</v>
      </c>
    </row>
    <row r="883" spans="1:22">
      <c r="A883" s="8" t="s">
        <v>2744</v>
      </c>
      <c r="B883" s="8">
        <f t="shared" si="130"/>
        <v>1</v>
      </c>
      <c r="C883" s="8" t="str">
        <f t="shared" si="131"/>
        <v>Unique</v>
      </c>
      <c r="D883" s="9">
        <v>45303</v>
      </c>
      <c r="E883" s="8">
        <f t="shared" si="132"/>
        <v>121</v>
      </c>
      <c r="F883" s="10">
        <v>45424</v>
      </c>
      <c r="G883" s="8" t="s">
        <v>2745</v>
      </c>
      <c r="H883" s="8" t="s">
        <v>60</v>
      </c>
      <c r="I883" s="8" t="str">
        <f t="shared" si="139"/>
        <v>Ananya Rao</v>
      </c>
      <c r="J883" s="8" t="s">
        <v>35</v>
      </c>
      <c r="K883" s="8" t="str">
        <f t="shared" si="133"/>
        <v>Small Business</v>
      </c>
      <c r="L883" s="8" t="s">
        <v>52</v>
      </c>
      <c r="M883" s="8" t="str">
        <f t="shared" si="134"/>
        <v>South</v>
      </c>
      <c r="N883" s="8" t="s">
        <v>82</v>
      </c>
      <c r="O883" s="8" t="str">
        <f t="shared" si="135"/>
        <v>Andhra Pradesh</v>
      </c>
      <c r="P883" s="8" t="s">
        <v>83</v>
      </c>
      <c r="Q883" s="8" t="str">
        <f t="shared" si="136"/>
        <v>Vijayawada</v>
      </c>
      <c r="R883" s="8" t="s">
        <v>72</v>
      </c>
      <c r="S883" s="8" t="str">
        <f t="shared" si="137"/>
        <v>Technology</v>
      </c>
      <c r="T883" s="8" t="s">
        <v>78</v>
      </c>
      <c r="U883" s="8" t="str">
        <f t="shared" si="138"/>
        <v>Copiers</v>
      </c>
      <c r="V883" s="8" t="s">
        <v>2746</v>
      </c>
    </row>
    <row r="884" spans="1:22">
      <c r="A884" s="8" t="s">
        <v>2747</v>
      </c>
      <c r="B884" s="8">
        <f t="shared" si="130"/>
        <v>1</v>
      </c>
      <c r="C884" s="8" t="str">
        <f t="shared" si="131"/>
        <v>Unique</v>
      </c>
      <c r="D884" s="9">
        <v>45690</v>
      </c>
      <c r="E884" s="8">
        <f t="shared" si="132"/>
        <v>8</v>
      </c>
      <c r="F884" s="10">
        <v>45698</v>
      </c>
      <c r="G884" s="8" t="s">
        <v>2748</v>
      </c>
      <c r="H884" s="8" t="s">
        <v>130</v>
      </c>
      <c r="I884" s="8" t="str">
        <f t="shared" si="139"/>
        <v>Sneha Kapoor</v>
      </c>
      <c r="J884" s="8" t="s">
        <v>88</v>
      </c>
      <c r="K884" s="8" t="str">
        <f t="shared" si="133"/>
        <v>Corporate</v>
      </c>
      <c r="L884" s="8" t="s">
        <v>36</v>
      </c>
      <c r="M884" s="8" t="str">
        <f t="shared" si="134"/>
        <v>East</v>
      </c>
      <c r="N884" s="8" t="s">
        <v>143</v>
      </c>
      <c r="O884" s="8" t="str">
        <f t="shared" si="135"/>
        <v>Bihar</v>
      </c>
      <c r="P884" s="8" t="s">
        <v>144</v>
      </c>
      <c r="Q884" s="8" t="str">
        <f t="shared" si="136"/>
        <v>Patna</v>
      </c>
      <c r="R884" s="8" t="s">
        <v>72</v>
      </c>
      <c r="S884" s="8" t="str">
        <f t="shared" si="137"/>
        <v>Technology</v>
      </c>
      <c r="T884" s="8" t="s">
        <v>73</v>
      </c>
      <c r="U884" s="8" t="str">
        <f t="shared" si="138"/>
        <v>Accessories</v>
      </c>
      <c r="V884" s="8" t="s">
        <v>2749</v>
      </c>
    </row>
    <row r="885" spans="1:22">
      <c r="A885" s="8" t="s">
        <v>2750</v>
      </c>
      <c r="B885" s="8">
        <f t="shared" si="130"/>
        <v>1</v>
      </c>
      <c r="C885" s="8" t="str">
        <f t="shared" si="131"/>
        <v>Unique</v>
      </c>
      <c r="D885" s="9">
        <v>45775</v>
      </c>
      <c r="E885" s="8">
        <f t="shared" si="132"/>
        <v>3</v>
      </c>
      <c r="F885" s="10">
        <v>45778</v>
      </c>
      <c r="G885" s="8" t="s">
        <v>2751</v>
      </c>
      <c r="H885" s="8" t="s">
        <v>126</v>
      </c>
      <c r="I885" s="8" t="str">
        <f t="shared" si="139"/>
        <v>Aarav Sharma</v>
      </c>
      <c r="J885" s="8" t="s">
        <v>35</v>
      </c>
      <c r="K885" s="8" t="str">
        <f t="shared" si="133"/>
        <v>Small Business</v>
      </c>
      <c r="L885" s="8" t="s">
        <v>61</v>
      </c>
      <c r="M885" s="8" t="str">
        <f t="shared" si="134"/>
        <v>West</v>
      </c>
      <c r="N885" s="8" t="s">
        <v>188</v>
      </c>
      <c r="O885" s="8" t="str">
        <f t="shared" si="135"/>
        <v>Goa</v>
      </c>
      <c r="P885" s="8" t="s">
        <v>189</v>
      </c>
      <c r="Q885" s="8" t="str">
        <f t="shared" si="136"/>
        <v>Panaji</v>
      </c>
      <c r="R885" s="8" t="s">
        <v>26</v>
      </c>
      <c r="S885" s="8" t="str">
        <f t="shared" si="137"/>
        <v>Office Supplies</v>
      </c>
      <c r="T885" s="8" t="s">
        <v>122</v>
      </c>
      <c r="U885" s="8" t="str">
        <f t="shared" si="138"/>
        <v>Storage</v>
      </c>
      <c r="V885" s="8" t="s">
        <v>2752</v>
      </c>
    </row>
    <row r="886" spans="1:22">
      <c r="A886" s="8" t="s">
        <v>2753</v>
      </c>
      <c r="B886" s="8">
        <f t="shared" si="130"/>
        <v>1</v>
      </c>
      <c r="C886" s="8" t="str">
        <f t="shared" si="131"/>
        <v>Unique</v>
      </c>
      <c r="D886" s="9">
        <v>45675</v>
      </c>
      <c r="E886" s="8">
        <f t="shared" si="132"/>
        <v>7</v>
      </c>
      <c r="F886" s="10">
        <v>45682</v>
      </c>
      <c r="G886" s="8" t="s">
        <v>2754</v>
      </c>
      <c r="H886" s="8" t="s">
        <v>77</v>
      </c>
      <c r="I886" s="8" t="str">
        <f t="shared" si="139"/>
        <v>Neha Gupta</v>
      </c>
      <c r="J886" s="8" t="s">
        <v>93</v>
      </c>
      <c r="K886" s="8" t="str">
        <f t="shared" si="133"/>
        <v>Home Office</v>
      </c>
      <c r="L886" s="8" t="s">
        <v>52</v>
      </c>
      <c r="M886" s="8" t="str">
        <f t="shared" si="134"/>
        <v>South</v>
      </c>
      <c r="N886" s="8" t="s">
        <v>173</v>
      </c>
      <c r="O886" s="8" t="str">
        <f t="shared" si="135"/>
        <v>Karnataka</v>
      </c>
      <c r="P886" s="8" t="s">
        <v>174</v>
      </c>
      <c r="Q886" s="8" t="str">
        <f t="shared" si="136"/>
        <v>Bengaluru</v>
      </c>
      <c r="R886" s="8" t="s">
        <v>26</v>
      </c>
      <c r="S886" s="8" t="str">
        <f t="shared" si="137"/>
        <v>Office Supplies</v>
      </c>
      <c r="T886" s="8" t="s">
        <v>122</v>
      </c>
      <c r="U886" s="8" t="str">
        <f t="shared" si="138"/>
        <v>Storage</v>
      </c>
      <c r="V886" s="8" t="s">
        <v>2755</v>
      </c>
    </row>
    <row r="887" spans="1:22">
      <c r="A887" s="8" t="s">
        <v>2756</v>
      </c>
      <c r="B887" s="8">
        <f t="shared" si="130"/>
        <v>1</v>
      </c>
      <c r="C887" s="8" t="str">
        <f t="shared" si="131"/>
        <v>Unique</v>
      </c>
      <c r="D887" s="9">
        <v>45413</v>
      </c>
      <c r="E887" s="8">
        <f t="shared" si="132"/>
        <v>0</v>
      </c>
      <c r="F887" s="10">
        <v>45413</v>
      </c>
      <c r="G887" s="8" t="s">
        <v>2757</v>
      </c>
      <c r="H887" s="8" t="s">
        <v>160</v>
      </c>
      <c r="I887" s="8" t="str">
        <f t="shared" si="139"/>
        <v>Diya Patel</v>
      </c>
      <c r="J887" s="8" t="s">
        <v>22</v>
      </c>
      <c r="K887" s="8" t="str">
        <f t="shared" si="133"/>
        <v>Consumer</v>
      </c>
      <c r="L887" s="8" t="s">
        <v>23</v>
      </c>
      <c r="M887" s="8" t="str">
        <f t="shared" si="134"/>
        <v>North</v>
      </c>
      <c r="N887" s="8" t="s">
        <v>24</v>
      </c>
      <c r="O887" s="8" t="str">
        <f t="shared" si="135"/>
        <v>Rajasthan</v>
      </c>
      <c r="P887" s="8" t="s">
        <v>25</v>
      </c>
      <c r="Q887" s="8" t="str">
        <f t="shared" si="136"/>
        <v>Jaipur</v>
      </c>
      <c r="R887" s="8" t="s">
        <v>39</v>
      </c>
      <c r="S887" s="8" t="str">
        <f t="shared" si="137"/>
        <v>Furniture</v>
      </c>
      <c r="T887" s="8" t="s">
        <v>40</v>
      </c>
      <c r="U887" s="8" t="str">
        <f t="shared" si="138"/>
        <v>Tables</v>
      </c>
      <c r="V887" s="8" t="s">
        <v>2758</v>
      </c>
    </row>
    <row r="888" spans="1:22">
      <c r="A888" s="8" t="s">
        <v>2759</v>
      </c>
      <c r="B888" s="8">
        <f t="shared" si="130"/>
        <v>1</v>
      </c>
      <c r="C888" s="8" t="str">
        <f t="shared" si="131"/>
        <v>Unique</v>
      </c>
      <c r="D888" s="9">
        <v>45773</v>
      </c>
      <c r="E888" s="8">
        <f t="shared" si="132"/>
        <v>-52</v>
      </c>
      <c r="F888" s="10">
        <v>45721</v>
      </c>
      <c r="G888" s="8" t="s">
        <v>2760</v>
      </c>
      <c r="H888" s="8" t="s">
        <v>51</v>
      </c>
      <c r="I888" s="8" t="str">
        <f t="shared" si="139"/>
        <v>Arjun Bose</v>
      </c>
      <c r="J888" s="8" t="s">
        <v>93</v>
      </c>
      <c r="K888" s="8" t="str">
        <f t="shared" si="133"/>
        <v>Home Office</v>
      </c>
      <c r="L888" s="8" t="s">
        <v>52</v>
      </c>
      <c r="M888" s="8" t="str">
        <f t="shared" si="134"/>
        <v>South</v>
      </c>
      <c r="N888" s="8" t="s">
        <v>246</v>
      </c>
      <c r="O888" s="8" t="str">
        <f t="shared" si="135"/>
        <v>Tamil Nadu</v>
      </c>
      <c r="P888" s="8" t="s">
        <v>247</v>
      </c>
      <c r="Q888" s="8" t="str">
        <f t="shared" si="136"/>
        <v>Chennai</v>
      </c>
      <c r="R888" s="8" t="s">
        <v>72</v>
      </c>
      <c r="S888" s="8" t="str">
        <f t="shared" si="137"/>
        <v>Technology</v>
      </c>
      <c r="T888" s="8" t="s">
        <v>73</v>
      </c>
      <c r="U888" s="8" t="str">
        <f t="shared" si="138"/>
        <v>Accessories</v>
      </c>
      <c r="V888" s="8" t="s">
        <v>2761</v>
      </c>
    </row>
    <row r="889" spans="1:22">
      <c r="A889" s="8" t="s">
        <v>2762</v>
      </c>
      <c r="B889" s="8">
        <f t="shared" si="130"/>
        <v>1</v>
      </c>
      <c r="C889" s="8" t="str">
        <f t="shared" si="131"/>
        <v>Unique</v>
      </c>
      <c r="D889" s="9">
        <v>45632</v>
      </c>
      <c r="E889" s="8">
        <f t="shared" si="132"/>
        <v>-171</v>
      </c>
      <c r="F889" s="10">
        <v>45461</v>
      </c>
      <c r="G889" s="8" t="s">
        <v>2763</v>
      </c>
      <c r="H889" s="8" t="s">
        <v>126</v>
      </c>
      <c r="I889" s="8" t="str">
        <f t="shared" si="139"/>
        <v>Aarav Sharma</v>
      </c>
      <c r="J889" s="8" t="s">
        <v>35</v>
      </c>
      <c r="K889" s="8" t="str">
        <f t="shared" si="133"/>
        <v>Small Business</v>
      </c>
      <c r="L889" s="8" t="s">
        <v>52</v>
      </c>
      <c r="M889" s="8" t="str">
        <f t="shared" si="134"/>
        <v>South</v>
      </c>
      <c r="N889" s="8" t="s">
        <v>82</v>
      </c>
      <c r="O889" s="8" t="str">
        <f t="shared" si="135"/>
        <v>Andhra Pradesh</v>
      </c>
      <c r="P889" s="8" t="s">
        <v>83</v>
      </c>
      <c r="Q889" s="8" t="str">
        <f t="shared" si="136"/>
        <v>Vijayawada</v>
      </c>
      <c r="R889" s="8" t="s">
        <v>26</v>
      </c>
      <c r="S889" s="8" t="str">
        <f t="shared" si="137"/>
        <v>Office Supplies</v>
      </c>
      <c r="T889" s="8" t="s">
        <v>46</v>
      </c>
      <c r="U889" s="8" t="str">
        <f t="shared" si="138"/>
        <v>Art</v>
      </c>
      <c r="V889" s="8" t="s">
        <v>2764</v>
      </c>
    </row>
    <row r="890" spans="1:22">
      <c r="A890" s="8" t="s">
        <v>2765</v>
      </c>
      <c r="B890" s="8">
        <f t="shared" si="130"/>
        <v>1</v>
      </c>
      <c r="C890" s="8" t="str">
        <f t="shared" si="131"/>
        <v>Unique</v>
      </c>
      <c r="D890" s="9">
        <v>45816</v>
      </c>
      <c r="E890" s="8">
        <f t="shared" si="132"/>
        <v>30</v>
      </c>
      <c r="F890" s="10">
        <v>45846</v>
      </c>
      <c r="G890" s="8" t="s">
        <v>2766</v>
      </c>
      <c r="H890" s="8" t="s">
        <v>116</v>
      </c>
      <c r="I890" s="8" t="str">
        <f t="shared" si="139"/>
        <v>Rahul Verma</v>
      </c>
      <c r="J890" s="8" t="s">
        <v>35</v>
      </c>
      <c r="K890" s="8" t="str">
        <f t="shared" si="133"/>
        <v>Small Business</v>
      </c>
      <c r="L890" s="8" t="s">
        <v>61</v>
      </c>
      <c r="M890" s="8" t="str">
        <f t="shared" si="134"/>
        <v>West</v>
      </c>
      <c r="N890" s="8" t="s">
        <v>62</v>
      </c>
      <c r="O890" s="8" t="str">
        <f t="shared" si="135"/>
        <v>Maharashtra</v>
      </c>
      <c r="P890" s="8" t="s">
        <v>63</v>
      </c>
      <c r="Q890" s="8" t="str">
        <f t="shared" si="136"/>
        <v>Mumbai</v>
      </c>
      <c r="R890" s="8" t="s">
        <v>26</v>
      </c>
      <c r="S890" s="8" t="str">
        <f t="shared" si="137"/>
        <v>Office Supplies</v>
      </c>
      <c r="T890" s="8" t="s">
        <v>46</v>
      </c>
      <c r="U890" s="8" t="str">
        <f t="shared" si="138"/>
        <v>Art</v>
      </c>
      <c r="V890" s="8" t="s">
        <v>2767</v>
      </c>
    </row>
    <row r="891" spans="1:22">
      <c r="A891" s="8" t="s">
        <v>2768</v>
      </c>
      <c r="B891" s="8">
        <f t="shared" si="130"/>
        <v>1</v>
      </c>
      <c r="C891" s="8" t="str">
        <f t="shared" si="131"/>
        <v>Unique</v>
      </c>
      <c r="D891" s="9">
        <v>45933</v>
      </c>
      <c r="E891" s="8">
        <f t="shared" si="132"/>
        <v>-206</v>
      </c>
      <c r="F891" s="10">
        <v>45727</v>
      </c>
      <c r="G891" s="8" t="s">
        <v>896</v>
      </c>
      <c r="H891" s="8" t="s">
        <v>87</v>
      </c>
      <c r="I891" s="8" t="str">
        <f t="shared" si="139"/>
        <v>Aditi Sen</v>
      </c>
      <c r="J891" s="8" t="s">
        <v>93</v>
      </c>
      <c r="K891" s="8" t="str">
        <f t="shared" si="133"/>
        <v>Home Office</v>
      </c>
      <c r="L891" s="8" t="s">
        <v>61</v>
      </c>
      <c r="M891" s="8" t="str">
        <f t="shared" si="134"/>
        <v>West</v>
      </c>
      <c r="N891" s="8" t="s">
        <v>70</v>
      </c>
      <c r="O891" s="8" t="str">
        <f t="shared" si="135"/>
        <v>Madhya Pradesh</v>
      </c>
      <c r="P891" s="8" t="s">
        <v>71</v>
      </c>
      <c r="Q891" s="8" t="str">
        <f t="shared" si="136"/>
        <v>Indore</v>
      </c>
      <c r="R891" s="8" t="s">
        <v>26</v>
      </c>
      <c r="S891" s="8" t="str">
        <f t="shared" si="137"/>
        <v>Office Supplies</v>
      </c>
      <c r="T891" s="8" t="s">
        <v>122</v>
      </c>
      <c r="U891" s="8" t="str">
        <f t="shared" si="138"/>
        <v>Storage</v>
      </c>
      <c r="V891" s="8" t="s">
        <v>2769</v>
      </c>
    </row>
    <row r="892" spans="1:22">
      <c r="A892" s="8" t="s">
        <v>2770</v>
      </c>
      <c r="B892" s="8">
        <f t="shared" si="130"/>
        <v>1</v>
      </c>
      <c r="C892" s="8" t="str">
        <f t="shared" si="131"/>
        <v>Unique</v>
      </c>
      <c r="D892" s="9">
        <v>45427</v>
      </c>
      <c r="E892" s="8">
        <f t="shared" si="132"/>
        <v>6</v>
      </c>
      <c r="F892" s="10">
        <v>45433</v>
      </c>
      <c r="G892" s="8" t="s">
        <v>2771</v>
      </c>
      <c r="H892" s="8" t="s">
        <v>21</v>
      </c>
      <c r="I892" s="8" t="str">
        <f t="shared" si="139"/>
        <v>Karan Malhotra</v>
      </c>
      <c r="J892" s="8" t="s">
        <v>22</v>
      </c>
      <c r="K892" s="8" t="str">
        <f t="shared" si="133"/>
        <v>Consumer</v>
      </c>
      <c r="L892" s="8" t="s">
        <v>61</v>
      </c>
      <c r="M892" s="8" t="str">
        <f t="shared" si="134"/>
        <v>West</v>
      </c>
      <c r="N892" s="8" t="s">
        <v>188</v>
      </c>
      <c r="O892" s="8" t="str">
        <f t="shared" si="135"/>
        <v>Goa</v>
      </c>
      <c r="P892" s="8" t="s">
        <v>189</v>
      </c>
      <c r="Q892" s="8" t="str">
        <f t="shared" si="136"/>
        <v>Panaji</v>
      </c>
      <c r="R892" s="8" t="s">
        <v>26</v>
      </c>
      <c r="S892" s="8" t="str">
        <f t="shared" si="137"/>
        <v>Office Supplies</v>
      </c>
      <c r="T892" s="8" t="s">
        <v>122</v>
      </c>
      <c r="U892" s="8" t="str">
        <f t="shared" si="138"/>
        <v>Storage</v>
      </c>
      <c r="V892" s="8" t="s">
        <v>2772</v>
      </c>
    </row>
    <row r="893" spans="1:22">
      <c r="A893" s="8" t="s">
        <v>2773</v>
      </c>
      <c r="B893" s="8">
        <f t="shared" si="130"/>
        <v>1</v>
      </c>
      <c r="C893" s="8" t="str">
        <f t="shared" si="131"/>
        <v>Unique</v>
      </c>
      <c r="D893" s="9">
        <v>45514</v>
      </c>
      <c r="E893" s="8">
        <f t="shared" si="132"/>
        <v>31</v>
      </c>
      <c r="F893" s="10">
        <v>45545</v>
      </c>
      <c r="G893" s="8" t="s">
        <v>2774</v>
      </c>
      <c r="H893" s="8" t="s">
        <v>263</v>
      </c>
      <c r="I893" s="8" t="str">
        <f t="shared" si="139"/>
        <v>Kabir Singh</v>
      </c>
      <c r="J893" s="8" t="s">
        <v>88</v>
      </c>
      <c r="K893" s="8" t="str">
        <f t="shared" si="133"/>
        <v>Corporate</v>
      </c>
      <c r="L893" s="8" t="s">
        <v>52</v>
      </c>
      <c r="M893" s="8" t="str">
        <f t="shared" si="134"/>
        <v>South</v>
      </c>
      <c r="N893" s="8" t="s">
        <v>246</v>
      </c>
      <c r="O893" s="8" t="str">
        <f t="shared" si="135"/>
        <v>Tamil Nadu</v>
      </c>
      <c r="P893" s="8" t="s">
        <v>247</v>
      </c>
      <c r="Q893" s="8" t="str">
        <f t="shared" si="136"/>
        <v>Chennai</v>
      </c>
      <c r="R893" s="8" t="s">
        <v>72</v>
      </c>
      <c r="S893" s="8" t="str">
        <f t="shared" si="137"/>
        <v>Technology</v>
      </c>
      <c r="T893" s="8" t="s">
        <v>273</v>
      </c>
      <c r="U893" s="8" t="str">
        <f t="shared" si="138"/>
        <v>Machines</v>
      </c>
      <c r="V893" s="8" t="s">
        <v>2775</v>
      </c>
    </row>
    <row r="894" spans="1:22">
      <c r="A894" s="8" t="s">
        <v>2776</v>
      </c>
      <c r="B894" s="8">
        <f t="shared" si="130"/>
        <v>1</v>
      </c>
      <c r="C894" s="8" t="str">
        <f t="shared" si="131"/>
        <v>Unique</v>
      </c>
      <c r="D894" s="9">
        <v>45759</v>
      </c>
      <c r="E894" s="8">
        <f t="shared" si="132"/>
        <v>6</v>
      </c>
      <c r="F894" s="10">
        <v>45765</v>
      </c>
      <c r="G894" s="8" t="s">
        <v>2777</v>
      </c>
      <c r="H894" s="8" t="s">
        <v>45</v>
      </c>
      <c r="I894" s="8" t="str">
        <f t="shared" si="139"/>
        <v>Isha Nair</v>
      </c>
      <c r="J894" s="8" t="s">
        <v>35</v>
      </c>
      <c r="K894" s="8" t="str">
        <f t="shared" si="133"/>
        <v>Small Business</v>
      </c>
      <c r="L894" s="8" t="s">
        <v>36</v>
      </c>
      <c r="M894" s="8" t="str">
        <f t="shared" si="134"/>
        <v>East</v>
      </c>
      <c r="N894" s="8" t="s">
        <v>227</v>
      </c>
      <c r="O894" s="8" t="str">
        <f t="shared" si="135"/>
        <v>Jharkhand</v>
      </c>
      <c r="P894" s="8" t="s">
        <v>228</v>
      </c>
      <c r="Q894" s="8" t="str">
        <f t="shared" si="136"/>
        <v>Ranchi</v>
      </c>
      <c r="R894" s="8" t="s">
        <v>72</v>
      </c>
      <c r="S894" s="8" t="str">
        <f t="shared" si="137"/>
        <v>Technology</v>
      </c>
      <c r="T894" s="8" t="s">
        <v>78</v>
      </c>
      <c r="U894" s="8" t="str">
        <f t="shared" si="138"/>
        <v>Copiers</v>
      </c>
      <c r="V894" s="8" t="s">
        <v>2778</v>
      </c>
    </row>
    <row r="895" spans="1:22">
      <c r="A895" s="8" t="s">
        <v>2779</v>
      </c>
      <c r="B895" s="8">
        <f t="shared" si="130"/>
        <v>1</v>
      </c>
      <c r="C895" s="8" t="str">
        <f t="shared" si="131"/>
        <v>Unique</v>
      </c>
      <c r="D895" s="9">
        <v>45449</v>
      </c>
      <c r="E895" s="8">
        <f t="shared" si="132"/>
        <v>61</v>
      </c>
      <c r="F895" s="10">
        <v>45510</v>
      </c>
      <c r="G895" s="8" t="s">
        <v>2780</v>
      </c>
      <c r="H895" s="8" t="s">
        <v>126</v>
      </c>
      <c r="I895" s="8" t="str">
        <f t="shared" si="139"/>
        <v>Aarav Sharma</v>
      </c>
      <c r="J895" s="8" t="s">
        <v>88</v>
      </c>
      <c r="K895" s="8" t="str">
        <f t="shared" si="133"/>
        <v>Corporate</v>
      </c>
      <c r="L895" s="8" t="s">
        <v>52</v>
      </c>
      <c r="M895" s="8" t="str">
        <f t="shared" si="134"/>
        <v>South</v>
      </c>
      <c r="N895" s="8" t="s">
        <v>173</v>
      </c>
      <c r="O895" s="8" t="str">
        <f t="shared" si="135"/>
        <v>Karnataka</v>
      </c>
      <c r="P895" s="8" t="s">
        <v>174</v>
      </c>
      <c r="Q895" s="8" t="str">
        <f t="shared" si="136"/>
        <v>Bengaluru</v>
      </c>
      <c r="R895" s="8" t="s">
        <v>39</v>
      </c>
      <c r="S895" s="8" t="str">
        <f t="shared" si="137"/>
        <v>Furniture</v>
      </c>
      <c r="T895" s="8" t="s">
        <v>40</v>
      </c>
      <c r="U895" s="8" t="str">
        <f t="shared" si="138"/>
        <v>Tables</v>
      </c>
      <c r="V895" s="8" t="s">
        <v>2781</v>
      </c>
    </row>
    <row r="896" spans="1:22">
      <c r="A896" s="8" t="s">
        <v>2782</v>
      </c>
      <c r="B896" s="8">
        <f t="shared" si="130"/>
        <v>1</v>
      </c>
      <c r="C896" s="8" t="str">
        <f t="shared" si="131"/>
        <v>Unique</v>
      </c>
      <c r="D896" s="9">
        <v>45344</v>
      </c>
      <c r="E896" s="8">
        <f t="shared" si="132"/>
        <v>7</v>
      </c>
      <c r="F896" s="10">
        <v>45351</v>
      </c>
      <c r="G896" s="8" t="s">
        <v>2783</v>
      </c>
      <c r="H896" s="8" t="s">
        <v>45</v>
      </c>
      <c r="I896" s="8" t="str">
        <f t="shared" si="139"/>
        <v>Isha Nair</v>
      </c>
      <c r="J896" s="8" t="s">
        <v>93</v>
      </c>
      <c r="K896" s="8" t="str">
        <f t="shared" si="133"/>
        <v>Home Office</v>
      </c>
      <c r="L896" s="8" t="s">
        <v>52</v>
      </c>
      <c r="M896" s="8" t="str">
        <f t="shared" si="134"/>
        <v>South</v>
      </c>
      <c r="N896" s="8" t="s">
        <v>53</v>
      </c>
      <c r="O896" s="8" t="str">
        <f t="shared" si="135"/>
        <v>Telangana</v>
      </c>
      <c r="P896" s="8" t="s">
        <v>54</v>
      </c>
      <c r="Q896" s="8" t="str">
        <f t="shared" si="136"/>
        <v>Hyderabad</v>
      </c>
      <c r="R896" s="8" t="s">
        <v>39</v>
      </c>
      <c r="S896" s="8" t="str">
        <f t="shared" si="137"/>
        <v>Furniture</v>
      </c>
      <c r="T896" s="8" t="s">
        <v>40</v>
      </c>
      <c r="U896" s="8" t="str">
        <f t="shared" si="138"/>
        <v>Tables</v>
      </c>
      <c r="V896" s="8" t="s">
        <v>2784</v>
      </c>
    </row>
    <row r="897" spans="1:22">
      <c r="A897" s="8" t="s">
        <v>2785</v>
      </c>
      <c r="B897" s="8">
        <f t="shared" si="130"/>
        <v>1</v>
      </c>
      <c r="C897" s="8" t="str">
        <f t="shared" si="131"/>
        <v>Unique</v>
      </c>
      <c r="D897" s="9">
        <v>45423</v>
      </c>
      <c r="E897" s="8">
        <f t="shared" si="132"/>
        <v>183</v>
      </c>
      <c r="F897" s="10">
        <v>45606</v>
      </c>
      <c r="G897" s="8" t="s">
        <v>2786</v>
      </c>
      <c r="H897" s="8" t="s">
        <v>51</v>
      </c>
      <c r="I897" s="8" t="str">
        <f t="shared" si="139"/>
        <v>Arjun Bose</v>
      </c>
      <c r="J897" s="8" t="s">
        <v>22</v>
      </c>
      <c r="K897" s="8" t="str">
        <f t="shared" si="133"/>
        <v>Consumer</v>
      </c>
      <c r="L897" s="8" t="s">
        <v>52</v>
      </c>
      <c r="M897" s="8" t="str">
        <f t="shared" si="134"/>
        <v>South</v>
      </c>
      <c r="N897" s="8" t="s">
        <v>183</v>
      </c>
      <c r="O897" s="8" t="str">
        <f t="shared" si="135"/>
        <v>Kerala</v>
      </c>
      <c r="P897" s="8" t="s">
        <v>184</v>
      </c>
      <c r="Q897" s="8" t="str">
        <f t="shared" si="136"/>
        <v>Kochi</v>
      </c>
      <c r="R897" s="8" t="s">
        <v>39</v>
      </c>
      <c r="S897" s="8" t="str">
        <f t="shared" si="137"/>
        <v>Furniture</v>
      </c>
      <c r="T897" s="8" t="s">
        <v>64</v>
      </c>
      <c r="U897" s="8" t="str">
        <f t="shared" si="138"/>
        <v>Chairs</v>
      </c>
      <c r="V897" s="8" t="s">
        <v>2787</v>
      </c>
    </row>
    <row r="898" spans="1:22">
      <c r="A898" s="8" t="s">
        <v>2788</v>
      </c>
      <c r="B898" s="8">
        <f t="shared" si="130"/>
        <v>1</v>
      </c>
      <c r="C898" s="8" t="str">
        <f t="shared" si="131"/>
        <v>Unique</v>
      </c>
      <c r="D898" s="9">
        <v>45650</v>
      </c>
      <c r="E898" s="8">
        <f t="shared" si="132"/>
        <v>1</v>
      </c>
      <c r="F898" s="10">
        <v>45651</v>
      </c>
      <c r="G898" s="8" t="s">
        <v>2789</v>
      </c>
      <c r="H898" s="8" t="s">
        <v>60</v>
      </c>
      <c r="I898" s="8" t="str">
        <f t="shared" si="139"/>
        <v>Ananya Rao</v>
      </c>
      <c r="J898" s="8" t="s">
        <v>35</v>
      </c>
      <c r="K898" s="8" t="str">
        <f t="shared" si="133"/>
        <v>Small Business</v>
      </c>
      <c r="L898" s="8" t="s">
        <v>52</v>
      </c>
      <c r="M898" s="8" t="str">
        <f t="shared" si="134"/>
        <v>South</v>
      </c>
      <c r="N898" s="8" t="s">
        <v>246</v>
      </c>
      <c r="O898" s="8" t="str">
        <f t="shared" si="135"/>
        <v>Tamil Nadu</v>
      </c>
      <c r="P898" s="8" t="s">
        <v>247</v>
      </c>
      <c r="Q898" s="8" t="str">
        <f t="shared" si="136"/>
        <v>Chennai</v>
      </c>
      <c r="R898" s="8" t="s">
        <v>72</v>
      </c>
      <c r="S898" s="8" t="str">
        <f t="shared" si="137"/>
        <v>Technology</v>
      </c>
      <c r="T898" s="8" t="s">
        <v>78</v>
      </c>
      <c r="U898" s="8" t="str">
        <f t="shared" si="138"/>
        <v>Copiers</v>
      </c>
      <c r="V898" s="8" t="s">
        <v>2790</v>
      </c>
    </row>
    <row r="899" spans="1:22">
      <c r="A899" s="8" t="s">
        <v>2791</v>
      </c>
      <c r="B899" s="8">
        <f t="shared" ref="B899:B933" si="140">COUNTIF($A:$A,A899)</f>
        <v>1</v>
      </c>
      <c r="C899" s="8" t="str">
        <f t="shared" ref="C899:C933" si="141">IF(B899&gt;1,"Review Duplicate ID","Unique")</f>
        <v>Unique</v>
      </c>
      <c r="D899" s="9">
        <v>45776</v>
      </c>
      <c r="E899" s="8">
        <f t="shared" ref="E899:E933" si="142">F899-D899</f>
        <v>-55</v>
      </c>
      <c r="F899" s="10">
        <v>45721</v>
      </c>
      <c r="G899" s="8" t="s">
        <v>2150</v>
      </c>
      <c r="H899" s="8" t="s">
        <v>139</v>
      </c>
      <c r="I899" s="8" t="str">
        <f t="shared" si="139"/>
        <v>Rohan Mehta</v>
      </c>
      <c r="J899" s="8" t="s">
        <v>88</v>
      </c>
      <c r="K899" s="8" t="str">
        <f t="shared" ref="K899:K933" si="143">PROPER(TRIM(J899))</f>
        <v>Corporate</v>
      </c>
      <c r="L899" s="8" t="s">
        <v>23</v>
      </c>
      <c r="M899" s="8" t="str">
        <f t="shared" ref="M899:M933" si="144">PROPER(TRIM(L899))</f>
        <v>North</v>
      </c>
      <c r="N899" s="8" t="s">
        <v>235</v>
      </c>
      <c r="O899" s="8" t="str">
        <f t="shared" ref="O899:O933" si="145">PROPER(TRIM(N899))</f>
        <v>Haryana</v>
      </c>
      <c r="P899" s="8" t="s">
        <v>236</v>
      </c>
      <c r="Q899" s="8" t="str">
        <f t="shared" ref="Q899:Q933" si="146">PROPER(TRIM(P899))</f>
        <v>Gurugram</v>
      </c>
      <c r="R899" s="8" t="s">
        <v>26</v>
      </c>
      <c r="S899" s="8" t="str">
        <f t="shared" ref="S899:S933" si="147">PROPER(TRIM(R899))</f>
        <v>Office Supplies</v>
      </c>
      <c r="T899" s="8" t="s">
        <v>27</v>
      </c>
      <c r="U899" s="8" t="str">
        <f t="shared" ref="U899:U933" si="148">PROPER(TRIM(T899))</f>
        <v>Paper</v>
      </c>
      <c r="V899" s="8" t="s">
        <v>2792</v>
      </c>
    </row>
    <row r="900" spans="1:22">
      <c r="A900" s="8" t="s">
        <v>2793</v>
      </c>
      <c r="B900" s="8">
        <f t="shared" si="140"/>
        <v>1</v>
      </c>
      <c r="C900" s="8" t="str">
        <f t="shared" si="141"/>
        <v>Unique</v>
      </c>
      <c r="D900" s="9">
        <v>45328</v>
      </c>
      <c r="E900" s="8">
        <f t="shared" si="142"/>
        <v>123</v>
      </c>
      <c r="F900" s="10">
        <v>45451</v>
      </c>
      <c r="G900" s="8" t="s">
        <v>2794</v>
      </c>
      <c r="H900" s="8" t="s">
        <v>69</v>
      </c>
      <c r="I900" s="8" t="str">
        <f t="shared" ref="I900:I933" si="149">PROPER(TRIM(H900))</f>
        <v>Vikram Iyer</v>
      </c>
      <c r="J900" s="8" t="s">
        <v>22</v>
      </c>
      <c r="K900" s="8" t="str">
        <f t="shared" si="143"/>
        <v>Consumer</v>
      </c>
      <c r="L900" s="8" t="s">
        <v>23</v>
      </c>
      <c r="M900" s="8" t="str">
        <f t="shared" si="144"/>
        <v>North</v>
      </c>
      <c r="N900" s="8" t="s">
        <v>349</v>
      </c>
      <c r="O900" s="8" t="str">
        <f t="shared" si="145"/>
        <v>Delhi</v>
      </c>
      <c r="P900" s="8" t="s">
        <v>350</v>
      </c>
      <c r="Q900" s="8" t="str">
        <f t="shared" si="146"/>
        <v>New Delhi</v>
      </c>
      <c r="R900" s="8" t="s">
        <v>39</v>
      </c>
      <c r="S900" s="8" t="str">
        <f t="shared" si="147"/>
        <v>Furniture</v>
      </c>
      <c r="T900" s="8" t="s">
        <v>40</v>
      </c>
      <c r="U900" s="8" t="str">
        <f t="shared" si="148"/>
        <v>Tables</v>
      </c>
      <c r="V900" s="8" t="s">
        <v>2795</v>
      </c>
    </row>
    <row r="901" spans="1:22">
      <c r="A901" s="8" t="s">
        <v>2796</v>
      </c>
      <c r="B901" s="8">
        <f t="shared" si="140"/>
        <v>1</v>
      </c>
      <c r="C901" s="8" t="str">
        <f t="shared" si="141"/>
        <v>Unique</v>
      </c>
      <c r="D901" s="9">
        <v>45804</v>
      </c>
      <c r="E901" s="8">
        <f t="shared" si="142"/>
        <v>7</v>
      </c>
      <c r="F901" s="10">
        <v>45811</v>
      </c>
      <c r="G901" s="8" t="s">
        <v>2797</v>
      </c>
      <c r="H901" s="8" t="s">
        <v>21</v>
      </c>
      <c r="I901" s="8" t="str">
        <f t="shared" si="149"/>
        <v>Karan Malhotra</v>
      </c>
      <c r="J901" s="8" t="s">
        <v>22</v>
      </c>
      <c r="K901" s="8" t="str">
        <f t="shared" si="143"/>
        <v>Consumer</v>
      </c>
      <c r="L901" s="8" t="s">
        <v>23</v>
      </c>
      <c r="M901" s="8" t="str">
        <f t="shared" si="144"/>
        <v>North</v>
      </c>
      <c r="N901" s="8" t="s">
        <v>120</v>
      </c>
      <c r="O901" s="8" t="str">
        <f t="shared" si="145"/>
        <v>Punjab</v>
      </c>
      <c r="P901" s="8" t="s">
        <v>121</v>
      </c>
      <c r="Q901" s="8" t="str">
        <f t="shared" si="146"/>
        <v>Ludhiana</v>
      </c>
      <c r="R901" s="8" t="s">
        <v>39</v>
      </c>
      <c r="S901" s="8" t="str">
        <f t="shared" si="147"/>
        <v>Furniture</v>
      </c>
      <c r="T901" s="8" t="s">
        <v>64</v>
      </c>
      <c r="U901" s="8" t="str">
        <f t="shared" si="148"/>
        <v>Chairs</v>
      </c>
      <c r="V901" s="8" t="s">
        <v>2798</v>
      </c>
    </row>
    <row r="902" spans="1:22">
      <c r="A902" s="8" t="s">
        <v>1628</v>
      </c>
      <c r="B902" s="8">
        <f t="shared" si="140"/>
        <v>2</v>
      </c>
      <c r="C902" s="8" t="str">
        <f t="shared" si="141"/>
        <v>Review Duplicate ID</v>
      </c>
      <c r="D902" s="9">
        <v>45383</v>
      </c>
      <c r="E902" s="8">
        <f t="shared" si="142"/>
        <v>156</v>
      </c>
      <c r="F902" s="10">
        <v>45539</v>
      </c>
      <c r="G902" s="8" t="s">
        <v>1629</v>
      </c>
      <c r="H902" s="8" t="s">
        <v>112</v>
      </c>
      <c r="I902" s="8" t="str">
        <f t="shared" si="149"/>
        <v>Priya Menon</v>
      </c>
      <c r="J902" s="8" t="s">
        <v>35</v>
      </c>
      <c r="K902" s="8" t="str">
        <f t="shared" si="143"/>
        <v>Small Business</v>
      </c>
      <c r="L902" s="8" t="s">
        <v>36</v>
      </c>
      <c r="M902" s="8" t="str">
        <f t="shared" si="144"/>
        <v>East</v>
      </c>
      <c r="N902" s="8" t="s">
        <v>37</v>
      </c>
      <c r="O902" s="8" t="str">
        <f t="shared" si="145"/>
        <v>Odisha</v>
      </c>
      <c r="P902" s="8" t="s">
        <v>38</v>
      </c>
      <c r="Q902" s="8" t="str">
        <f t="shared" si="146"/>
        <v>Bhubaneswar</v>
      </c>
      <c r="R902" s="8" t="s">
        <v>72</v>
      </c>
      <c r="S902" s="8" t="str">
        <f t="shared" si="147"/>
        <v>Technology</v>
      </c>
      <c r="T902" s="8" t="s">
        <v>78</v>
      </c>
      <c r="U902" s="8" t="str">
        <f t="shared" si="148"/>
        <v>Copiers</v>
      </c>
      <c r="V902" s="8" t="s">
        <v>1630</v>
      </c>
    </row>
    <row r="903" spans="1:22">
      <c r="A903" s="8" t="s">
        <v>1913</v>
      </c>
      <c r="B903" s="8">
        <f t="shared" si="140"/>
        <v>2</v>
      </c>
      <c r="C903" s="8" t="str">
        <f t="shared" si="141"/>
        <v>Review Duplicate ID</v>
      </c>
      <c r="D903" s="9">
        <v>45521</v>
      </c>
      <c r="E903" s="8">
        <f t="shared" si="142"/>
        <v>7</v>
      </c>
      <c r="F903" s="10">
        <v>45528</v>
      </c>
      <c r="G903" s="8" t="s">
        <v>1914</v>
      </c>
      <c r="H903" s="8" t="s">
        <v>60</v>
      </c>
      <c r="I903" s="8" t="str">
        <f t="shared" si="149"/>
        <v>Ananya Rao</v>
      </c>
      <c r="J903" s="8" t="s">
        <v>88</v>
      </c>
      <c r="K903" s="8" t="str">
        <f t="shared" si="143"/>
        <v>Corporate</v>
      </c>
      <c r="L903" s="8" t="s">
        <v>36</v>
      </c>
      <c r="M903" s="8" t="str">
        <f t="shared" si="144"/>
        <v>East</v>
      </c>
      <c r="N903" s="8" t="s">
        <v>97</v>
      </c>
      <c r="O903" s="8" t="str">
        <f t="shared" si="145"/>
        <v>West Bengal</v>
      </c>
      <c r="P903" s="8" t="s">
        <v>98</v>
      </c>
      <c r="Q903" s="8" t="str">
        <f t="shared" si="146"/>
        <v>Kolkata</v>
      </c>
      <c r="R903" s="8" t="s">
        <v>72</v>
      </c>
      <c r="S903" s="8" t="str">
        <f t="shared" si="147"/>
        <v>Technology</v>
      </c>
      <c r="T903" s="8" t="s">
        <v>78</v>
      </c>
      <c r="U903" s="8" t="str">
        <f t="shared" si="148"/>
        <v>Copiers</v>
      </c>
      <c r="V903" s="8" t="s">
        <v>1915</v>
      </c>
    </row>
    <row r="904" spans="1:22">
      <c r="A904" s="8" t="s">
        <v>2194</v>
      </c>
      <c r="B904" s="8">
        <f t="shared" si="140"/>
        <v>2</v>
      </c>
      <c r="C904" s="8" t="str">
        <f t="shared" si="141"/>
        <v>Review Duplicate ID</v>
      </c>
      <c r="D904" s="9">
        <v>45665</v>
      </c>
      <c r="E904" s="8">
        <f t="shared" si="142"/>
        <v>243</v>
      </c>
      <c r="F904" s="10">
        <v>45908</v>
      </c>
      <c r="G904" s="8" t="s">
        <v>1152</v>
      </c>
      <c r="H904" s="8" t="s">
        <v>45</v>
      </c>
      <c r="I904" s="8" t="str">
        <f t="shared" si="149"/>
        <v>Isha Nair</v>
      </c>
      <c r="J904" s="8" t="s">
        <v>22</v>
      </c>
      <c r="K904" s="8" t="str">
        <f t="shared" si="143"/>
        <v>Consumer</v>
      </c>
      <c r="L904" s="8" t="s">
        <v>52</v>
      </c>
      <c r="M904" s="8" t="str">
        <f t="shared" si="144"/>
        <v>South</v>
      </c>
      <c r="N904" s="8" t="s">
        <v>82</v>
      </c>
      <c r="O904" s="8" t="str">
        <f t="shared" si="145"/>
        <v>Andhra Pradesh</v>
      </c>
      <c r="P904" s="8" t="s">
        <v>83</v>
      </c>
      <c r="Q904" s="8" t="str">
        <f t="shared" si="146"/>
        <v>Vijayawada</v>
      </c>
      <c r="R904" s="8" t="s">
        <v>26</v>
      </c>
      <c r="S904" s="8" t="str">
        <f t="shared" si="147"/>
        <v>Office Supplies</v>
      </c>
      <c r="T904" s="8" t="s">
        <v>122</v>
      </c>
      <c r="U904" s="8" t="str">
        <f t="shared" si="148"/>
        <v>Storage</v>
      </c>
      <c r="V904" s="8" t="s">
        <v>2195</v>
      </c>
    </row>
    <row r="905" spans="1:22">
      <c r="A905" s="8" t="s">
        <v>2223</v>
      </c>
      <c r="B905" s="8">
        <f t="shared" si="140"/>
        <v>2</v>
      </c>
      <c r="C905" s="8" t="str">
        <f t="shared" si="141"/>
        <v>Review Duplicate ID</v>
      </c>
      <c r="D905" s="9">
        <v>45364</v>
      </c>
      <c r="E905" s="8">
        <f t="shared" si="142"/>
        <v>7</v>
      </c>
      <c r="F905" s="10">
        <v>45371</v>
      </c>
      <c r="G905" s="8" t="s">
        <v>2224</v>
      </c>
      <c r="H905" s="8" t="s">
        <v>112</v>
      </c>
      <c r="I905" s="8" t="str">
        <f t="shared" si="149"/>
        <v>Priya Menon</v>
      </c>
      <c r="J905" s="8" t="s">
        <v>93</v>
      </c>
      <c r="K905" s="8" t="str">
        <f t="shared" si="143"/>
        <v>Home Office</v>
      </c>
      <c r="L905" s="8" t="s">
        <v>52</v>
      </c>
      <c r="M905" s="8" t="str">
        <f t="shared" si="144"/>
        <v>South</v>
      </c>
      <c r="N905" s="8" t="s">
        <v>246</v>
      </c>
      <c r="O905" s="8" t="str">
        <f t="shared" si="145"/>
        <v>Tamil Nadu</v>
      </c>
      <c r="P905" s="8" t="s">
        <v>247</v>
      </c>
      <c r="Q905" s="8" t="str">
        <f t="shared" si="146"/>
        <v>Chennai</v>
      </c>
      <c r="R905" s="8" t="s">
        <v>39</v>
      </c>
      <c r="S905" s="8" t="str">
        <f t="shared" si="147"/>
        <v>Furniture</v>
      </c>
      <c r="T905" s="8" t="s">
        <v>156</v>
      </c>
      <c r="U905" s="8" t="str">
        <f t="shared" si="148"/>
        <v>Bookcases</v>
      </c>
      <c r="V905" s="8" t="s">
        <v>2225</v>
      </c>
    </row>
    <row r="906" spans="1:22">
      <c r="A906" s="8" t="s">
        <v>948</v>
      </c>
      <c r="B906" s="8">
        <f t="shared" si="140"/>
        <v>2</v>
      </c>
      <c r="C906" s="8" t="str">
        <f t="shared" si="141"/>
        <v>Review Duplicate ID</v>
      </c>
      <c r="D906" s="9">
        <v>45313</v>
      </c>
      <c r="E906" s="8">
        <f t="shared" si="142"/>
        <v>1</v>
      </c>
      <c r="F906" s="10">
        <v>45314</v>
      </c>
      <c r="G906" s="8" t="s">
        <v>949</v>
      </c>
      <c r="H906" s="8" t="s">
        <v>126</v>
      </c>
      <c r="I906" s="8" t="str">
        <f t="shared" si="149"/>
        <v>Aarav Sharma</v>
      </c>
      <c r="J906" s="8" t="s">
        <v>35</v>
      </c>
      <c r="K906" s="8" t="str">
        <f t="shared" si="143"/>
        <v>Small Business</v>
      </c>
      <c r="M906" s="8" t="str">
        <f t="shared" si="144"/>
        <v/>
      </c>
      <c r="N906" s="8" t="s">
        <v>164</v>
      </c>
      <c r="O906" s="8" t="str">
        <f t="shared" si="145"/>
        <v>Assam</v>
      </c>
      <c r="P906" s="8" t="s">
        <v>165</v>
      </c>
      <c r="Q906" s="8" t="str">
        <f t="shared" si="146"/>
        <v>Guwahati</v>
      </c>
      <c r="R906" s="8" t="s">
        <v>39</v>
      </c>
      <c r="S906" s="8" t="str">
        <f t="shared" si="147"/>
        <v>Furniture</v>
      </c>
      <c r="T906" s="8" t="s">
        <v>64</v>
      </c>
      <c r="U906" s="8" t="str">
        <f t="shared" si="148"/>
        <v>Chairs</v>
      </c>
      <c r="V906" s="8" t="s">
        <v>950</v>
      </c>
    </row>
    <row r="907" spans="1:22">
      <c r="A907" s="8" t="s">
        <v>2012</v>
      </c>
      <c r="B907" s="8">
        <f t="shared" si="140"/>
        <v>2</v>
      </c>
      <c r="C907" s="8" t="str">
        <f t="shared" si="141"/>
        <v>Review Duplicate ID</v>
      </c>
      <c r="D907" s="9">
        <v>45762</v>
      </c>
      <c r="E907" s="8">
        <f t="shared" si="142"/>
        <v>1</v>
      </c>
      <c r="F907" s="10">
        <v>45763</v>
      </c>
      <c r="G907" s="8" t="s">
        <v>2013</v>
      </c>
      <c r="H907" s="8" t="s">
        <v>130</v>
      </c>
      <c r="I907" s="8" t="str">
        <f t="shared" si="149"/>
        <v>Sneha Kapoor</v>
      </c>
      <c r="J907" s="8" t="s">
        <v>35</v>
      </c>
      <c r="K907" s="8" t="str">
        <f t="shared" si="143"/>
        <v>Small Business</v>
      </c>
      <c r="L907" s="8" t="s">
        <v>52</v>
      </c>
      <c r="M907" s="8" t="str">
        <f t="shared" si="144"/>
        <v>South</v>
      </c>
      <c r="N907" s="8" t="s">
        <v>173</v>
      </c>
      <c r="O907" s="8" t="str">
        <f t="shared" si="145"/>
        <v>Karnataka</v>
      </c>
      <c r="P907" s="8" t="s">
        <v>174</v>
      </c>
      <c r="Q907" s="8" t="str">
        <f t="shared" si="146"/>
        <v>Bengaluru</v>
      </c>
      <c r="R907" s="8" t="s">
        <v>39</v>
      </c>
      <c r="S907" s="8" t="str">
        <f t="shared" si="147"/>
        <v>Furniture</v>
      </c>
      <c r="T907" s="8" t="s">
        <v>55</v>
      </c>
      <c r="U907" s="8" t="str">
        <f t="shared" si="148"/>
        <v>Furnishings</v>
      </c>
      <c r="V907" s="8" t="s">
        <v>2014</v>
      </c>
    </row>
    <row r="908" spans="1:22">
      <c r="A908" s="8" t="s">
        <v>2296</v>
      </c>
      <c r="B908" s="8">
        <f t="shared" si="140"/>
        <v>2</v>
      </c>
      <c r="C908" s="8" t="str">
        <f t="shared" si="141"/>
        <v>Review Duplicate ID</v>
      </c>
      <c r="D908" s="9">
        <v>45794</v>
      </c>
      <c r="E908" s="8">
        <f t="shared" si="142"/>
        <v>8</v>
      </c>
      <c r="F908" s="10">
        <v>45802</v>
      </c>
      <c r="G908" s="8" t="s">
        <v>2297</v>
      </c>
      <c r="H908" s="8" t="s">
        <v>60</v>
      </c>
      <c r="I908" s="8" t="str">
        <f t="shared" si="149"/>
        <v>Ananya Rao</v>
      </c>
      <c r="J908" s="8" t="s">
        <v>88</v>
      </c>
      <c r="K908" s="8" t="str">
        <f t="shared" si="143"/>
        <v>Corporate</v>
      </c>
      <c r="L908" s="8" t="s">
        <v>52</v>
      </c>
      <c r="M908" s="8" t="str">
        <f t="shared" si="144"/>
        <v>South</v>
      </c>
      <c r="N908" s="8" t="s">
        <v>246</v>
      </c>
      <c r="O908" s="8" t="str">
        <f t="shared" si="145"/>
        <v>Tamil Nadu</v>
      </c>
      <c r="P908" s="8" t="s">
        <v>247</v>
      </c>
      <c r="Q908" s="8" t="str">
        <f t="shared" si="146"/>
        <v>Chennai</v>
      </c>
      <c r="R908" s="8" t="s">
        <v>72</v>
      </c>
      <c r="S908" s="8" t="str">
        <f t="shared" si="147"/>
        <v>Technology</v>
      </c>
      <c r="T908" s="8" t="s">
        <v>273</v>
      </c>
      <c r="U908" s="8" t="str">
        <f t="shared" si="148"/>
        <v>Machines</v>
      </c>
      <c r="V908" s="8" t="s">
        <v>2298</v>
      </c>
    </row>
    <row r="909" spans="1:22">
      <c r="A909" s="8" t="s">
        <v>511</v>
      </c>
      <c r="B909" s="8">
        <f t="shared" si="140"/>
        <v>2</v>
      </c>
      <c r="C909" s="8" t="str">
        <f t="shared" si="141"/>
        <v>Review Duplicate ID</v>
      </c>
      <c r="D909" s="9">
        <v>45639</v>
      </c>
      <c r="E909" s="8">
        <f t="shared" si="142"/>
        <v>5</v>
      </c>
      <c r="F909" s="10">
        <v>45644</v>
      </c>
      <c r="G909" s="8" t="s">
        <v>512</v>
      </c>
      <c r="H909" s="8" t="s">
        <v>21</v>
      </c>
      <c r="I909" s="8" t="str">
        <f t="shared" si="149"/>
        <v>Karan Malhotra</v>
      </c>
      <c r="J909" s="8" t="s">
        <v>22</v>
      </c>
      <c r="K909" s="8" t="str">
        <f t="shared" si="143"/>
        <v>Consumer</v>
      </c>
      <c r="L909" s="8" t="s">
        <v>61</v>
      </c>
      <c r="M909" s="8" t="str">
        <f t="shared" si="144"/>
        <v>West</v>
      </c>
      <c r="N909" s="8" t="s">
        <v>188</v>
      </c>
      <c r="O909" s="8" t="str">
        <f t="shared" si="145"/>
        <v>Goa</v>
      </c>
      <c r="P909" s="8" t="s">
        <v>189</v>
      </c>
      <c r="Q909" s="8" t="str">
        <f t="shared" si="146"/>
        <v>Panaji</v>
      </c>
      <c r="R909" s="8" t="s">
        <v>72</v>
      </c>
      <c r="S909" s="8" t="str">
        <f t="shared" si="147"/>
        <v>Technology</v>
      </c>
      <c r="T909" s="8" t="s">
        <v>169</v>
      </c>
      <c r="U909" s="8" t="str">
        <f t="shared" si="148"/>
        <v>Phones</v>
      </c>
      <c r="V909" s="8" t="s">
        <v>513</v>
      </c>
    </row>
    <row r="910" spans="1:22">
      <c r="A910" s="8" t="s">
        <v>2267</v>
      </c>
      <c r="B910" s="8">
        <f t="shared" si="140"/>
        <v>2</v>
      </c>
      <c r="C910" s="8" t="str">
        <f t="shared" si="141"/>
        <v>Review Duplicate ID</v>
      </c>
      <c r="D910" s="9">
        <v>45878</v>
      </c>
      <c r="E910" s="8">
        <f t="shared" si="142"/>
        <v>31</v>
      </c>
      <c r="F910" s="10">
        <v>45909</v>
      </c>
      <c r="G910" s="8" t="s">
        <v>142</v>
      </c>
      <c r="H910" s="8" t="s">
        <v>263</v>
      </c>
      <c r="I910" s="8" t="str">
        <f t="shared" si="149"/>
        <v>Kabir Singh</v>
      </c>
      <c r="J910" s="8" t="s">
        <v>88</v>
      </c>
      <c r="K910" s="8" t="str">
        <f t="shared" si="143"/>
        <v>Corporate</v>
      </c>
      <c r="L910" s="8" t="s">
        <v>61</v>
      </c>
      <c r="M910" s="8" t="str">
        <f t="shared" si="144"/>
        <v>West</v>
      </c>
      <c r="N910" s="8" t="s">
        <v>178</v>
      </c>
      <c r="O910" s="8" t="str">
        <f t="shared" si="145"/>
        <v>Gujarat</v>
      </c>
      <c r="P910" s="8" t="s">
        <v>179</v>
      </c>
      <c r="Q910" s="8" t="str">
        <f t="shared" si="146"/>
        <v>Ahmedabad</v>
      </c>
      <c r="R910" s="8" t="s">
        <v>26</v>
      </c>
      <c r="S910" s="8" t="str">
        <f t="shared" si="147"/>
        <v>Office Supplies</v>
      </c>
      <c r="T910" s="8" t="s">
        <v>46</v>
      </c>
      <c r="U910" s="8" t="str">
        <f t="shared" si="148"/>
        <v>Art</v>
      </c>
      <c r="V910" s="8" t="s">
        <v>2268</v>
      </c>
    </row>
    <row r="911" spans="1:22">
      <c r="A911" s="8" t="s">
        <v>1318</v>
      </c>
      <c r="B911" s="8">
        <f t="shared" si="140"/>
        <v>2</v>
      </c>
      <c r="C911" s="8" t="str">
        <f t="shared" si="141"/>
        <v>Review Duplicate ID</v>
      </c>
      <c r="D911" s="9">
        <v>45771</v>
      </c>
      <c r="E911" s="8">
        <f t="shared" si="142"/>
        <v>5</v>
      </c>
      <c r="F911" s="10">
        <v>45776</v>
      </c>
      <c r="G911" s="8" t="s">
        <v>1319</v>
      </c>
      <c r="H911" s="8" t="s">
        <v>160</v>
      </c>
      <c r="I911" s="8" t="str">
        <f t="shared" si="149"/>
        <v>Diya Patel</v>
      </c>
      <c r="J911" s="8" t="s">
        <v>35</v>
      </c>
      <c r="K911" s="8" t="str">
        <f t="shared" si="143"/>
        <v>Small Business</v>
      </c>
      <c r="L911" s="8" t="s">
        <v>52</v>
      </c>
      <c r="M911" s="8" t="str">
        <f t="shared" si="144"/>
        <v>South</v>
      </c>
      <c r="N911" s="8" t="s">
        <v>82</v>
      </c>
      <c r="O911" s="8" t="str">
        <f t="shared" si="145"/>
        <v>Andhra Pradesh</v>
      </c>
      <c r="P911" s="8" t="s">
        <v>83</v>
      </c>
      <c r="Q911" s="8" t="str">
        <f t="shared" si="146"/>
        <v>Vijayawada</v>
      </c>
      <c r="R911" s="8" t="s">
        <v>26</v>
      </c>
      <c r="S911" s="8" t="str">
        <f t="shared" si="147"/>
        <v>Office Supplies</v>
      </c>
      <c r="T911" s="8" t="s">
        <v>27</v>
      </c>
      <c r="U911" s="8" t="str">
        <f t="shared" si="148"/>
        <v>Paper</v>
      </c>
      <c r="V911" s="8" t="s">
        <v>1320</v>
      </c>
    </row>
    <row r="912" spans="1:22">
      <c r="A912" s="8" t="s">
        <v>480</v>
      </c>
      <c r="B912" s="8">
        <f t="shared" si="140"/>
        <v>3</v>
      </c>
      <c r="C912" s="8" t="str">
        <f t="shared" si="141"/>
        <v>Review Duplicate ID</v>
      </c>
      <c r="D912" s="9">
        <v>45436</v>
      </c>
      <c r="E912" s="8">
        <f t="shared" si="142"/>
        <v>1</v>
      </c>
      <c r="F912" s="10">
        <v>45437</v>
      </c>
      <c r="G912" s="8" t="s">
        <v>481</v>
      </c>
      <c r="H912" s="8" t="s">
        <v>130</v>
      </c>
      <c r="I912" s="8" t="str">
        <f t="shared" si="149"/>
        <v>Sneha Kapoor</v>
      </c>
      <c r="J912" s="8" t="s">
        <v>35</v>
      </c>
      <c r="K912" s="8" t="str">
        <f t="shared" si="143"/>
        <v>Small Business</v>
      </c>
      <c r="L912" s="8" t="s">
        <v>482</v>
      </c>
      <c r="M912" s="8" t="str">
        <f t="shared" si="144"/>
        <v>North</v>
      </c>
      <c r="N912" s="8" t="s">
        <v>120</v>
      </c>
      <c r="O912" s="8" t="str">
        <f t="shared" si="145"/>
        <v>Punjab</v>
      </c>
      <c r="P912" s="8" t="s">
        <v>121</v>
      </c>
      <c r="Q912" s="8" t="str">
        <f t="shared" si="146"/>
        <v>Ludhiana</v>
      </c>
      <c r="R912" s="8" t="s">
        <v>72</v>
      </c>
      <c r="S912" s="8" t="str">
        <f t="shared" si="147"/>
        <v>Technology</v>
      </c>
      <c r="T912" s="8" t="s">
        <v>78</v>
      </c>
      <c r="U912" s="8" t="str">
        <f t="shared" si="148"/>
        <v>Copiers</v>
      </c>
      <c r="V912" s="8" t="s">
        <v>483</v>
      </c>
    </row>
    <row r="913" spans="1:22">
      <c r="A913" s="8" t="s">
        <v>871</v>
      </c>
      <c r="B913" s="8">
        <f t="shared" si="140"/>
        <v>2</v>
      </c>
      <c r="C913" s="8" t="str">
        <f t="shared" si="141"/>
        <v>Review Duplicate ID</v>
      </c>
      <c r="D913" s="9">
        <v>45343</v>
      </c>
      <c r="E913" s="8">
        <f t="shared" si="142"/>
        <v>6</v>
      </c>
      <c r="F913" s="10">
        <v>45349</v>
      </c>
      <c r="G913" s="8" t="s">
        <v>872</v>
      </c>
      <c r="H913" s="8" t="s">
        <v>51</v>
      </c>
      <c r="I913" s="8" t="str">
        <f t="shared" si="149"/>
        <v>Arjun Bose</v>
      </c>
      <c r="J913" s="8" t="s">
        <v>35</v>
      </c>
      <c r="K913" s="8" t="str">
        <f t="shared" si="143"/>
        <v>Small Business</v>
      </c>
      <c r="L913" s="8" t="s">
        <v>36</v>
      </c>
      <c r="M913" s="8" t="str">
        <f t="shared" si="144"/>
        <v>East</v>
      </c>
      <c r="N913" s="8" t="s">
        <v>97</v>
      </c>
      <c r="O913" s="8" t="str">
        <f t="shared" si="145"/>
        <v>West Bengal</v>
      </c>
      <c r="P913" s="8" t="s">
        <v>98</v>
      </c>
      <c r="Q913" s="8" t="str">
        <f t="shared" si="146"/>
        <v>Kolkata</v>
      </c>
      <c r="R913" s="8" t="s">
        <v>39</v>
      </c>
      <c r="S913" s="8" t="str">
        <f t="shared" si="147"/>
        <v>Furniture</v>
      </c>
      <c r="T913" s="8" t="s">
        <v>55</v>
      </c>
      <c r="U913" s="8" t="str">
        <f t="shared" si="148"/>
        <v>Furnishings</v>
      </c>
      <c r="V913" s="8" t="s">
        <v>873</v>
      </c>
    </row>
    <row r="914" spans="1:22">
      <c r="A914" s="8" t="s">
        <v>1250</v>
      </c>
      <c r="B914" s="8">
        <f t="shared" si="140"/>
        <v>2</v>
      </c>
      <c r="C914" s="8" t="str">
        <f t="shared" si="141"/>
        <v>Review Duplicate ID</v>
      </c>
      <c r="D914" s="9">
        <v>45801</v>
      </c>
      <c r="E914" s="8">
        <f t="shared" si="142"/>
        <v>6</v>
      </c>
      <c r="F914" s="10">
        <v>45807</v>
      </c>
      <c r="G914" s="8" t="s">
        <v>1251</v>
      </c>
      <c r="H914" s="8" t="s">
        <v>263</v>
      </c>
      <c r="I914" s="8" t="str">
        <f t="shared" si="149"/>
        <v>Kabir Singh</v>
      </c>
      <c r="J914" s="8" t="s">
        <v>35</v>
      </c>
      <c r="K914" s="8" t="str">
        <f t="shared" si="143"/>
        <v>Small Business</v>
      </c>
      <c r="L914" s="8" t="s">
        <v>36</v>
      </c>
      <c r="M914" s="8" t="str">
        <f t="shared" si="144"/>
        <v>East</v>
      </c>
      <c r="N914" s="8" t="s">
        <v>37</v>
      </c>
      <c r="O914" s="8" t="str">
        <f t="shared" si="145"/>
        <v>Odisha</v>
      </c>
      <c r="P914" s="8" t="s">
        <v>38</v>
      </c>
      <c r="Q914" s="8" t="str">
        <f t="shared" si="146"/>
        <v>Bhubaneswar</v>
      </c>
      <c r="R914" s="8" t="s">
        <v>26</v>
      </c>
      <c r="S914" s="8" t="str">
        <f t="shared" si="147"/>
        <v>Office Supplies</v>
      </c>
      <c r="T914" s="8" t="s">
        <v>1252</v>
      </c>
      <c r="U914" s="8" t="str">
        <f t="shared" si="148"/>
        <v>Storage</v>
      </c>
      <c r="V914" s="8" t="s">
        <v>1253</v>
      </c>
    </row>
    <row r="915" spans="1:22">
      <c r="A915" s="8" t="s">
        <v>959</v>
      </c>
      <c r="B915" s="8">
        <f t="shared" si="140"/>
        <v>2</v>
      </c>
      <c r="C915" s="8" t="str">
        <f t="shared" si="141"/>
        <v>Review Duplicate ID</v>
      </c>
      <c r="D915" s="9">
        <v>45649</v>
      </c>
      <c r="E915" s="8">
        <f t="shared" si="142"/>
        <v>3</v>
      </c>
      <c r="F915" s="10">
        <v>45652</v>
      </c>
      <c r="G915" s="8" t="s">
        <v>960</v>
      </c>
      <c r="H915" s="8" t="s">
        <v>87</v>
      </c>
      <c r="I915" s="8" t="str">
        <f t="shared" si="149"/>
        <v>Aditi Sen</v>
      </c>
      <c r="J915" s="8" t="s">
        <v>22</v>
      </c>
      <c r="K915" s="8" t="str">
        <f t="shared" si="143"/>
        <v>Consumer</v>
      </c>
      <c r="L915" s="8" t="s">
        <v>52</v>
      </c>
      <c r="M915" s="8" t="str">
        <f t="shared" si="144"/>
        <v>South</v>
      </c>
      <c r="N915" s="8" t="s">
        <v>173</v>
      </c>
      <c r="O915" s="8" t="str">
        <f t="shared" si="145"/>
        <v>Karnataka</v>
      </c>
      <c r="P915" s="8" t="s">
        <v>174</v>
      </c>
      <c r="Q915" s="8" t="str">
        <f t="shared" si="146"/>
        <v>Bengaluru</v>
      </c>
      <c r="R915" s="8" t="s">
        <v>72</v>
      </c>
      <c r="S915" s="8" t="str">
        <f t="shared" si="147"/>
        <v>Technology</v>
      </c>
      <c r="T915" s="8" t="s">
        <v>78</v>
      </c>
      <c r="U915" s="8" t="str">
        <f t="shared" si="148"/>
        <v>Copiers</v>
      </c>
      <c r="V915" s="8" t="s">
        <v>961</v>
      </c>
    </row>
    <row r="916" spans="1:22">
      <c r="A916" s="8" t="s">
        <v>2247</v>
      </c>
      <c r="B916" s="8">
        <f t="shared" si="140"/>
        <v>2</v>
      </c>
      <c r="C916" s="8" t="str">
        <f t="shared" si="141"/>
        <v>Review Duplicate ID</v>
      </c>
      <c r="D916" s="9">
        <v>45567</v>
      </c>
      <c r="E916" s="8">
        <f t="shared" si="142"/>
        <v>-227</v>
      </c>
      <c r="F916" s="10">
        <v>45340</v>
      </c>
      <c r="G916" s="8" t="s">
        <v>2248</v>
      </c>
      <c r="H916" s="8" t="s">
        <v>45</v>
      </c>
      <c r="I916" s="8" t="str">
        <f t="shared" si="149"/>
        <v>Isha Nair</v>
      </c>
      <c r="J916" s="8" t="s">
        <v>93</v>
      </c>
      <c r="K916" s="8" t="str">
        <f t="shared" si="143"/>
        <v>Home Office</v>
      </c>
      <c r="L916" s="8" t="s">
        <v>61</v>
      </c>
      <c r="M916" s="8" t="str">
        <f t="shared" si="144"/>
        <v>West</v>
      </c>
      <c r="N916" s="8" t="s">
        <v>70</v>
      </c>
      <c r="O916" s="8" t="str">
        <f t="shared" si="145"/>
        <v>Madhya Pradesh</v>
      </c>
      <c r="P916" s="8" t="s">
        <v>71</v>
      </c>
      <c r="Q916" s="8" t="str">
        <f t="shared" si="146"/>
        <v>Indore</v>
      </c>
      <c r="R916" s="8" t="s">
        <v>39</v>
      </c>
      <c r="S916" s="8" t="str">
        <f t="shared" si="147"/>
        <v>Furniture</v>
      </c>
      <c r="T916" s="8" t="s">
        <v>64</v>
      </c>
      <c r="U916" s="8" t="str">
        <f t="shared" si="148"/>
        <v>Chairs</v>
      </c>
      <c r="V916" s="8" t="s">
        <v>2249</v>
      </c>
    </row>
    <row r="917" spans="1:22">
      <c r="A917" s="8" t="s">
        <v>1770</v>
      </c>
      <c r="B917" s="8">
        <f t="shared" si="140"/>
        <v>2</v>
      </c>
      <c r="C917" s="8" t="str">
        <f t="shared" si="141"/>
        <v>Review Duplicate ID</v>
      </c>
      <c r="D917" s="9">
        <v>45941</v>
      </c>
      <c r="E917" s="8">
        <f t="shared" si="142"/>
        <v>2</v>
      </c>
      <c r="F917" s="10">
        <v>45943</v>
      </c>
      <c r="G917" s="8" t="s">
        <v>1771</v>
      </c>
      <c r="H917" s="8" t="s">
        <v>34</v>
      </c>
      <c r="I917" s="8" t="str">
        <f t="shared" si="149"/>
        <v>Mira Das</v>
      </c>
      <c r="J917" s="8" t="s">
        <v>88</v>
      </c>
      <c r="K917" s="8" t="str">
        <f t="shared" si="143"/>
        <v>Corporate</v>
      </c>
      <c r="L917" s="8" t="s">
        <v>52</v>
      </c>
      <c r="M917" s="8" t="str">
        <f t="shared" si="144"/>
        <v>South</v>
      </c>
      <c r="N917" s="8" t="s">
        <v>53</v>
      </c>
      <c r="O917" s="8" t="str">
        <f t="shared" si="145"/>
        <v>Telangana</v>
      </c>
      <c r="P917" s="8" t="s">
        <v>54</v>
      </c>
      <c r="Q917" s="8" t="str">
        <f t="shared" si="146"/>
        <v>Hyderabad</v>
      </c>
      <c r="R917" s="8" t="s">
        <v>26</v>
      </c>
      <c r="S917" s="8" t="str">
        <f t="shared" si="147"/>
        <v>Office Supplies</v>
      </c>
      <c r="T917" s="8" t="s">
        <v>46</v>
      </c>
      <c r="U917" s="8" t="str">
        <f t="shared" si="148"/>
        <v>Art</v>
      </c>
      <c r="V917" s="8" t="s">
        <v>1772</v>
      </c>
    </row>
    <row r="918" spans="1:22">
      <c r="A918" s="8" t="s">
        <v>2654</v>
      </c>
      <c r="B918" s="8">
        <f t="shared" si="140"/>
        <v>2</v>
      </c>
      <c r="C918" s="8" t="str">
        <f t="shared" si="141"/>
        <v>Review Duplicate ID</v>
      </c>
      <c r="D918" s="9">
        <v>45446</v>
      </c>
      <c r="E918" s="8">
        <f t="shared" si="142"/>
        <v>183</v>
      </c>
      <c r="F918" s="10">
        <v>45629</v>
      </c>
      <c r="G918" s="8" t="s">
        <v>2655</v>
      </c>
      <c r="H918" s="8" t="s">
        <v>45</v>
      </c>
      <c r="I918" s="8" t="str">
        <f t="shared" si="149"/>
        <v>Isha Nair</v>
      </c>
      <c r="J918" s="8" t="s">
        <v>93</v>
      </c>
      <c r="K918" s="8" t="str">
        <f t="shared" si="143"/>
        <v>Home Office</v>
      </c>
      <c r="L918" s="8" t="s">
        <v>61</v>
      </c>
      <c r="M918" s="8" t="str">
        <f t="shared" si="144"/>
        <v>West</v>
      </c>
      <c r="N918" s="8" t="s">
        <v>178</v>
      </c>
      <c r="O918" s="8" t="str">
        <f t="shared" si="145"/>
        <v>Gujarat</v>
      </c>
      <c r="P918" s="8" t="s">
        <v>179</v>
      </c>
      <c r="Q918" s="8" t="str">
        <f t="shared" si="146"/>
        <v>Ahmedabad</v>
      </c>
      <c r="R918" s="8" t="s">
        <v>39</v>
      </c>
      <c r="S918" s="8" t="str">
        <f t="shared" si="147"/>
        <v>Furniture</v>
      </c>
      <c r="T918" s="8" t="s">
        <v>156</v>
      </c>
      <c r="U918" s="8" t="str">
        <f t="shared" si="148"/>
        <v>Bookcases</v>
      </c>
      <c r="V918" s="8" t="s">
        <v>2656</v>
      </c>
    </row>
    <row r="919" spans="1:22">
      <c r="A919" s="8" t="s">
        <v>493</v>
      </c>
      <c r="B919" s="8">
        <f t="shared" si="140"/>
        <v>2</v>
      </c>
      <c r="C919" s="8" t="str">
        <f t="shared" si="141"/>
        <v>Review Duplicate ID</v>
      </c>
      <c r="D919" s="9">
        <v>45687</v>
      </c>
      <c r="E919" s="8">
        <f t="shared" si="142"/>
        <v>-4</v>
      </c>
      <c r="F919" s="10">
        <v>45683</v>
      </c>
      <c r="G919" s="8" t="s">
        <v>494</v>
      </c>
      <c r="H919" s="8" t="s">
        <v>112</v>
      </c>
      <c r="I919" s="8" t="str">
        <f t="shared" si="149"/>
        <v>Priya Menon</v>
      </c>
      <c r="J919" s="8" t="s">
        <v>88</v>
      </c>
      <c r="K919" s="8" t="str">
        <f t="shared" si="143"/>
        <v>Corporate</v>
      </c>
      <c r="L919" s="8" t="s">
        <v>61</v>
      </c>
      <c r="M919" s="8" t="str">
        <f t="shared" si="144"/>
        <v>West</v>
      </c>
      <c r="N919" s="8" t="s">
        <v>70</v>
      </c>
      <c r="O919" s="8" t="str">
        <f t="shared" si="145"/>
        <v>Madhya Pradesh</v>
      </c>
      <c r="P919" s="8" t="s">
        <v>71</v>
      </c>
      <c r="Q919" s="8" t="str">
        <f t="shared" si="146"/>
        <v>Indore</v>
      </c>
      <c r="R919" s="8" t="s">
        <v>26</v>
      </c>
      <c r="S919" s="8" t="str">
        <f t="shared" si="147"/>
        <v>Office Supplies</v>
      </c>
      <c r="T919" s="8" t="s">
        <v>122</v>
      </c>
      <c r="U919" s="8" t="str">
        <f t="shared" si="148"/>
        <v>Storage</v>
      </c>
      <c r="V919" s="8" t="s">
        <v>495</v>
      </c>
    </row>
    <row r="920" spans="1:22">
      <c r="A920" s="8" t="s">
        <v>2141</v>
      </c>
      <c r="B920" s="8">
        <f t="shared" si="140"/>
        <v>2</v>
      </c>
      <c r="C920" s="8" t="str">
        <f t="shared" si="141"/>
        <v>Review Duplicate ID</v>
      </c>
      <c r="D920" s="9">
        <v>45911</v>
      </c>
      <c r="E920" s="8">
        <f t="shared" si="142"/>
        <v>7</v>
      </c>
      <c r="F920" s="10">
        <v>45918</v>
      </c>
      <c r="G920" s="8" t="s">
        <v>2142</v>
      </c>
      <c r="H920" s="8" t="s">
        <v>116</v>
      </c>
      <c r="I920" s="8" t="str">
        <f t="shared" si="149"/>
        <v>Rahul Verma</v>
      </c>
      <c r="J920" s="8" t="s">
        <v>35</v>
      </c>
      <c r="K920" s="8" t="str">
        <f t="shared" si="143"/>
        <v>Small Business</v>
      </c>
      <c r="L920" s="8" t="s">
        <v>23</v>
      </c>
      <c r="M920" s="8" t="str">
        <f t="shared" si="144"/>
        <v>North</v>
      </c>
      <c r="N920" s="8" t="s">
        <v>349</v>
      </c>
      <c r="O920" s="8" t="str">
        <f t="shared" si="145"/>
        <v>Delhi</v>
      </c>
      <c r="P920" s="8" t="s">
        <v>350</v>
      </c>
      <c r="Q920" s="8" t="str">
        <f t="shared" si="146"/>
        <v>New Delhi</v>
      </c>
      <c r="R920" s="8" t="s">
        <v>72</v>
      </c>
      <c r="S920" s="8" t="str">
        <f t="shared" si="147"/>
        <v>Technology</v>
      </c>
      <c r="T920" s="8" t="s">
        <v>169</v>
      </c>
      <c r="U920" s="8" t="str">
        <f t="shared" si="148"/>
        <v>Phones</v>
      </c>
      <c r="V920" s="8" t="s">
        <v>2143</v>
      </c>
    </row>
    <row r="921" spans="1:22">
      <c r="A921" s="8" t="s">
        <v>75</v>
      </c>
      <c r="B921" s="8">
        <f t="shared" si="140"/>
        <v>2</v>
      </c>
      <c r="C921" s="8" t="str">
        <f t="shared" si="141"/>
        <v>Review Duplicate ID</v>
      </c>
      <c r="D921" s="9">
        <v>45757</v>
      </c>
      <c r="E921" s="8">
        <f t="shared" si="142"/>
        <v>6</v>
      </c>
      <c r="F921" s="10">
        <v>45763</v>
      </c>
      <c r="G921" s="8" t="s">
        <v>76</v>
      </c>
      <c r="H921" s="8" t="s">
        <v>77</v>
      </c>
      <c r="I921" s="8" t="str">
        <f t="shared" si="149"/>
        <v>Neha Gupta</v>
      </c>
      <c r="J921" s="8" t="s">
        <v>22</v>
      </c>
      <c r="K921" s="8" t="str">
        <f t="shared" si="143"/>
        <v>Consumer</v>
      </c>
      <c r="L921" s="8" t="s">
        <v>36</v>
      </c>
      <c r="M921" s="8" t="str">
        <f t="shared" si="144"/>
        <v>East</v>
      </c>
      <c r="N921" s="8" t="s">
        <v>37</v>
      </c>
      <c r="O921" s="8" t="str">
        <f t="shared" si="145"/>
        <v>Odisha</v>
      </c>
      <c r="P921" s="8" t="s">
        <v>38</v>
      </c>
      <c r="Q921" s="8" t="str">
        <f t="shared" si="146"/>
        <v>Bhubaneswar</v>
      </c>
      <c r="R921" s="8" t="s">
        <v>72</v>
      </c>
      <c r="S921" s="8" t="str">
        <f t="shared" si="147"/>
        <v>Technology</v>
      </c>
      <c r="T921" s="8" t="s">
        <v>78</v>
      </c>
      <c r="U921" s="8" t="str">
        <f t="shared" si="148"/>
        <v>Copiers</v>
      </c>
      <c r="V921" s="8" t="s">
        <v>79</v>
      </c>
    </row>
    <row r="922" spans="1:22">
      <c r="A922" s="8" t="s">
        <v>1112</v>
      </c>
      <c r="B922" s="8">
        <f t="shared" si="140"/>
        <v>2</v>
      </c>
      <c r="C922" s="8" t="str">
        <f t="shared" si="141"/>
        <v>Review Duplicate ID</v>
      </c>
      <c r="D922" s="9">
        <v>45394</v>
      </c>
      <c r="E922" s="8">
        <f t="shared" si="142"/>
        <v>61</v>
      </c>
      <c r="F922" s="10">
        <v>45455</v>
      </c>
      <c r="G922" s="8" t="s">
        <v>1113</v>
      </c>
      <c r="H922" s="8" t="s">
        <v>130</v>
      </c>
      <c r="I922" s="8" t="str">
        <f t="shared" si="149"/>
        <v>Sneha Kapoor</v>
      </c>
      <c r="J922" s="8" t="s">
        <v>93</v>
      </c>
      <c r="K922" s="8" t="str">
        <f t="shared" si="143"/>
        <v>Home Office</v>
      </c>
      <c r="L922" s="8" t="s">
        <v>36</v>
      </c>
      <c r="M922" s="8" t="str">
        <f t="shared" si="144"/>
        <v>East</v>
      </c>
      <c r="N922" s="8" t="s">
        <v>37</v>
      </c>
      <c r="O922" s="8" t="str">
        <f t="shared" si="145"/>
        <v>Odisha</v>
      </c>
      <c r="P922" s="8" t="s">
        <v>38</v>
      </c>
      <c r="Q922" s="8" t="str">
        <f t="shared" si="146"/>
        <v>Bhubaneswar</v>
      </c>
      <c r="R922" s="8" t="s">
        <v>26</v>
      </c>
      <c r="S922" s="8" t="str">
        <f t="shared" si="147"/>
        <v>Office Supplies</v>
      </c>
      <c r="T922" s="8" t="s">
        <v>151</v>
      </c>
      <c r="U922" s="8" t="str">
        <f t="shared" si="148"/>
        <v>Binders</v>
      </c>
      <c r="V922" s="8" t="s">
        <v>1114</v>
      </c>
    </row>
    <row r="923" spans="1:22">
      <c r="A923" s="8" t="s">
        <v>379</v>
      </c>
      <c r="B923" s="8">
        <f t="shared" si="140"/>
        <v>2</v>
      </c>
      <c r="C923" s="8" t="str">
        <f t="shared" si="141"/>
        <v>Review Duplicate ID</v>
      </c>
      <c r="D923" s="9">
        <v>45893</v>
      </c>
      <c r="E923" s="8">
        <f t="shared" si="142"/>
        <v>5</v>
      </c>
      <c r="F923" s="10">
        <v>45898</v>
      </c>
      <c r="G923" s="8" t="s">
        <v>380</v>
      </c>
      <c r="H923" s="8" t="s">
        <v>126</v>
      </c>
      <c r="I923" s="8" t="str">
        <f t="shared" si="149"/>
        <v>Aarav Sharma</v>
      </c>
      <c r="J923" s="8" t="s">
        <v>35</v>
      </c>
      <c r="K923" s="8" t="str">
        <f t="shared" si="143"/>
        <v>Small Business</v>
      </c>
      <c r="L923" s="8" t="s">
        <v>36</v>
      </c>
      <c r="M923" s="8" t="str">
        <f t="shared" si="144"/>
        <v>East</v>
      </c>
      <c r="N923" s="8" t="s">
        <v>143</v>
      </c>
      <c r="O923" s="8" t="str">
        <f t="shared" si="145"/>
        <v>Bihar</v>
      </c>
      <c r="P923" s="8" t="s">
        <v>144</v>
      </c>
      <c r="Q923" s="8" t="str">
        <f t="shared" si="146"/>
        <v>Patna</v>
      </c>
      <c r="R923" s="8" t="s">
        <v>72</v>
      </c>
      <c r="S923" s="8" t="str">
        <f t="shared" si="147"/>
        <v>Technology</v>
      </c>
      <c r="T923" s="8" t="s">
        <v>78</v>
      </c>
      <c r="U923" s="8" t="str">
        <f t="shared" si="148"/>
        <v>Copiers</v>
      </c>
      <c r="V923" s="8" t="s">
        <v>381</v>
      </c>
    </row>
    <row r="924" spans="1:22">
      <c r="A924" s="8" t="s">
        <v>1238</v>
      </c>
      <c r="B924" s="8">
        <f t="shared" si="140"/>
        <v>2</v>
      </c>
      <c r="C924" s="8" t="str">
        <f t="shared" si="141"/>
        <v>Review Duplicate ID</v>
      </c>
      <c r="D924" s="9">
        <v>45760</v>
      </c>
      <c r="E924" s="8">
        <f t="shared" si="142"/>
        <v>0</v>
      </c>
      <c r="F924" s="10">
        <v>45760</v>
      </c>
      <c r="G924" s="8" t="s">
        <v>1239</v>
      </c>
      <c r="H924" s="8" t="s">
        <v>130</v>
      </c>
      <c r="I924" s="8" t="str">
        <f t="shared" si="149"/>
        <v>Sneha Kapoor</v>
      </c>
      <c r="J924" s="8" t="s">
        <v>35</v>
      </c>
      <c r="K924" s="8" t="str">
        <f t="shared" si="143"/>
        <v>Small Business</v>
      </c>
      <c r="L924" s="8" t="s">
        <v>23</v>
      </c>
      <c r="M924" s="8" t="str">
        <f t="shared" si="144"/>
        <v>North</v>
      </c>
      <c r="N924" s="8" t="s">
        <v>134</v>
      </c>
      <c r="O924" s="8" t="str">
        <f t="shared" si="145"/>
        <v>Uttar Pradesh</v>
      </c>
      <c r="P924" s="8" t="s">
        <v>135</v>
      </c>
      <c r="Q924" s="8" t="str">
        <f t="shared" si="146"/>
        <v>Noida</v>
      </c>
      <c r="R924" s="8" t="s">
        <v>26</v>
      </c>
      <c r="S924" s="8" t="str">
        <f t="shared" si="147"/>
        <v>Office Supplies</v>
      </c>
      <c r="T924" s="8" t="s">
        <v>122</v>
      </c>
      <c r="U924" s="8" t="str">
        <f t="shared" si="148"/>
        <v>Storage</v>
      </c>
      <c r="V924" s="8" t="s">
        <v>1240</v>
      </c>
    </row>
    <row r="925" spans="1:22">
      <c r="A925" s="8" t="s">
        <v>790</v>
      </c>
      <c r="B925" s="8">
        <f t="shared" si="140"/>
        <v>2</v>
      </c>
      <c r="C925" s="8" t="str">
        <f t="shared" si="141"/>
        <v>Review Duplicate ID</v>
      </c>
      <c r="D925" s="9">
        <v>45932</v>
      </c>
      <c r="E925" s="8">
        <f t="shared" si="142"/>
        <v>-53</v>
      </c>
      <c r="F925" s="10">
        <v>45879</v>
      </c>
      <c r="G925" s="8" t="s">
        <v>791</v>
      </c>
      <c r="H925" s="8" t="s">
        <v>45</v>
      </c>
      <c r="I925" s="8" t="str">
        <f t="shared" si="149"/>
        <v>Isha Nair</v>
      </c>
      <c r="J925" s="8" t="s">
        <v>35</v>
      </c>
      <c r="K925" s="8" t="str">
        <f t="shared" si="143"/>
        <v>Small Business</v>
      </c>
      <c r="L925" s="8" t="s">
        <v>23</v>
      </c>
      <c r="M925" s="8" t="str">
        <f t="shared" si="144"/>
        <v>North</v>
      </c>
      <c r="N925" s="8" t="s">
        <v>120</v>
      </c>
      <c r="O925" s="8" t="str">
        <f t="shared" si="145"/>
        <v>Punjab</v>
      </c>
      <c r="P925" s="8" t="s">
        <v>121</v>
      </c>
      <c r="Q925" s="8" t="str">
        <f t="shared" si="146"/>
        <v>Ludhiana</v>
      </c>
      <c r="R925" s="8" t="s">
        <v>39</v>
      </c>
      <c r="S925" s="8" t="str">
        <f t="shared" si="147"/>
        <v>Furniture</v>
      </c>
      <c r="T925" s="8" t="s">
        <v>55</v>
      </c>
      <c r="U925" s="8" t="str">
        <f t="shared" si="148"/>
        <v>Furnishings</v>
      </c>
      <c r="V925" s="8" t="s">
        <v>792</v>
      </c>
    </row>
    <row r="926" spans="1:22">
      <c r="A926" s="8" t="s">
        <v>1062</v>
      </c>
      <c r="B926" s="8">
        <f t="shared" si="140"/>
        <v>2</v>
      </c>
      <c r="C926" s="8" t="str">
        <f t="shared" si="141"/>
        <v>Review Duplicate ID</v>
      </c>
      <c r="D926" s="9">
        <v>45795</v>
      </c>
      <c r="E926" s="8">
        <f t="shared" si="142"/>
        <v>2</v>
      </c>
      <c r="F926" s="10">
        <v>45797</v>
      </c>
      <c r="G926" s="8" t="s">
        <v>1063</v>
      </c>
      <c r="H926" s="8" t="s">
        <v>45</v>
      </c>
      <c r="I926" s="8" t="str">
        <f t="shared" si="149"/>
        <v>Isha Nair</v>
      </c>
      <c r="J926" s="8" t="s">
        <v>88</v>
      </c>
      <c r="K926" s="8" t="str">
        <f t="shared" si="143"/>
        <v>Corporate</v>
      </c>
      <c r="L926" s="8" t="s">
        <v>61</v>
      </c>
      <c r="M926" s="8" t="str">
        <f t="shared" si="144"/>
        <v>West</v>
      </c>
      <c r="N926" s="8" t="s">
        <v>70</v>
      </c>
      <c r="O926" s="8" t="str">
        <f t="shared" si="145"/>
        <v>Madhya Pradesh</v>
      </c>
      <c r="P926" s="8" t="s">
        <v>71</v>
      </c>
      <c r="Q926" s="8" t="str">
        <f t="shared" si="146"/>
        <v>Indore</v>
      </c>
      <c r="R926" s="8" t="s">
        <v>26</v>
      </c>
      <c r="S926" s="8" t="str">
        <f t="shared" si="147"/>
        <v>Office Supplies</v>
      </c>
      <c r="T926" s="8" t="s">
        <v>89</v>
      </c>
      <c r="U926" s="8" t="str">
        <f t="shared" si="148"/>
        <v>Labels</v>
      </c>
      <c r="V926" s="8" t="s">
        <v>1064</v>
      </c>
    </row>
    <row r="927" spans="1:22">
      <c r="A927" s="8" t="s">
        <v>625</v>
      </c>
      <c r="B927" s="8">
        <f t="shared" si="140"/>
        <v>2</v>
      </c>
      <c r="C927" s="8" t="str">
        <f t="shared" si="141"/>
        <v>Review Duplicate ID</v>
      </c>
      <c r="D927" s="9">
        <v>45847</v>
      </c>
      <c r="E927" s="8">
        <f t="shared" si="142"/>
        <v>68</v>
      </c>
      <c r="F927" s="10">
        <v>45915</v>
      </c>
      <c r="G927" s="8" t="s">
        <v>626</v>
      </c>
      <c r="H927" s="8" t="s">
        <v>139</v>
      </c>
      <c r="I927" s="8" t="str">
        <f t="shared" si="149"/>
        <v>Rohan Mehta</v>
      </c>
      <c r="J927" s="8" t="s">
        <v>88</v>
      </c>
      <c r="K927" s="8" t="str">
        <f t="shared" si="143"/>
        <v>Corporate</v>
      </c>
      <c r="L927" s="8" t="s">
        <v>36</v>
      </c>
      <c r="M927" s="8" t="str">
        <f t="shared" si="144"/>
        <v>East</v>
      </c>
      <c r="N927" s="8" t="s">
        <v>143</v>
      </c>
      <c r="O927" s="8" t="str">
        <f t="shared" si="145"/>
        <v>Bihar</v>
      </c>
      <c r="P927" s="8" t="s">
        <v>144</v>
      </c>
      <c r="Q927" s="8" t="str">
        <f t="shared" si="146"/>
        <v>Patna</v>
      </c>
      <c r="R927" s="8" t="s">
        <v>72</v>
      </c>
      <c r="S927" s="8" t="str">
        <f t="shared" si="147"/>
        <v>Technology</v>
      </c>
      <c r="T927" s="8" t="s">
        <v>78</v>
      </c>
      <c r="U927" s="8" t="str">
        <f t="shared" si="148"/>
        <v>Copiers</v>
      </c>
      <c r="V927" s="8" t="s">
        <v>627</v>
      </c>
    </row>
    <row r="928" spans="1:22">
      <c r="A928" s="8" t="s">
        <v>1391</v>
      </c>
      <c r="B928" s="8">
        <f t="shared" si="140"/>
        <v>2</v>
      </c>
      <c r="C928" s="8" t="str">
        <f t="shared" si="141"/>
        <v>Review Duplicate ID</v>
      </c>
      <c r="D928" s="9">
        <v>45342</v>
      </c>
      <c r="E928" s="8">
        <f t="shared" si="142"/>
        <v>7</v>
      </c>
      <c r="F928" s="10">
        <v>45349</v>
      </c>
      <c r="G928" s="8" t="s">
        <v>1392</v>
      </c>
      <c r="H928" s="8" t="s">
        <v>160</v>
      </c>
      <c r="I928" s="8" t="str">
        <f t="shared" si="149"/>
        <v>Diya Patel</v>
      </c>
      <c r="J928" s="8" t="s">
        <v>22</v>
      </c>
      <c r="K928" s="8" t="str">
        <f t="shared" si="143"/>
        <v>Consumer</v>
      </c>
      <c r="L928" s="8" t="s">
        <v>52</v>
      </c>
      <c r="M928" s="8" t="str">
        <f t="shared" si="144"/>
        <v>South</v>
      </c>
      <c r="N928" s="8" t="s">
        <v>183</v>
      </c>
      <c r="O928" s="8" t="str">
        <f t="shared" si="145"/>
        <v>Kerala</v>
      </c>
      <c r="P928" s="8" t="s">
        <v>184</v>
      </c>
      <c r="Q928" s="8" t="str">
        <f t="shared" si="146"/>
        <v>Kochi</v>
      </c>
      <c r="R928" s="8" t="s">
        <v>72</v>
      </c>
      <c r="S928" s="8" t="str">
        <f t="shared" si="147"/>
        <v>Technology</v>
      </c>
      <c r="T928" s="8" t="s">
        <v>73</v>
      </c>
      <c r="U928" s="8" t="str">
        <f t="shared" si="148"/>
        <v>Accessories</v>
      </c>
      <c r="V928" s="8" t="s">
        <v>1393</v>
      </c>
    </row>
    <row r="929" spans="1:22">
      <c r="A929" s="8" t="s">
        <v>1835</v>
      </c>
      <c r="B929" s="8">
        <f t="shared" si="140"/>
        <v>2</v>
      </c>
      <c r="C929" s="8" t="str">
        <f t="shared" si="141"/>
        <v>Review Duplicate ID</v>
      </c>
      <c r="D929" s="9">
        <v>45932</v>
      </c>
      <c r="E929" s="8">
        <f t="shared" si="142"/>
        <v>-230</v>
      </c>
      <c r="F929" s="10">
        <v>45702</v>
      </c>
      <c r="G929" s="8" t="s">
        <v>1836</v>
      </c>
      <c r="H929" s="8" t="s">
        <v>112</v>
      </c>
      <c r="I929" s="8" t="str">
        <f t="shared" si="149"/>
        <v>Priya Menon</v>
      </c>
      <c r="J929" s="8" t="s">
        <v>35</v>
      </c>
      <c r="K929" s="8" t="str">
        <f t="shared" si="143"/>
        <v>Small Business</v>
      </c>
      <c r="L929" s="8" t="s">
        <v>23</v>
      </c>
      <c r="M929" s="8" t="str">
        <f t="shared" si="144"/>
        <v>North</v>
      </c>
      <c r="N929" s="8" t="s">
        <v>134</v>
      </c>
      <c r="O929" s="8" t="str">
        <f t="shared" si="145"/>
        <v>Uttar Pradesh</v>
      </c>
      <c r="P929" s="8" t="s">
        <v>135</v>
      </c>
      <c r="Q929" s="8" t="str">
        <f t="shared" si="146"/>
        <v>Noida</v>
      </c>
      <c r="R929" s="8" t="s">
        <v>72</v>
      </c>
      <c r="S929" s="8" t="str">
        <f t="shared" si="147"/>
        <v>Technology</v>
      </c>
      <c r="T929" s="8" t="s">
        <v>169</v>
      </c>
      <c r="U929" s="8" t="str">
        <f t="shared" si="148"/>
        <v>Phones</v>
      </c>
      <c r="V929" s="8" t="s">
        <v>1837</v>
      </c>
    </row>
    <row r="930" spans="1:22">
      <c r="A930" s="8" t="s">
        <v>539</v>
      </c>
      <c r="B930" s="8">
        <f t="shared" si="140"/>
        <v>2</v>
      </c>
      <c r="C930" s="8" t="str">
        <f t="shared" si="141"/>
        <v>Review Duplicate ID</v>
      </c>
      <c r="D930" s="9">
        <v>45381</v>
      </c>
      <c r="E930" s="8">
        <f t="shared" si="142"/>
        <v>-4</v>
      </c>
      <c r="F930" s="10">
        <v>45377</v>
      </c>
      <c r="G930" s="8" t="s">
        <v>540</v>
      </c>
      <c r="H930" s="8" t="s">
        <v>87</v>
      </c>
      <c r="I930" s="8" t="str">
        <f t="shared" si="149"/>
        <v>Aditi Sen</v>
      </c>
      <c r="J930" s="8" t="s">
        <v>93</v>
      </c>
      <c r="K930" s="8" t="str">
        <f t="shared" si="143"/>
        <v>Home Office</v>
      </c>
      <c r="L930" s="8" t="s">
        <v>23</v>
      </c>
      <c r="M930" s="8" t="str">
        <f t="shared" si="144"/>
        <v>North</v>
      </c>
      <c r="N930" s="8" t="s">
        <v>24</v>
      </c>
      <c r="O930" s="8" t="str">
        <f t="shared" si="145"/>
        <v>Rajasthan</v>
      </c>
      <c r="P930" s="8" t="s">
        <v>25</v>
      </c>
      <c r="Q930" s="8" t="str">
        <f t="shared" si="146"/>
        <v>Jaipur</v>
      </c>
      <c r="R930" s="8" t="s">
        <v>72</v>
      </c>
      <c r="S930" s="8" t="str">
        <f t="shared" si="147"/>
        <v>Technology</v>
      </c>
      <c r="T930" s="8" t="s">
        <v>169</v>
      </c>
      <c r="U930" s="8" t="str">
        <f t="shared" si="148"/>
        <v>Phones</v>
      </c>
      <c r="V930" s="8" t="s">
        <v>541</v>
      </c>
    </row>
    <row r="931" spans="1:22">
      <c r="A931" s="8" t="s">
        <v>936</v>
      </c>
      <c r="B931" s="8">
        <f t="shared" si="140"/>
        <v>2</v>
      </c>
      <c r="C931" s="8" t="str">
        <f t="shared" si="141"/>
        <v>Review Duplicate ID</v>
      </c>
      <c r="D931" s="9">
        <v>45522</v>
      </c>
      <c r="E931" s="8">
        <f t="shared" si="142"/>
        <v>6</v>
      </c>
      <c r="F931" s="10">
        <v>45528</v>
      </c>
      <c r="G931" s="8" t="s">
        <v>937</v>
      </c>
      <c r="H931" s="8" t="s">
        <v>51</v>
      </c>
      <c r="I931" s="8" t="str">
        <f t="shared" si="149"/>
        <v>Arjun Bose</v>
      </c>
      <c r="J931" s="8" t="s">
        <v>22</v>
      </c>
      <c r="K931" s="8" t="str">
        <f t="shared" si="143"/>
        <v>Consumer</v>
      </c>
      <c r="L931" s="8" t="s">
        <v>52</v>
      </c>
      <c r="M931" s="8" t="str">
        <f t="shared" si="144"/>
        <v>South</v>
      </c>
      <c r="N931" s="8" t="s">
        <v>82</v>
      </c>
      <c r="O931" s="8" t="str">
        <f t="shared" si="145"/>
        <v>Andhra Pradesh</v>
      </c>
      <c r="P931" s="8" t="s">
        <v>83</v>
      </c>
      <c r="Q931" s="8" t="str">
        <f t="shared" si="146"/>
        <v>Vijayawada</v>
      </c>
      <c r="R931" s="8" t="s">
        <v>39</v>
      </c>
      <c r="S931" s="8" t="str">
        <f t="shared" si="147"/>
        <v>Furniture</v>
      </c>
      <c r="T931" s="8" t="s">
        <v>64</v>
      </c>
      <c r="U931" s="8" t="str">
        <f t="shared" si="148"/>
        <v>Chairs</v>
      </c>
      <c r="V931" s="8" t="s">
        <v>938</v>
      </c>
    </row>
    <row r="932" spans="1:22">
      <c r="A932" s="8" t="s">
        <v>480</v>
      </c>
      <c r="B932" s="8">
        <f t="shared" si="140"/>
        <v>3</v>
      </c>
      <c r="C932" s="8" t="str">
        <f t="shared" si="141"/>
        <v>Review Duplicate ID</v>
      </c>
      <c r="D932" s="9">
        <v>45436</v>
      </c>
      <c r="E932" s="8">
        <f t="shared" si="142"/>
        <v>1</v>
      </c>
      <c r="F932" s="10">
        <v>45437</v>
      </c>
      <c r="G932" s="8" t="s">
        <v>481</v>
      </c>
      <c r="H932" s="8" t="s">
        <v>130</v>
      </c>
      <c r="I932" s="8" t="str">
        <f t="shared" si="149"/>
        <v>Sneha Kapoor</v>
      </c>
      <c r="J932" s="8" t="s">
        <v>35</v>
      </c>
      <c r="K932" s="8" t="str">
        <f t="shared" si="143"/>
        <v>Small Business</v>
      </c>
      <c r="L932" s="8" t="s">
        <v>482</v>
      </c>
      <c r="M932" s="8" t="str">
        <f t="shared" si="144"/>
        <v>North</v>
      </c>
      <c r="N932" s="8" t="s">
        <v>120</v>
      </c>
      <c r="O932" s="8" t="str">
        <f t="shared" si="145"/>
        <v>Punjab</v>
      </c>
      <c r="P932" s="8" t="s">
        <v>121</v>
      </c>
      <c r="Q932" s="8" t="str">
        <f t="shared" si="146"/>
        <v>Ludhiana</v>
      </c>
      <c r="R932" s="8" t="s">
        <v>72</v>
      </c>
      <c r="S932" s="8" t="str">
        <f t="shared" si="147"/>
        <v>Technology</v>
      </c>
      <c r="T932" s="8" t="s">
        <v>78</v>
      </c>
      <c r="U932" s="8" t="str">
        <f t="shared" si="148"/>
        <v>Copiers</v>
      </c>
      <c r="V932" s="8" t="s">
        <v>483</v>
      </c>
    </row>
    <row r="933" spans="1:22">
      <c r="A933" s="8" t="s">
        <v>1125</v>
      </c>
      <c r="B933" s="8">
        <f t="shared" si="140"/>
        <v>2</v>
      </c>
      <c r="C933" s="8" t="str">
        <f t="shared" si="141"/>
        <v>Review Duplicate ID</v>
      </c>
      <c r="D933" s="9">
        <v>45824</v>
      </c>
      <c r="E933" s="8">
        <f t="shared" si="142"/>
        <v>2</v>
      </c>
      <c r="F933" s="10">
        <v>45826</v>
      </c>
      <c r="G933" s="8" t="s">
        <v>1126</v>
      </c>
      <c r="H933" s="8" t="s">
        <v>116</v>
      </c>
      <c r="I933" s="8" t="str">
        <f t="shared" si="149"/>
        <v>Rahul Verma</v>
      </c>
      <c r="J933" s="8" t="s">
        <v>93</v>
      </c>
      <c r="K933" s="8" t="str">
        <f t="shared" si="143"/>
        <v>Home Office</v>
      </c>
      <c r="L933" s="8" t="s">
        <v>61</v>
      </c>
      <c r="M933" s="8" t="str">
        <f t="shared" si="144"/>
        <v>West</v>
      </c>
      <c r="N933" s="8" t="s">
        <v>70</v>
      </c>
      <c r="O933" s="8" t="str">
        <f t="shared" si="145"/>
        <v>Madhya Pradesh</v>
      </c>
      <c r="P933" s="8" t="s">
        <v>71</v>
      </c>
      <c r="Q933" s="8" t="str">
        <f t="shared" si="146"/>
        <v>Indore</v>
      </c>
      <c r="R933" s="8" t="s">
        <v>26</v>
      </c>
      <c r="S933" s="8" t="str">
        <f t="shared" si="147"/>
        <v>Office Supplies</v>
      </c>
      <c r="T933" s="8" t="s">
        <v>27</v>
      </c>
      <c r="U933" s="8" t="str">
        <f t="shared" si="148"/>
        <v>Paper</v>
      </c>
      <c r="V933" s="8" t="s">
        <v>1127</v>
      </c>
    </row>
  </sheetData>
  <conditionalFormatting sqref="A2:M933">
    <cfRule type="duplicateValues" dxfId="1" priority="1"/>
  </conditionalFormatting>
  <conditionalFormatting sqref="E2:E933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8" workbookViewId="0">
      <selection activeCell="B12" sqref="B12"/>
    </sheetView>
  </sheetViews>
  <sheetFormatPr defaultRowHeight="14.15"/>
  <cols>
    <col min="1" max="2" width="28" customWidth="1"/>
  </cols>
  <sheetData>
    <row r="1" spans="1:2" ht="16" customHeight="1">
      <c r="A1" s="1" t="s">
        <v>2799</v>
      </c>
      <c r="B1" s="1" t="s">
        <v>2800</v>
      </c>
    </row>
    <row r="2" spans="1:2" ht="42.45">
      <c r="A2" s="2" t="s">
        <v>2801</v>
      </c>
      <c r="B2" s="2" t="s">
        <v>2802</v>
      </c>
    </row>
    <row r="3" spans="1:2" ht="28.3">
      <c r="A3" s="2" t="s">
        <v>2803</v>
      </c>
      <c r="B3" s="2" t="s">
        <v>2804</v>
      </c>
    </row>
    <row r="4" spans="1:2" ht="28.3">
      <c r="A4" s="2" t="s">
        <v>2805</v>
      </c>
      <c r="B4" s="2" t="s">
        <v>2804</v>
      </c>
    </row>
    <row r="5" spans="1:2" ht="28.3">
      <c r="A5" s="2" t="s">
        <v>2806</v>
      </c>
      <c r="B5" s="2" t="s">
        <v>2807</v>
      </c>
    </row>
    <row r="6" spans="1:2" ht="42.45">
      <c r="A6" s="2" t="s">
        <v>2808</v>
      </c>
      <c r="B6" s="2" t="s">
        <v>2809</v>
      </c>
    </row>
    <row r="7" spans="1:2" ht="56.6">
      <c r="A7" s="2" t="s">
        <v>2810</v>
      </c>
      <c r="B7" s="2" t="s">
        <v>2811</v>
      </c>
    </row>
    <row r="8" spans="1:2" ht="28.3">
      <c r="A8" s="2" t="s">
        <v>2812</v>
      </c>
      <c r="B8" s="2" t="s">
        <v>2813</v>
      </c>
    </row>
    <row r="9" spans="1:2" ht="42.45">
      <c r="A9" s="2" t="s">
        <v>2814</v>
      </c>
      <c r="B9" s="2" t="s">
        <v>2815</v>
      </c>
    </row>
    <row r="10" spans="1:2" ht="70.75">
      <c r="A10" s="2" t="s">
        <v>2816</v>
      </c>
      <c r="B10" s="2" t="s">
        <v>2817</v>
      </c>
    </row>
    <row r="11" spans="1:2" ht="42.45">
      <c r="A11" s="2" t="s">
        <v>2818</v>
      </c>
      <c r="B11" s="2" t="s">
        <v>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Sheet1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Bokare</dc:creator>
  <cp:lastModifiedBy>Ayushi Bokare</cp:lastModifiedBy>
  <dcterms:created xsi:type="dcterms:W3CDTF">2026-06-26T07:05:20Z</dcterms:created>
  <dcterms:modified xsi:type="dcterms:W3CDTF">2026-06-27T20:20:42Z</dcterms:modified>
</cp:coreProperties>
</file>